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7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4.xml" ContentType="application/vnd.openxmlformats-officedocument.drawing+xml"/>
  <Override PartName="/xl/ctrlProps/ctrlProp8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5.xml" ContentType="application/vnd.openxmlformats-officedocument.drawing+xml"/>
  <Override PartName="/xl/ctrlProps/ctrlProp9.xml" ContentType="application/vnd.ms-excel.controlproperties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6.xml" ContentType="application/vnd.openxmlformats-officedocument.drawing+xml"/>
  <Override PartName="/xl/ctrlProps/ctrlProp10.xml" ContentType="application/vnd.ms-excel.controlproperties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drawings/drawing7.xml" ContentType="application/vnd.openxmlformats-officedocument.drawing+xml"/>
  <Override PartName="/xl/ctrlProps/ctrlProp11.xml" ContentType="application/vnd.ms-excel.controlpropertie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drawings/drawing8.xml" ContentType="application/vnd.openxmlformats-officedocument.drawing+xml"/>
  <Override PartName="/xl/ctrlProps/ctrlProp12.xml" ContentType="application/vnd.ms-excel.controlproperties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showInkAnnotation="0"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tmobileusa-my.sharepoint.com/personal/stephen_costanzo_t-mobile_com/Documents/JIRA/"/>
    </mc:Choice>
  </mc:AlternateContent>
  <bookViews>
    <workbookView xWindow="0" yWindow="0" windowWidth="28800" windowHeight="12210" activeTab="2"/>
  </bookViews>
  <sheets>
    <sheet name="Velocity" sheetId="1" r:id="rId1"/>
    <sheet name="Committed_Velocity" sheetId="2" r:id="rId2"/>
    <sheet name="Sprint 2018-03-27" sheetId="11" r:id="rId3"/>
    <sheet name="Sprint 2018-03-13" sheetId="10" r:id="rId4"/>
    <sheet name="Sprint 2018-02-26" sheetId="9" r:id="rId5"/>
    <sheet name="Sprint 2018-02-12" sheetId="7" r:id="rId6"/>
    <sheet name="Sprint_2018-01-29" sheetId="4" r:id="rId7"/>
    <sheet name="Sprint_2018-01-15" sheetId="6" r:id="rId8"/>
  </sheets>
  <definedNames>
    <definedName name="CV_Entirety_Label" localSheetId="1">Committed_Velocity!$B$11</definedName>
    <definedName name="CV_EntiretyLabel" localSheetId="1">Committed_Velocity!$B$11</definedName>
    <definedName name="CV_Last3Period_Label" localSheetId="1">Committed_Velocity!$B$16</definedName>
    <definedName name="CV_Last3Periods" localSheetId="1">Committed_Velocity!$B$16</definedName>
    <definedName name="CV_Last6Period_Label" localSheetId="1">Committed_Velocity!$B$21</definedName>
    <definedName name="CV_Overall_AIX" localSheetId="1">Committed_Velocity!$F$5:$N$5</definedName>
    <definedName name="CV_Overall_LINUX" localSheetId="1">Committed_Velocity!$F$6:$N$6</definedName>
    <definedName name="CV_Overall_Overall" localSheetId="1">Committed_Velocity!$F$4:$N$4</definedName>
    <definedName name="CV_Period_3_AIX" localSheetId="1">Committed_Velocity!$L$5:$N$5</definedName>
    <definedName name="CV_Period_3_LINUX" localSheetId="1">Committed_Velocity!$L$6:$N$6</definedName>
    <definedName name="CV_Period_3_Overall" localSheetId="1">Committed_Velocity!$L$4:$N$4</definedName>
    <definedName name="CV_Period_6_AIX" localSheetId="1">Committed_Velocity!$I$5:$N$5</definedName>
    <definedName name="CV_Period_6_LINUX" localSheetId="1">Committed_Velocity!$I$6:$N$6</definedName>
    <definedName name="CV_Period_6_OverAll" localSheetId="1">Committed_Velocity!$I$4:$N$4</definedName>
    <definedName name="Entirety_Label">Velocity!$B$11</definedName>
    <definedName name="EntiretyLabel">Velocity!$B$11</definedName>
    <definedName name="Last3Period_Label">Velocity!$B$16</definedName>
    <definedName name="Last3Periods">Velocity!$B$16</definedName>
    <definedName name="Last6Period_Label">Velocity!$B$21</definedName>
    <definedName name="Overall_AIX">Velocity!$F$5:$P$5</definedName>
    <definedName name="Overall_LINUX">Velocity!$F$6:$P$6</definedName>
    <definedName name="Overall_Overall">Velocity!$F$4:$P$4</definedName>
    <definedName name="Period_3_AIX">Velocity!$N$5:$P$5</definedName>
    <definedName name="Period_3_LINUX">Velocity!$N$6:$P$6</definedName>
    <definedName name="Period_3_Overall">Velocity!$N$4:$P$4</definedName>
    <definedName name="Period_6_AIX">Velocity!$K$5:$P$5</definedName>
    <definedName name="Period_6_LINUX">Velocity!$K$6:$P$6</definedName>
    <definedName name="Period_6_OverAll">Velocity!$K$4:$P$4</definedName>
  </definedNames>
  <calcPr calcId="171027" iterateCount="1000"/>
  <pivotCaches>
    <pivotCache cacheId="0" r:id="rId9"/>
    <pivotCache cacheId="1" r:id="rId10"/>
    <pivotCache cacheId="2" r:id="rId11"/>
    <pivotCache cacheId="3" r:id="rId12"/>
    <pivotCache cacheId="4" r:id="rId13"/>
    <pivotCache cacheId="5" r:id="rId1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0" i="10" l="1"/>
  <c r="G10" i="10"/>
  <c r="P4" i="1"/>
  <c r="G45" i="11"/>
  <c r="A45" i="11"/>
  <c r="G44" i="11"/>
  <c r="A44" i="11"/>
  <c r="G43" i="11"/>
  <c r="A43" i="11"/>
  <c r="G42" i="11"/>
  <c r="A42" i="11"/>
  <c r="G41" i="11"/>
  <c r="A41" i="11"/>
  <c r="G40" i="11"/>
  <c r="A40" i="11"/>
  <c r="G39" i="11"/>
  <c r="A39" i="11"/>
  <c r="G38" i="11"/>
  <c r="A38" i="11"/>
  <c r="G37" i="11"/>
  <c r="A37" i="11"/>
  <c r="G36" i="11"/>
  <c r="A36" i="11"/>
  <c r="G35" i="11"/>
  <c r="A35" i="11"/>
  <c r="G34" i="11"/>
  <c r="A34" i="11"/>
  <c r="G33" i="11"/>
  <c r="A33" i="11"/>
  <c r="G32" i="11"/>
  <c r="A32" i="11"/>
  <c r="G31" i="11"/>
  <c r="A31" i="11"/>
  <c r="G30" i="11"/>
  <c r="A30" i="11"/>
  <c r="G29" i="11"/>
  <c r="A29" i="11"/>
  <c r="G28" i="11"/>
  <c r="A28" i="11"/>
  <c r="G27" i="11"/>
  <c r="A27" i="11"/>
  <c r="G26" i="11"/>
  <c r="A26" i="11"/>
  <c r="G25" i="11"/>
  <c r="A25" i="11"/>
  <c r="G24" i="11"/>
  <c r="A24" i="11"/>
  <c r="G23" i="11"/>
  <c r="A23" i="11"/>
  <c r="G22" i="11"/>
  <c r="A22" i="11"/>
  <c r="G21" i="11"/>
  <c r="A21" i="11"/>
  <c r="G20" i="11"/>
  <c r="A20" i="11"/>
  <c r="G19" i="11"/>
  <c r="A19" i="11"/>
  <c r="G18" i="11"/>
  <c r="A18" i="11"/>
  <c r="G17" i="11"/>
  <c r="A17" i="11"/>
  <c r="G16" i="11"/>
  <c r="A16" i="11"/>
  <c r="G15" i="11"/>
  <c r="A15" i="11"/>
  <c r="G14" i="11"/>
  <c r="A14" i="11"/>
  <c r="G13" i="11"/>
  <c r="A13" i="11"/>
  <c r="G12" i="11"/>
  <c r="A12" i="11"/>
  <c r="G11" i="11"/>
  <c r="A11" i="11"/>
  <c r="G10" i="11"/>
  <c r="A10" i="11"/>
  <c r="G9" i="11"/>
  <c r="A9" i="11"/>
  <c r="G8" i="11"/>
  <c r="A8" i="11"/>
  <c r="G7" i="11"/>
  <c r="A7" i="11"/>
  <c r="G6" i="11"/>
  <c r="A6" i="11"/>
  <c r="G5" i="11"/>
  <c r="A5" i="11"/>
  <c r="G4" i="11"/>
  <c r="A4" i="11"/>
  <c r="G3" i="11"/>
  <c r="A3" i="11"/>
  <c r="G2" i="11"/>
  <c r="A2" i="11"/>
  <c r="P22" i="11"/>
  <c r="P11" i="11"/>
  <c r="O22" i="11"/>
  <c r="P15" i="11"/>
  <c r="O11" i="11"/>
  <c r="Q10" i="11"/>
  <c r="O23" i="11"/>
  <c r="Q11" i="11"/>
  <c r="P23" i="11"/>
  <c r="O15" i="11"/>
  <c r="P14" i="11"/>
  <c r="P10" i="11"/>
  <c r="O14" i="11"/>
  <c r="O10" i="11"/>
  <c r="Q22" i="11" l="1"/>
  <c r="Q18" i="11"/>
  <c r="R10" i="11"/>
  <c r="P2" i="11"/>
  <c r="R14" i="11"/>
  <c r="R18" i="11"/>
  <c r="W2" i="11" s="1"/>
  <c r="Q19" i="11"/>
  <c r="R27" i="11"/>
  <c r="R23" i="11"/>
  <c r="Q3" i="11"/>
  <c r="Q27" i="11"/>
  <c r="Q2" i="11"/>
  <c r="Q23" i="11"/>
  <c r="O3" i="11"/>
  <c r="V3" i="11" s="1"/>
  <c r="R19" i="11"/>
  <c r="W3" i="11" s="1"/>
  <c r="R15" i="11"/>
  <c r="Q26" i="11"/>
  <c r="R11" i="11"/>
  <c r="P3" i="11"/>
  <c r="R26" i="11"/>
  <c r="R22" i="11"/>
  <c r="A26" i="10"/>
  <c r="G26" i="10"/>
  <c r="A46" i="10"/>
  <c r="G46" i="10"/>
  <c r="A38" i="10"/>
  <c r="G38" i="10"/>
  <c r="Q4" i="11" l="1"/>
  <c r="O19" i="11"/>
  <c r="P19" i="11"/>
  <c r="R3" i="11"/>
  <c r="P18" i="11"/>
  <c r="O18" i="11"/>
  <c r="R2" i="11"/>
  <c r="P26" i="11"/>
  <c r="O26" i="11"/>
  <c r="P4" i="11"/>
  <c r="O27" i="11"/>
  <c r="P27" i="11"/>
  <c r="O2" i="11"/>
  <c r="A39" i="10"/>
  <c r="G39" i="10"/>
  <c r="O4" i="11" l="1"/>
  <c r="V4" i="11" s="1"/>
  <c r="V2" i="11"/>
  <c r="T3" i="11"/>
  <c r="S3" i="11"/>
  <c r="R4" i="11"/>
  <c r="T2" i="11"/>
  <c r="S2" i="11"/>
  <c r="N4" i="2"/>
  <c r="S4" i="11" l="1"/>
  <c r="W4" i="11"/>
  <c r="T4" i="11"/>
  <c r="G2" i="10"/>
  <c r="A2" i="10"/>
  <c r="G17" i="10"/>
  <c r="A17" i="10"/>
  <c r="G19" i="10"/>
  <c r="A19" i="10"/>
  <c r="G20" i="10"/>
  <c r="A20" i="10"/>
  <c r="G21" i="10"/>
  <c r="A21" i="10"/>
  <c r="G22" i="10"/>
  <c r="A22" i="10"/>
  <c r="G23" i="10"/>
  <c r="A23" i="10"/>
  <c r="G24" i="10"/>
  <c r="A24" i="10"/>
  <c r="G25" i="10"/>
  <c r="A25" i="10"/>
  <c r="G27" i="10"/>
  <c r="A27" i="10"/>
  <c r="G28" i="10"/>
  <c r="A28" i="10"/>
  <c r="G29" i="10"/>
  <c r="A29" i="10"/>
  <c r="G30" i="10"/>
  <c r="A30" i="10"/>
  <c r="G31" i="10"/>
  <c r="A31" i="10"/>
  <c r="G32" i="10"/>
  <c r="A32" i="10"/>
  <c r="G33" i="10"/>
  <c r="A33" i="10"/>
  <c r="G34" i="10"/>
  <c r="A34" i="10"/>
  <c r="G35" i="10"/>
  <c r="A35" i="10"/>
  <c r="G36" i="10"/>
  <c r="A36" i="10"/>
  <c r="G37" i="10"/>
  <c r="A37" i="10"/>
  <c r="G40" i="10"/>
  <c r="A40" i="10"/>
  <c r="G41" i="10"/>
  <c r="A41" i="10"/>
  <c r="G42" i="10"/>
  <c r="A42" i="10"/>
  <c r="G43" i="10"/>
  <c r="A43" i="10"/>
  <c r="G44" i="10"/>
  <c r="A44" i="10"/>
  <c r="G45" i="10"/>
  <c r="A45" i="10"/>
  <c r="G3" i="10"/>
  <c r="A3" i="10"/>
  <c r="G4" i="10"/>
  <c r="A4" i="10"/>
  <c r="G5" i="10"/>
  <c r="A5" i="10"/>
  <c r="G6" i="10"/>
  <c r="A6" i="10"/>
  <c r="G7" i="10"/>
  <c r="A7" i="10"/>
  <c r="G8" i="10"/>
  <c r="A8" i="10"/>
  <c r="G9" i="10"/>
  <c r="A9" i="10"/>
  <c r="G11" i="10"/>
  <c r="A11" i="10"/>
  <c r="G12" i="10"/>
  <c r="A12" i="10"/>
  <c r="G13" i="10"/>
  <c r="A13" i="10"/>
  <c r="G14" i="10"/>
  <c r="A14" i="10"/>
  <c r="G15" i="10"/>
  <c r="A15" i="10"/>
  <c r="G16" i="10"/>
  <c r="A16" i="10"/>
  <c r="G18" i="10"/>
  <c r="A18" i="10"/>
  <c r="P11" i="10"/>
  <c r="O22" i="10"/>
  <c r="P10" i="10"/>
  <c r="P14" i="10"/>
  <c r="O10" i="10"/>
  <c r="O23" i="10"/>
  <c r="Q10" i="10"/>
  <c r="P23" i="10"/>
  <c r="Q11" i="10"/>
  <c r="P22" i="10"/>
  <c r="O14" i="10"/>
  <c r="P15" i="10"/>
  <c r="O11" i="10"/>
  <c r="O15" i="10"/>
  <c r="Q19" i="10" l="1"/>
  <c r="Q26" i="10"/>
  <c r="R23" i="10"/>
  <c r="R27" i="10"/>
  <c r="Q23" i="10"/>
  <c r="R19" i="10"/>
  <c r="W3" i="10" s="1"/>
  <c r="R15" i="10"/>
  <c r="R22" i="10"/>
  <c r="R26" i="10"/>
  <c r="Q2" i="10"/>
  <c r="O2" i="10" s="1"/>
  <c r="Q22" i="10"/>
  <c r="P3" i="10"/>
  <c r="R11" i="10"/>
  <c r="Q18" i="10"/>
  <c r="R10" i="10"/>
  <c r="P2" i="10"/>
  <c r="P4" i="10" s="1"/>
  <c r="Q3" i="10"/>
  <c r="O3" i="10" s="1"/>
  <c r="V3" i="10" s="1"/>
  <c r="R18" i="10"/>
  <c r="W2" i="10" s="1"/>
  <c r="R14" i="10"/>
  <c r="Q27" i="10"/>
  <c r="O4" i="1"/>
  <c r="O4" i="10" l="1"/>
  <c r="V4" i="10" s="1"/>
  <c r="V2" i="10"/>
  <c r="P27" i="10"/>
  <c r="O27" i="10"/>
  <c r="O26" i="10"/>
  <c r="P26" i="10"/>
  <c r="P18" i="10"/>
  <c r="R2" i="10"/>
  <c r="O18" i="10"/>
  <c r="Q4" i="10"/>
  <c r="O19" i="10"/>
  <c r="R3" i="10"/>
  <c r="P19" i="10"/>
  <c r="A20" i="9"/>
  <c r="G20" i="9"/>
  <c r="J20" i="9"/>
  <c r="T3" i="10" l="1"/>
  <c r="S3" i="10"/>
  <c r="R4" i="10"/>
  <c r="T2" i="10"/>
  <c r="S2" i="10"/>
  <c r="A41" i="9"/>
  <c r="G41" i="9"/>
  <c r="J41" i="9"/>
  <c r="Q22" i="9"/>
  <c r="P23" i="9"/>
  <c r="P22" i="9"/>
  <c r="Q23" i="9"/>
  <c r="W4" i="10" l="1"/>
  <c r="T4" i="10"/>
  <c r="S4" i="10"/>
  <c r="M4" i="2"/>
  <c r="J30" i="9"/>
  <c r="G30" i="9"/>
  <c r="A30" i="9"/>
  <c r="J25" i="9"/>
  <c r="G25" i="9"/>
  <c r="A25" i="9"/>
  <c r="G24" i="9"/>
  <c r="A24" i="9"/>
  <c r="J23" i="9"/>
  <c r="G23" i="9"/>
  <c r="A23" i="9"/>
  <c r="J22" i="9"/>
  <c r="G22" i="9"/>
  <c r="A22" i="9"/>
  <c r="J21" i="9"/>
  <c r="G21" i="9"/>
  <c r="A21" i="9"/>
  <c r="J19" i="9"/>
  <c r="G19" i="9"/>
  <c r="A19" i="9"/>
  <c r="J18" i="9"/>
  <c r="G18" i="9"/>
  <c r="A18" i="9"/>
  <c r="J17" i="9"/>
  <c r="G17" i="9"/>
  <c r="A17" i="9"/>
  <c r="J16" i="9"/>
  <c r="G16" i="9"/>
  <c r="A16" i="9"/>
  <c r="J9" i="9"/>
  <c r="G9" i="9"/>
  <c r="A9" i="9"/>
  <c r="J8" i="9"/>
  <c r="G8" i="9"/>
  <c r="A8" i="9"/>
  <c r="J26" i="9"/>
  <c r="G26" i="9"/>
  <c r="A26" i="9"/>
  <c r="J27" i="9"/>
  <c r="G27" i="9"/>
  <c r="A27" i="9"/>
  <c r="J28" i="9"/>
  <c r="G28" i="9"/>
  <c r="A28" i="9"/>
  <c r="J29" i="9"/>
  <c r="G29" i="9"/>
  <c r="A29" i="9"/>
  <c r="J31" i="9"/>
  <c r="G31" i="9"/>
  <c r="A31" i="9"/>
  <c r="J32" i="9"/>
  <c r="G32" i="9"/>
  <c r="A32" i="9"/>
  <c r="J33" i="9"/>
  <c r="G33" i="9"/>
  <c r="A33" i="9"/>
  <c r="J34" i="9"/>
  <c r="G34" i="9"/>
  <c r="A34" i="9"/>
  <c r="J35" i="9"/>
  <c r="G35" i="9"/>
  <c r="A35" i="9"/>
  <c r="J36" i="9"/>
  <c r="G36" i="9"/>
  <c r="A36" i="9"/>
  <c r="J37" i="9"/>
  <c r="G37" i="9"/>
  <c r="A37" i="9"/>
  <c r="J38" i="9"/>
  <c r="G38" i="9"/>
  <c r="A38" i="9"/>
  <c r="J39" i="9"/>
  <c r="G39" i="9"/>
  <c r="A39" i="9"/>
  <c r="J40" i="9"/>
  <c r="G40" i="9"/>
  <c r="A40" i="9"/>
  <c r="J2" i="9"/>
  <c r="G2" i="9"/>
  <c r="A2" i="9"/>
  <c r="J3" i="9"/>
  <c r="G3" i="9"/>
  <c r="A3" i="9"/>
  <c r="J4" i="9"/>
  <c r="G4" i="9"/>
  <c r="A4" i="9"/>
  <c r="J5" i="9"/>
  <c r="G5" i="9"/>
  <c r="A5" i="9"/>
  <c r="J6" i="9"/>
  <c r="G6" i="9"/>
  <c r="A6" i="9"/>
  <c r="J7" i="9"/>
  <c r="G7" i="9"/>
  <c r="A7" i="9"/>
  <c r="J10" i="9"/>
  <c r="G10" i="9"/>
  <c r="A10" i="9"/>
  <c r="J11" i="9"/>
  <c r="G11" i="9"/>
  <c r="A11" i="9"/>
  <c r="J12" i="9"/>
  <c r="G12" i="9"/>
  <c r="A12" i="9"/>
  <c r="J13" i="9"/>
  <c r="G13" i="9"/>
  <c r="A13" i="9"/>
  <c r="J14" i="9"/>
  <c r="G14" i="9"/>
  <c r="A14" i="9"/>
  <c r="J15" i="9"/>
  <c r="G15" i="9"/>
  <c r="A15" i="9"/>
  <c r="R10" i="9"/>
  <c r="P15" i="9"/>
  <c r="P14" i="9"/>
  <c r="Q15" i="9"/>
  <c r="Q14" i="9"/>
  <c r="R11" i="9"/>
  <c r="P11" i="9"/>
  <c r="Q11" i="9"/>
  <c r="P10" i="9"/>
  <c r="Q10" i="9"/>
  <c r="R22" i="9" l="1"/>
  <c r="R23" i="9"/>
  <c r="S19" i="9"/>
  <c r="X3" i="9" s="1"/>
  <c r="S15" i="9"/>
  <c r="S26" i="9"/>
  <c r="S22" i="9"/>
  <c r="Q2" i="9"/>
  <c r="S10" i="9"/>
  <c r="R3" i="9"/>
  <c r="P3" i="9" s="1"/>
  <c r="W3" i="9" s="1"/>
  <c r="S14" i="9"/>
  <c r="S18" i="9"/>
  <c r="X2" i="9" s="1"/>
  <c r="S11" i="9"/>
  <c r="Q3" i="9"/>
  <c r="R18" i="9"/>
  <c r="R27" i="9"/>
  <c r="R2" i="9"/>
  <c r="R19" i="9"/>
  <c r="R26" i="9"/>
  <c r="S27" i="9"/>
  <c r="S23" i="9"/>
  <c r="A39" i="7"/>
  <c r="G39" i="7"/>
  <c r="J39" i="7"/>
  <c r="A15" i="7"/>
  <c r="G15" i="7"/>
  <c r="J15" i="7"/>
  <c r="A40" i="7"/>
  <c r="G40" i="7"/>
  <c r="J40" i="7"/>
  <c r="A38" i="7"/>
  <c r="G38" i="7"/>
  <c r="R4" i="9" l="1"/>
  <c r="Q27" i="9"/>
  <c r="P27" i="9"/>
  <c r="Q19" i="9"/>
  <c r="S3" i="9"/>
  <c r="P19" i="9"/>
  <c r="Q4" i="9"/>
  <c r="P18" i="9"/>
  <c r="S2" i="9"/>
  <c r="Q18" i="9"/>
  <c r="P26" i="9"/>
  <c r="Q26" i="9"/>
  <c r="P2" i="9"/>
  <c r="N4" i="1"/>
  <c r="L4" i="2"/>
  <c r="A36" i="7"/>
  <c r="G36" i="7"/>
  <c r="J36" i="7"/>
  <c r="U3" i="9" l="1"/>
  <c r="T3" i="9"/>
  <c r="S4" i="9"/>
  <c r="U2" i="9"/>
  <c r="T2" i="9"/>
  <c r="P4" i="9"/>
  <c r="W4" i="9" s="1"/>
  <c r="W2" i="9"/>
  <c r="J5" i="7"/>
  <c r="G5" i="7"/>
  <c r="A5" i="7"/>
  <c r="J14" i="7"/>
  <c r="G14" i="7"/>
  <c r="A14" i="7"/>
  <c r="J17" i="7"/>
  <c r="G17" i="7"/>
  <c r="A17" i="7"/>
  <c r="J35" i="7"/>
  <c r="G35" i="7"/>
  <c r="A35" i="7"/>
  <c r="J34" i="7"/>
  <c r="G34" i="7"/>
  <c r="A34" i="7"/>
  <c r="J33" i="7"/>
  <c r="G33" i="7"/>
  <c r="A33" i="7"/>
  <c r="J32" i="7"/>
  <c r="G32" i="7"/>
  <c r="A32" i="7"/>
  <c r="J31" i="7"/>
  <c r="G31" i="7"/>
  <c r="A31" i="7"/>
  <c r="J30" i="7"/>
  <c r="G30" i="7"/>
  <c r="A30" i="7"/>
  <c r="J29" i="7"/>
  <c r="G29" i="7"/>
  <c r="A29" i="7"/>
  <c r="J28" i="7"/>
  <c r="G28" i="7"/>
  <c r="A28" i="7"/>
  <c r="J27" i="7"/>
  <c r="G27" i="7"/>
  <c r="A27" i="7"/>
  <c r="J26" i="7"/>
  <c r="G26" i="7"/>
  <c r="A26" i="7"/>
  <c r="J25" i="7"/>
  <c r="G25" i="7"/>
  <c r="A25" i="7"/>
  <c r="J24" i="7"/>
  <c r="G24" i="7"/>
  <c r="A24" i="7"/>
  <c r="J23" i="7"/>
  <c r="G23" i="7"/>
  <c r="A23" i="7"/>
  <c r="J22" i="7"/>
  <c r="G22" i="7"/>
  <c r="A22" i="7"/>
  <c r="J21" i="7"/>
  <c r="G21" i="7"/>
  <c r="A21" i="7"/>
  <c r="J20" i="7"/>
  <c r="G20" i="7"/>
  <c r="A20" i="7"/>
  <c r="J19" i="7"/>
  <c r="G19" i="7"/>
  <c r="A19" i="7"/>
  <c r="J18" i="7"/>
  <c r="G18" i="7"/>
  <c r="A18" i="7"/>
  <c r="J16" i="7"/>
  <c r="G16" i="7"/>
  <c r="A16" i="7"/>
  <c r="J13" i="7"/>
  <c r="G13" i="7"/>
  <c r="A13" i="7"/>
  <c r="J12" i="7"/>
  <c r="G12" i="7"/>
  <c r="A12" i="7"/>
  <c r="J11" i="7"/>
  <c r="G11" i="7"/>
  <c r="A11" i="7"/>
  <c r="J37" i="7"/>
  <c r="G37" i="7"/>
  <c r="A37" i="7"/>
  <c r="J10" i="7"/>
  <c r="G10" i="7"/>
  <c r="A10" i="7"/>
  <c r="J9" i="7"/>
  <c r="G9" i="7"/>
  <c r="A9" i="7"/>
  <c r="J8" i="7"/>
  <c r="G8" i="7"/>
  <c r="A8" i="7"/>
  <c r="J7" i="7"/>
  <c r="G7" i="7"/>
  <c r="A7" i="7"/>
  <c r="J6" i="7"/>
  <c r="G6" i="7"/>
  <c r="A6" i="7"/>
  <c r="J4" i="7"/>
  <c r="G4" i="7"/>
  <c r="A4" i="7"/>
  <c r="J3" i="7"/>
  <c r="G3" i="7"/>
  <c r="A3" i="7"/>
  <c r="J2" i="7"/>
  <c r="G2" i="7"/>
  <c r="A2" i="7"/>
  <c r="P14" i="7"/>
  <c r="P10" i="7"/>
  <c r="P11" i="7"/>
  <c r="Q14" i="7"/>
  <c r="Q23" i="7"/>
  <c r="Q10" i="7"/>
  <c r="Q11" i="7"/>
  <c r="R23" i="7"/>
  <c r="P15" i="7"/>
  <c r="R10" i="7"/>
  <c r="P23" i="7"/>
  <c r="Q22" i="7"/>
  <c r="P22" i="7"/>
  <c r="R22" i="7"/>
  <c r="R11" i="7"/>
  <c r="Q15" i="7"/>
  <c r="T4" i="9" l="1"/>
  <c r="X4" i="9"/>
  <c r="U4" i="9"/>
  <c r="S10" i="7"/>
  <c r="Q2" i="7"/>
  <c r="R3" i="7"/>
  <c r="P3" i="7" s="1"/>
  <c r="W3" i="7" s="1"/>
  <c r="S14" i="7"/>
  <c r="S18" i="7"/>
  <c r="X2" i="7" s="1"/>
  <c r="R27" i="7"/>
  <c r="R2" i="7"/>
  <c r="R4" i="7" s="1"/>
  <c r="R19" i="7"/>
  <c r="R26" i="7"/>
  <c r="S27" i="7"/>
  <c r="S23" i="7"/>
  <c r="Q3" i="7"/>
  <c r="S11" i="7"/>
  <c r="R18" i="7"/>
  <c r="S15" i="7"/>
  <c r="S19" i="7"/>
  <c r="X3" i="7" s="1"/>
  <c r="S26" i="7"/>
  <c r="S22" i="7"/>
  <c r="AA9" i="2"/>
  <c r="Z9" i="2"/>
  <c r="Q4" i="7" l="1"/>
  <c r="P2" i="7"/>
  <c r="Q19" i="7"/>
  <c r="P19" i="7"/>
  <c r="S3" i="7"/>
  <c r="Q18" i="7"/>
  <c r="P18" i="7"/>
  <c r="S2" i="7"/>
  <c r="Q26" i="7"/>
  <c r="P26" i="7"/>
  <c r="Q27" i="7"/>
  <c r="P27" i="7"/>
  <c r="A35" i="4"/>
  <c r="G35" i="4"/>
  <c r="J35" i="4"/>
  <c r="R22" i="4"/>
  <c r="S4" i="7" l="1"/>
  <c r="X4" i="7" s="1"/>
  <c r="W2" i="7"/>
  <c r="P4" i="7"/>
  <c r="W4" i="7" s="1"/>
  <c r="T2" i="7"/>
  <c r="U2" i="7"/>
  <c r="U3" i="7"/>
  <c r="T3" i="7"/>
  <c r="M4" i="1"/>
  <c r="T4" i="7" l="1"/>
  <c r="U4" i="7"/>
  <c r="K4" i="2"/>
  <c r="A10" i="4"/>
  <c r="G10" i="4"/>
  <c r="J10" i="4"/>
  <c r="A34" i="4"/>
  <c r="G34" i="4"/>
  <c r="J34" i="4"/>
  <c r="A33" i="4"/>
  <c r="G33" i="4"/>
  <c r="J33" i="4"/>
  <c r="A18" i="4"/>
  <c r="G18" i="4"/>
  <c r="J18" i="4"/>
  <c r="A3" i="4"/>
  <c r="A4" i="4"/>
  <c r="A5" i="4"/>
  <c r="A6" i="4"/>
  <c r="A7" i="4"/>
  <c r="A8" i="4"/>
  <c r="A9" i="4"/>
  <c r="A11" i="4"/>
  <c r="A12" i="4"/>
  <c r="A13" i="4"/>
  <c r="A14" i="4"/>
  <c r="A15" i="4"/>
  <c r="A2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16" i="4"/>
  <c r="A17" i="4"/>
  <c r="R21" i="4"/>
  <c r="F3" i="6" l="1"/>
  <c r="F2" i="6"/>
  <c r="F14" i="6"/>
  <c r="F13" i="6"/>
  <c r="I3" i="6"/>
  <c r="I2" i="6"/>
  <c r="I14" i="6"/>
  <c r="I13" i="6"/>
  <c r="I4" i="6"/>
  <c r="F4" i="6"/>
  <c r="I5" i="6"/>
  <c r="F5" i="6"/>
  <c r="I6" i="6"/>
  <c r="F6" i="6"/>
  <c r="I7" i="6"/>
  <c r="F7" i="6"/>
  <c r="I8" i="6"/>
  <c r="F8" i="6"/>
  <c r="I9" i="6"/>
  <c r="F9" i="6"/>
  <c r="I10" i="6"/>
  <c r="F10" i="6"/>
  <c r="I11" i="6"/>
  <c r="F11" i="6"/>
  <c r="I12" i="6"/>
  <c r="F12" i="6"/>
  <c r="I15" i="6"/>
  <c r="F15" i="6"/>
  <c r="I16" i="6"/>
  <c r="F16" i="6"/>
  <c r="I17" i="6"/>
  <c r="F17" i="6"/>
  <c r="I18" i="6"/>
  <c r="F18" i="6"/>
  <c r="I19" i="6"/>
  <c r="F19" i="6"/>
  <c r="I20" i="6"/>
  <c r="F20" i="6"/>
  <c r="I21" i="6"/>
  <c r="F21" i="6"/>
  <c r="I22" i="6"/>
  <c r="F22" i="6"/>
  <c r="I23" i="6"/>
  <c r="F23" i="6"/>
  <c r="I24" i="6"/>
  <c r="F24" i="6"/>
  <c r="I25" i="6"/>
  <c r="F25" i="6"/>
  <c r="I26" i="6"/>
  <c r="F26" i="6"/>
  <c r="I27" i="6"/>
  <c r="F27" i="6"/>
  <c r="I28" i="6"/>
  <c r="F28" i="6"/>
  <c r="I29" i="6"/>
  <c r="F29" i="6"/>
  <c r="I30" i="6"/>
  <c r="F30" i="6"/>
  <c r="I31" i="6"/>
  <c r="F31" i="6"/>
  <c r="I32" i="6"/>
  <c r="F32" i="6"/>
  <c r="I33" i="6"/>
  <c r="F33" i="6"/>
  <c r="I34" i="6"/>
  <c r="F34" i="6"/>
  <c r="P13" i="6"/>
  <c r="P13" i="4"/>
  <c r="P14" i="4"/>
  <c r="Q14" i="6"/>
  <c r="P9" i="4"/>
  <c r="P18" i="6"/>
  <c r="P14" i="6"/>
  <c r="P17" i="6"/>
  <c r="Q22" i="4"/>
  <c r="O17" i="6"/>
  <c r="P10" i="4"/>
  <c r="Q21" i="4"/>
  <c r="O25" i="6"/>
  <c r="R9" i="4"/>
  <c r="P21" i="4"/>
  <c r="Q13" i="6"/>
  <c r="O14" i="6"/>
  <c r="P26" i="6"/>
  <c r="P25" i="6"/>
  <c r="P22" i="4"/>
  <c r="O13" i="6"/>
  <c r="O26" i="6"/>
  <c r="O18" i="6"/>
  <c r="Q3" i="6" l="1"/>
  <c r="O3" i="6" s="1"/>
  <c r="V3" i="6" s="1"/>
  <c r="Q21" i="6"/>
  <c r="R30" i="6"/>
  <c r="R26" i="6"/>
  <c r="R13" i="6"/>
  <c r="P2" i="6"/>
  <c r="R17" i="6"/>
  <c r="R21" i="6"/>
  <c r="W2" i="6" s="1"/>
  <c r="Q22" i="6"/>
  <c r="Q2" i="6"/>
  <c r="O2" i="6" s="1"/>
  <c r="V2" i="6" s="1"/>
  <c r="R22" i="6"/>
  <c r="W3" i="6" s="1"/>
  <c r="R18" i="6"/>
  <c r="Q29" i="6"/>
  <c r="P3" i="6"/>
  <c r="R14" i="6"/>
  <c r="R29" i="6"/>
  <c r="R25" i="6"/>
  <c r="Q30" i="6"/>
  <c r="R2" i="4"/>
  <c r="J2" i="4"/>
  <c r="J3" i="4"/>
  <c r="J5" i="4"/>
  <c r="J7" i="4"/>
  <c r="J8" i="4"/>
  <c r="J9" i="4"/>
  <c r="J12" i="4"/>
  <c r="J13" i="4"/>
  <c r="J14" i="4"/>
  <c r="J15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11" i="4"/>
  <c r="J4" i="4"/>
  <c r="J6" i="4"/>
  <c r="J16" i="4"/>
  <c r="J17" i="4"/>
  <c r="G11" i="4"/>
  <c r="G6" i="4"/>
  <c r="G4" i="4"/>
  <c r="G16" i="4"/>
  <c r="G2" i="4"/>
  <c r="G3" i="4"/>
  <c r="G5" i="4"/>
  <c r="G7" i="4"/>
  <c r="G8" i="4"/>
  <c r="G9" i="4"/>
  <c r="G12" i="4"/>
  <c r="G13" i="4"/>
  <c r="G14" i="4"/>
  <c r="G15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17" i="4"/>
  <c r="J4" i="2"/>
  <c r="Q14" i="4"/>
  <c r="Q13" i="4"/>
  <c r="Q9" i="4"/>
  <c r="Q10" i="4"/>
  <c r="R10" i="4"/>
  <c r="P22" i="6" l="1"/>
  <c r="P21" i="6"/>
  <c r="P29" i="6"/>
  <c r="O29" i="6"/>
  <c r="R3" i="6"/>
  <c r="O22" i="6"/>
  <c r="R2" i="6"/>
  <c r="O21" i="6"/>
  <c r="P30" i="6"/>
  <c r="O30" i="6"/>
  <c r="P2" i="4"/>
  <c r="W2" i="4" s="1"/>
  <c r="Q2" i="4"/>
  <c r="Q3" i="4"/>
  <c r="R3" i="4"/>
  <c r="P3" i="4" s="1"/>
  <c r="R17" i="4"/>
  <c r="R18" i="4"/>
  <c r="S17" i="4"/>
  <c r="X2" i="4" s="1"/>
  <c r="S18" i="4"/>
  <c r="X3" i="4" s="1"/>
  <c r="S14" i="4"/>
  <c r="S9" i="4"/>
  <c r="S10" i="4"/>
  <c r="S13" i="4"/>
  <c r="L4" i="1"/>
  <c r="K4" i="1"/>
  <c r="Q18" i="4" l="1"/>
  <c r="Q17" i="4"/>
  <c r="T3" i="6"/>
  <c r="S3" i="6"/>
  <c r="T2" i="6"/>
  <c r="S2" i="6"/>
  <c r="W3" i="4"/>
  <c r="P17" i="4"/>
  <c r="S2" i="4"/>
  <c r="P18" i="4"/>
  <c r="S3" i="4"/>
  <c r="S25" i="4"/>
  <c r="R25" i="4"/>
  <c r="S26" i="4"/>
  <c r="R26" i="4"/>
  <c r="S21" i="4"/>
  <c r="S22" i="4"/>
  <c r="Q26" i="4" l="1"/>
  <c r="P26" i="4"/>
  <c r="Q25" i="4"/>
  <c r="P25" i="4"/>
  <c r="U3" i="4"/>
  <c r="T3" i="4"/>
  <c r="U2" i="4"/>
  <c r="T2" i="4"/>
  <c r="C3" i="2"/>
  <c r="J4" i="1"/>
  <c r="C3" i="1"/>
  <c r="C13" i="1"/>
  <c r="G30" i="2" l="1"/>
  <c r="E30" i="2"/>
  <c r="G28" i="2"/>
  <c r="E28" i="2"/>
  <c r="C28" i="2"/>
  <c r="D28" i="2" s="1"/>
  <c r="C30" i="2"/>
  <c r="D30" i="2" s="1"/>
  <c r="E24" i="2"/>
  <c r="D24" i="2"/>
  <c r="C24" i="2"/>
  <c r="E23" i="2"/>
  <c r="D23" i="2"/>
  <c r="C23" i="2"/>
  <c r="B21" i="2"/>
  <c r="E3" i="2" s="1"/>
  <c r="E19" i="2"/>
  <c r="D19" i="2"/>
  <c r="C19" i="2"/>
  <c r="D6" i="2" s="1"/>
  <c r="E18" i="2"/>
  <c r="D18" i="2"/>
  <c r="C18" i="2"/>
  <c r="D5" i="2" s="1"/>
  <c r="B16" i="2"/>
  <c r="D3" i="2" s="1"/>
  <c r="E14" i="2"/>
  <c r="F14" i="2" s="1"/>
  <c r="D14" i="2"/>
  <c r="C14" i="2"/>
  <c r="C6" i="2" s="1"/>
  <c r="E13" i="2"/>
  <c r="F13" i="2" s="1"/>
  <c r="D13" i="2"/>
  <c r="C13" i="2"/>
  <c r="C5" i="2" s="1"/>
  <c r="I4" i="2"/>
  <c r="H4" i="2"/>
  <c r="G4" i="2"/>
  <c r="F4" i="2"/>
  <c r="H24" i="2" l="1"/>
  <c r="H19" i="2"/>
  <c r="H23" i="2"/>
  <c r="H18" i="2"/>
  <c r="G18" i="2"/>
  <c r="F18" i="2"/>
  <c r="F24" i="2"/>
  <c r="G24" i="2"/>
  <c r="G23" i="2"/>
  <c r="F23" i="2"/>
  <c r="F19" i="2"/>
  <c r="G19" i="2"/>
  <c r="E17" i="2"/>
  <c r="C17" i="2"/>
  <c r="D4" i="2" s="1"/>
  <c r="C29" i="2"/>
  <c r="C31" i="2"/>
  <c r="F28" i="2"/>
  <c r="G29" i="2" s="1"/>
  <c r="E6" i="2"/>
  <c r="E29" i="2"/>
  <c r="E31" i="2"/>
  <c r="D17" i="2"/>
  <c r="F30" i="2"/>
  <c r="E5" i="2"/>
  <c r="H17" i="2" l="1"/>
  <c r="G17" i="2"/>
  <c r="F17" i="2"/>
  <c r="I28" i="2"/>
  <c r="H28" i="2"/>
  <c r="I30" i="2"/>
  <c r="G31" i="2"/>
  <c r="H30" i="2" s="1"/>
  <c r="I4" i="1"/>
  <c r="B21" i="1" l="1"/>
  <c r="E3" i="1" s="1"/>
  <c r="B16" i="1"/>
  <c r="D3" i="1" s="1"/>
  <c r="H4" i="1"/>
  <c r="G4" i="1"/>
  <c r="F4" i="1"/>
  <c r="M16" i="1" l="1"/>
  <c r="C12" i="1"/>
  <c r="D22" i="2"/>
  <c r="C22" i="2"/>
  <c r="E4" i="2" s="1"/>
  <c r="E22" i="2"/>
  <c r="C12" i="2"/>
  <c r="C4" i="2" s="1"/>
  <c r="D12" i="2"/>
  <c r="E12" i="2"/>
  <c r="F12" i="2" s="1"/>
  <c r="E24" i="1"/>
  <c r="D24" i="1"/>
  <c r="C24" i="1"/>
  <c r="C23" i="1"/>
  <c r="D28" i="1" s="1"/>
  <c r="D23" i="1"/>
  <c r="E23" i="1"/>
  <c r="E19" i="1"/>
  <c r="D19" i="1"/>
  <c r="C19" i="1"/>
  <c r="C18" i="1"/>
  <c r="D18" i="1"/>
  <c r="E18" i="1"/>
  <c r="E14" i="1"/>
  <c r="F14" i="1" s="1"/>
  <c r="E13" i="1"/>
  <c r="F13" i="1" s="1"/>
  <c r="D14" i="1"/>
  <c r="D13" i="1"/>
  <c r="C14" i="1"/>
  <c r="H22" i="2" l="1"/>
  <c r="L23" i="1"/>
  <c r="M23" i="1"/>
  <c r="N23" i="1" s="1"/>
  <c r="L24" i="1"/>
  <c r="M24" i="1"/>
  <c r="N24" i="1" s="1"/>
  <c r="H18" i="1"/>
  <c r="I18" i="1" s="1"/>
  <c r="H24" i="1"/>
  <c r="I24" i="1" s="1"/>
  <c r="F19" i="1"/>
  <c r="G19" i="1"/>
  <c r="H19" i="1"/>
  <c r="I19" i="1" s="1"/>
  <c r="H23" i="1"/>
  <c r="I23" i="1" s="1"/>
  <c r="G18" i="1"/>
  <c r="F18" i="1"/>
  <c r="G23" i="1"/>
  <c r="F23" i="1"/>
  <c r="F24" i="1"/>
  <c r="G24" i="1"/>
  <c r="F22" i="2"/>
  <c r="G22" i="2"/>
  <c r="F28" i="1"/>
  <c r="D30" i="1"/>
  <c r="F30" i="1" s="1"/>
  <c r="I30" i="1" s="1"/>
  <c r="E29" i="1"/>
  <c r="C31" i="1"/>
  <c r="C29" i="1"/>
  <c r="E6" i="1"/>
  <c r="E5" i="1"/>
  <c r="E31" i="1" l="1"/>
  <c r="G31" i="1"/>
  <c r="I28" i="1"/>
  <c r="G29" i="1"/>
  <c r="H28" i="1" s="1"/>
  <c r="H30" i="1" l="1"/>
  <c r="C4" i="1"/>
  <c r="D5" i="1"/>
  <c r="D6" i="1"/>
  <c r="C5" i="1"/>
  <c r="C6" i="1"/>
  <c r="D22" i="1" l="1"/>
  <c r="D12" i="1"/>
  <c r="E17" i="1"/>
  <c r="C22" i="1"/>
  <c r="E4" i="1" s="1"/>
  <c r="E22" i="1"/>
  <c r="D17" i="1"/>
  <c r="E12" i="1"/>
  <c r="F12" i="1" s="1"/>
  <c r="C17" i="1"/>
  <c r="D4" i="1" s="1"/>
  <c r="L22" i="1" l="1"/>
  <c r="M22" i="1"/>
  <c r="N22" i="1" s="1"/>
  <c r="H17" i="1"/>
  <c r="I17" i="1" s="1"/>
  <c r="G17" i="1"/>
  <c r="F17" i="1"/>
  <c r="H22" i="1"/>
  <c r="I22" i="1" s="1"/>
  <c r="G22" i="1"/>
  <c r="F22" i="1"/>
</calcChain>
</file>

<file path=xl/comments1.xml><?xml version="1.0" encoding="utf-8"?>
<comments xmlns="http://schemas.openxmlformats.org/spreadsheetml/2006/main">
  <authors>
    <author>Costanzo, Stephen</author>
  </authors>
  <commentList>
    <comment ref="H16" authorId="0" shapeId="0">
      <text>
        <r>
          <rPr>
            <b/>
            <sz val="9"/>
            <color indexed="81"/>
            <rFont val="Tahoma"/>
            <family val="2"/>
          </rPr>
          <t>Costanzo, Stephen:</t>
        </r>
        <r>
          <rPr>
            <sz val="9"/>
            <color indexed="81"/>
            <rFont val="Tahoma"/>
            <family val="2"/>
          </rPr>
          <t xml:space="preserve">
How confident are we that the mean velocity can be counted on for forecasting.</t>
        </r>
      </text>
    </comment>
    <comment ref="D27" authorId="0" shapeId="0">
      <text>
        <r>
          <rPr>
            <b/>
            <sz val="9"/>
            <color indexed="81"/>
            <rFont val="Tahoma"/>
            <family val="2"/>
          </rPr>
          <t>Costanzo, Stephen:</t>
        </r>
        <r>
          <rPr>
            <sz val="9"/>
            <color indexed="81"/>
            <rFont val="Tahoma"/>
            <family val="2"/>
          </rPr>
          <t xml:space="preserve">
How many story points were available to pull in lower priority stories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</rPr>
          <t>Costanzo, Stephen:</t>
        </r>
        <r>
          <rPr>
            <sz val="9"/>
            <color indexed="81"/>
            <rFont val="Tahoma"/>
            <family val="2"/>
          </rPr>
          <t xml:space="preserve">
Amount of extra story points remain in the final sprint</t>
        </r>
      </text>
    </comment>
  </commentList>
</comments>
</file>

<file path=xl/comments2.xml><?xml version="1.0" encoding="utf-8"?>
<comments xmlns="http://schemas.openxmlformats.org/spreadsheetml/2006/main">
  <authors>
    <author>Costanzo, Stephen</author>
  </authors>
  <commentList>
    <comment ref="B26" authorId="0" shapeId="0">
      <text>
        <r>
          <rPr>
            <b/>
            <sz val="9"/>
            <color indexed="81"/>
            <rFont val="Tahoma"/>
            <family val="2"/>
          </rPr>
          <t>Costanzo, Stephen:</t>
        </r>
        <r>
          <rPr>
            <sz val="9"/>
            <color indexed="81"/>
            <rFont val="Tahoma"/>
            <family val="2"/>
          </rPr>
          <t xml:space="preserve">
This table uses the values from the Velocity tab and cannot be modified</t>
        </r>
      </text>
    </comment>
    <comment ref="D27" authorId="0" shapeId="0">
      <text>
        <r>
          <rPr>
            <b/>
            <sz val="9"/>
            <color indexed="81"/>
            <rFont val="Tahoma"/>
            <family val="2"/>
          </rPr>
          <t>Costanzo, Stephen:</t>
        </r>
        <r>
          <rPr>
            <sz val="9"/>
            <color indexed="81"/>
            <rFont val="Tahoma"/>
            <family val="2"/>
          </rPr>
          <t xml:space="preserve">
How many story points were available to pull in lower priority stories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</rPr>
          <t>Costanzo, Stephen:</t>
        </r>
        <r>
          <rPr>
            <sz val="9"/>
            <color indexed="81"/>
            <rFont val="Tahoma"/>
            <family val="2"/>
          </rPr>
          <t xml:space="preserve">
This is the amount of extra story points are in the final sprint</t>
        </r>
      </text>
    </comment>
  </commentList>
</comments>
</file>

<file path=xl/sharedStrings.xml><?xml version="1.0" encoding="utf-8"?>
<sst xmlns="http://schemas.openxmlformats.org/spreadsheetml/2006/main" count="1811" uniqueCount="539">
  <si>
    <t>Velocity</t>
  </si>
  <si>
    <t>Overall</t>
  </si>
  <si>
    <t>AIX</t>
  </si>
  <si>
    <t>LINUX</t>
  </si>
  <si>
    <t>STD</t>
  </si>
  <si>
    <t>AVG</t>
  </si>
  <si>
    <t>MEAN</t>
  </si>
  <si>
    <t>STDERR</t>
  </si>
  <si>
    <t>Low End</t>
  </si>
  <si>
    <t>High End</t>
  </si>
  <si>
    <t>Averages</t>
  </si>
  <si>
    <t>Highlights show the outside low/high range</t>
  </si>
  <si>
    <t>Confidence</t>
  </si>
  <si>
    <t>Do Not Delete These Columns</t>
  </si>
  <si>
    <t>Calculated</t>
  </si>
  <si>
    <t>Above are all calcuated</t>
  </si>
  <si>
    <t>High</t>
  </si>
  <si>
    <t>Medium</t>
  </si>
  <si>
    <t>Low</t>
  </si>
  <si>
    <t>Sprints</t>
  </si>
  <si>
    <t>Spill &lt;--</t>
  </si>
  <si>
    <t>Fcst Sprint</t>
  </si>
  <si>
    <t>Fcst Slack</t>
  </si>
  <si>
    <t xml:space="preserve">Excess Capactity </t>
  </si>
  <si>
    <t>Beginning</t>
  </si>
  <si>
    <t>If the average velocity was used against only the backlog</t>
  </si>
  <si>
    <t>Consistency</t>
  </si>
  <si>
    <t>If the average commitment was used only for the backlog</t>
  </si>
  <si>
    <t>STD Diff</t>
  </si>
  <si>
    <t>Std ERR</t>
  </si>
  <si>
    <t>Std ERR Diff</t>
  </si>
  <si>
    <t>Grand Total</t>
  </si>
  <si>
    <t>To Do</t>
  </si>
  <si>
    <t>In Progress</t>
  </si>
  <si>
    <t>Done</t>
  </si>
  <si>
    <t>Y</t>
  </si>
  <si>
    <t>U</t>
  </si>
  <si>
    <t>A</t>
  </si>
  <si>
    <t>Story Points</t>
  </si>
  <si>
    <t>Row Labels</t>
  </si>
  <si>
    <t xml:space="preserve"> </t>
  </si>
  <si>
    <t>Added</t>
  </si>
  <si>
    <t>Commit</t>
  </si>
  <si>
    <t>Added After</t>
  </si>
  <si>
    <t>Project</t>
  </si>
  <si>
    <t>Assignee</t>
  </si>
  <si>
    <t>Summary</t>
  </si>
  <si>
    <t>Status</t>
  </si>
  <si>
    <t>Issue key</t>
  </si>
  <si>
    <t>Prjtd</t>
  </si>
  <si>
    <t>Sum of Story Points</t>
  </si>
  <si>
    <t>12/4/17</t>
  </si>
  <si>
    <t>12/18/17</t>
  </si>
  <si>
    <t>1/1/18</t>
  </si>
  <si>
    <t>1/15/18</t>
  </si>
  <si>
    <t>11/20/17</t>
  </si>
  <si>
    <t>INFAOP-9</t>
  </si>
  <si>
    <t>PXIBM207 Frame Rebuild</t>
  </si>
  <si>
    <t>Muqtadir</t>
  </si>
  <si>
    <t>INFAOP-262</t>
  </si>
  <si>
    <t>Fix fcstat utilization report for NPE ITM</t>
  </si>
  <si>
    <t>Azmath</t>
  </si>
  <si>
    <t>INFAOP-323</t>
  </si>
  <si>
    <t>PROD Cluster nodes on same Frame - LPM one of the node to other frame</t>
  </si>
  <si>
    <t>Jasim</t>
  </si>
  <si>
    <t>INFAOP-387</t>
  </si>
  <si>
    <t>Qualys Agent deployment on AIX servers - Sprint 1/29</t>
  </si>
  <si>
    <t>INFAOP-388</t>
  </si>
  <si>
    <t>AIX new build server approvals - Sprint 1/29</t>
  </si>
  <si>
    <t>INFAOP-392</t>
  </si>
  <si>
    <t>Prepare test server for L3 network firewall testing</t>
  </si>
  <si>
    <t>INFAOP-402</t>
  </si>
  <si>
    <t>Venkatesh</t>
  </si>
  <si>
    <t>INFAOP-404</t>
  </si>
  <si>
    <t>Qualys Vulnerability report review and remediation plans for SAP applications</t>
  </si>
  <si>
    <t>INFAOP-413</t>
  </si>
  <si>
    <t>JDK upgrade and openJDK Standardization on Hadoop servers - Phase 1</t>
  </si>
  <si>
    <t>INFAOP-414</t>
  </si>
  <si>
    <t>On call - Sprint 2018-01-29</t>
  </si>
  <si>
    <t>INFUOP-579</t>
  </si>
  <si>
    <t xml:space="preserve">upgrading Enterprise Manager Ops Center- Solaris </t>
  </si>
  <si>
    <t>Ramesh</t>
  </si>
  <si>
    <t>INFUOP-638</t>
  </si>
  <si>
    <t>Meltdown/Specter exploits - Planning</t>
  </si>
  <si>
    <t>Jon</t>
  </si>
  <si>
    <t>INFUOP-693</t>
  </si>
  <si>
    <t>LINUX new build server approvals - Sprint 1/29</t>
  </si>
  <si>
    <t>INFUOP-725</t>
  </si>
  <si>
    <t>Frontline Jenkins OU servers, move docker to separate filesystem</t>
  </si>
  <si>
    <t>Rakesh</t>
  </si>
  <si>
    <t>INFUOP-727</t>
  </si>
  <si>
    <t>NAS Migration 1/29 Depot_Master Titan</t>
  </si>
  <si>
    <t>Mammar</t>
  </si>
  <si>
    <t>INFUOP-728</t>
  </si>
  <si>
    <t>NAS Migration 1/29 Depot_Master Polaris</t>
  </si>
  <si>
    <t>INFUOP-729</t>
  </si>
  <si>
    <t>NAS Migration 1/29 App Teams</t>
  </si>
  <si>
    <t>INFUOP-730</t>
  </si>
  <si>
    <t xml:space="preserve">Fix_VOM_Security </t>
  </si>
  <si>
    <t>INFUOP-732</t>
  </si>
  <si>
    <t>Test and Add  CPUs Online on OSR003 VPAR</t>
  </si>
  <si>
    <t>BHuvan</t>
  </si>
  <si>
    <t>INFUOP-733</t>
  </si>
  <si>
    <t>Add Engineering iLO IP addresses under infoblox DNS Host entries</t>
  </si>
  <si>
    <t>INFUOP-734</t>
  </si>
  <si>
    <t>Modify existing Engineering Patching and Patch Validation script to map with Current Q1 standard</t>
  </si>
  <si>
    <t>INFUOP-735</t>
  </si>
  <si>
    <t>Service Now Self-Service Patching - 01/29/2018</t>
  </si>
  <si>
    <t>PMalla2</t>
  </si>
  <si>
    <t>INFUOP-736</t>
  </si>
  <si>
    <t>Test HPE Storage Array - Split / Join</t>
  </si>
  <si>
    <t>INFUOP-739</t>
  </si>
  <si>
    <t>Bhuvan</t>
  </si>
  <si>
    <t>Adding check_aix with options to call functions as"Arg"</t>
  </si>
  <si>
    <t>NPE Cluster nodes on same Frame - create collocation rules in PowerVC</t>
  </si>
  <si>
    <t>Migrate admin servers mail relay server to AD</t>
  </si>
  <si>
    <t>INFAOP-401</t>
  </si>
  <si>
    <t>INFAOP-322</t>
  </si>
  <si>
    <t>INFAOP-324</t>
  </si>
  <si>
    <t>All</t>
  </si>
  <si>
    <t>TTL SP</t>
  </si>
  <si>
    <t>By Added</t>
  </si>
  <si>
    <t>(blank)</t>
  </si>
  <si>
    <t>Total Done / Committed</t>
  </si>
  <si>
    <t>Total Done / Overall</t>
  </si>
  <si>
    <t>Added Done</t>
  </si>
  <si>
    <t>Committed Done</t>
  </si>
  <si>
    <t>Total Done</t>
  </si>
  <si>
    <t>Total Story Points</t>
  </si>
  <si>
    <t>Prj Story Points</t>
  </si>
  <si>
    <t>Prj Added Done</t>
  </si>
  <si>
    <t>A Total</t>
  </si>
  <si>
    <t>U Total</t>
  </si>
  <si>
    <t>Team</t>
  </si>
  <si>
    <t>Committed</t>
  </si>
  <si>
    <t>Blocked</t>
  </si>
  <si>
    <t>Completed</t>
  </si>
  <si>
    <t>UNIX</t>
  </si>
  <si>
    <t>* Ignores Blocked</t>
  </si>
  <si>
    <t xml:space="preserve">* NOTE: On this tables, committed (and all percentages) INCLUDES Blocked </t>
  </si>
  <si>
    <t>* Blocked + Committed should equal commited on the orange chart</t>
  </si>
  <si>
    <t>Overall 
Completion</t>
  </si>
  <si>
    <t>Committed 
Completed</t>
  </si>
  <si>
    <t>Completion V 
Committed</t>
  </si>
  <si>
    <t>Prj Cmpt</t>
  </si>
  <si>
    <t>Added 
Completed</t>
  </si>
  <si>
    <t>10/23/17</t>
  </si>
  <si>
    <t>11/6/17</t>
  </si>
  <si>
    <t>INFUOP-715</t>
  </si>
  <si>
    <t>Service Now Self-Service Patching - 01/22/2018</t>
  </si>
  <si>
    <t>INFUOP-710</t>
  </si>
  <si>
    <t>DL Firmware upgrade on tstehub002</t>
  </si>
  <si>
    <t>VS</t>
  </si>
  <si>
    <t>INFUOP-705</t>
  </si>
  <si>
    <t>Upgrade Eng iLOs to latest Firmware version</t>
  </si>
  <si>
    <t>BMadasa1</t>
  </si>
  <si>
    <t>INFUOP-692</t>
  </si>
  <si>
    <t>LINUX new build server approvals - Sprint 1/15</t>
  </si>
  <si>
    <t>JChrist30</t>
  </si>
  <si>
    <t>INFUOP-687</t>
  </si>
  <si>
    <t>BL Firmware upgrade on tsttbco102 &amp; tsttbco103</t>
  </si>
  <si>
    <t>INFUOP-686</t>
  </si>
  <si>
    <t xml:space="preserve">Testing Patches for Spectre/Meltdown vulnerabilities </t>
  </si>
  <si>
    <t>INFUOP-685</t>
  </si>
  <si>
    <t>File share discovery for Compliance  1/15/2018</t>
  </si>
  <si>
    <t>INFUOP-684</t>
  </si>
  <si>
    <t xml:space="preserve">Install and configure Kubernetes </t>
  </si>
  <si>
    <t>INFUOP-683</t>
  </si>
  <si>
    <t>Install Selenium on Linux Server</t>
  </si>
  <si>
    <t>INFUOP-675</t>
  </si>
  <si>
    <t>Q1 - Patching Validation - AIX , Linux &amp; Solaris</t>
  </si>
  <si>
    <t>INFUOP-674</t>
  </si>
  <si>
    <t>Engineering iLO Standardization - iLO Amplifier Setup</t>
  </si>
  <si>
    <t>INFUOP-672</t>
  </si>
  <si>
    <t>Engineering  HPE Hardware monitoring - HP SSACLI Setup / configuration</t>
  </si>
  <si>
    <t>INFUOP-671</t>
  </si>
  <si>
    <t>Engineering iLO Standardization - HPONCFG configuration</t>
  </si>
  <si>
    <t>INFUOP-670</t>
  </si>
  <si>
    <t>NAS Migration 1/15</t>
  </si>
  <si>
    <t>MRashid</t>
  </si>
  <si>
    <t>INFUOP-669</t>
  </si>
  <si>
    <t>UNIX On-Call 1/16-1/29</t>
  </si>
  <si>
    <t>INFUOP-666</t>
  </si>
  <si>
    <t>Prepwork for upgrading Enterprise Manager Ops Center - Solaris</t>
  </si>
  <si>
    <t>RMalemp</t>
  </si>
  <si>
    <t>INFUOP-664</t>
  </si>
  <si>
    <t>Q1_18 Patching on Solaris admin servers _sprint_1-15</t>
  </si>
  <si>
    <t>INFUOP-650</t>
  </si>
  <si>
    <t>Access to Engineering Servers</t>
  </si>
  <si>
    <t>VAnnapu</t>
  </si>
  <si>
    <t>INFUOP-589</t>
  </si>
  <si>
    <t>Qualys Agent Deployment on Linux servers_sprint-1_15</t>
  </si>
  <si>
    <t>INFAOP-393</t>
  </si>
  <si>
    <t>Boot_Lun migration on prdspot010 &amp; prdspot011</t>
  </si>
  <si>
    <t>INFAOP-379</t>
  </si>
  <si>
    <t>Qualys Agent deployment on AIX servers - Sprint 1/15</t>
  </si>
  <si>
    <t>SPadiya1</t>
  </si>
  <si>
    <t>INFAOP-378</t>
  </si>
  <si>
    <t>Meltdown vulnerability  -  Test and deploy IBM frame firmware</t>
  </si>
  <si>
    <t>INFAOP-377</t>
  </si>
  <si>
    <t>AIX new build server approvals - Sprint 1/15</t>
  </si>
  <si>
    <t>INFAOP-376</t>
  </si>
  <si>
    <t>L3 IP request for subset of Phase II servers</t>
  </si>
  <si>
    <t>AKhan130</t>
  </si>
  <si>
    <t>INFAOP-375</t>
  </si>
  <si>
    <t>AIX On Call - Sprint 1/15</t>
  </si>
  <si>
    <t>INFAOP-264</t>
  </si>
  <si>
    <t>Resolve ITM collection issue for trnpxdb003</t>
  </si>
  <si>
    <t>INFAOP-142</t>
  </si>
  <si>
    <t>ttibm605 Fixing LPM issues</t>
  </si>
  <si>
    <t>MAbdul1</t>
  </si>
  <si>
    <t>INFAOP-139</t>
  </si>
  <si>
    <t>IBM Frame ttibm605 evacuation.</t>
  </si>
  <si>
    <t>INFAOP-137</t>
  </si>
  <si>
    <t>Clearclone parameter in AIX Clusters</t>
  </si>
  <si>
    <t>INFAOP-10</t>
  </si>
  <si>
    <t>VIOS Q1 Patching - Polaris NPE</t>
  </si>
  <si>
    <t>MJasim</t>
  </si>
  <si>
    <t>INFAOP-7</t>
  </si>
  <si>
    <t>VIOS Q1 Patching - Titan NPE</t>
  </si>
  <si>
    <t>* Percentages are over the non-blocked items</t>
  </si>
  <si>
    <t>INFAOP-421</t>
  </si>
  <si>
    <t>L2-L3 migration for Passive QVXP database servers</t>
  </si>
  <si>
    <t>INFAOP-425</t>
  </si>
  <si>
    <t>SAN Migration on pelspdm110</t>
  </si>
  <si>
    <t>INFAOP-430</t>
  </si>
  <si>
    <t>Testing AIX Live update</t>
  </si>
  <si>
    <t>INFUOP-747</t>
  </si>
  <si>
    <t xml:space="preserve">svchealth  App servers disks reclaiming Non-Prod </t>
  </si>
  <si>
    <t>INFUOP-748</t>
  </si>
  <si>
    <t>svchealth  App servers disks reclaiming Prod Env.</t>
  </si>
  <si>
    <t>ID</t>
  </si>
  <si>
    <t>INFAOP-395</t>
  </si>
  <si>
    <t>Frame Rebuild - TTIBM605 Phase 1</t>
  </si>
  <si>
    <t>N</t>
  </si>
  <si>
    <t>Prabal</t>
  </si>
  <si>
    <t>Santosh</t>
  </si>
  <si>
    <t>Auditing /usr/sap on AIX npe sap servers</t>
  </si>
  <si>
    <t>1/29/18</t>
  </si>
  <si>
    <t>Commit Not Done</t>
  </si>
  <si>
    <t>INFUOP-770</t>
  </si>
  <si>
    <t>Connect:Enterprise (file transfer XFER) servers network down remediation</t>
  </si>
  <si>
    <t xml:space="preserve">Backlog </t>
  </si>
  <si>
    <t>SS - 2/12</t>
  </si>
  <si>
    <t>SS - 2/16</t>
  </si>
  <si>
    <t>PXIBM207 Frame Rebuild- Phase2</t>
  </si>
  <si>
    <t>INFAOP-399</t>
  </si>
  <si>
    <t>Disabling "critical" parameter on SFHA AIX cluster servers for all Disk groups</t>
  </si>
  <si>
    <t>INFAOP-434</t>
  </si>
  <si>
    <t>AIX new build server approvals - Sprint 2/12</t>
  </si>
  <si>
    <t>INFAOP-435</t>
  </si>
  <si>
    <t xml:space="preserve"> Qualys Agent deployment on AIX servers - Sprint 2/12</t>
  </si>
  <si>
    <t>INFAOP-436</t>
  </si>
  <si>
    <t>On call - Sprint 2018-02-12</t>
  </si>
  <si>
    <t>INFAOP-438</t>
  </si>
  <si>
    <t>L2/L3 migration trnpxdb001/002/003</t>
  </si>
  <si>
    <t>INFAOP-439</t>
  </si>
  <si>
    <t>SAN Migration - 2018-02-12</t>
  </si>
  <si>
    <t>Qualys Agent deployment on Linux servers - Sprint 2/12</t>
  </si>
  <si>
    <t>INFAOP-467</t>
  </si>
  <si>
    <t>PXIBM207- Frame Rebuild- Phase2 - Rework-External Issues</t>
  </si>
  <si>
    <t>INFAOP-468</t>
  </si>
  <si>
    <t>NPE Frame Spike Issue-Investigation</t>
  </si>
  <si>
    <t>INFAOP-469</t>
  </si>
  <si>
    <t xml:space="preserve">Fixing pxibm214/pxibm215 VIO SEA private network </t>
  </si>
  <si>
    <t>INFUOP-97</t>
  </si>
  <si>
    <t>Change of EIT DNS Server IP _Sprint-2_12</t>
  </si>
  <si>
    <t>INFUOP-738</t>
  </si>
  <si>
    <t>HPE Linux Firmware installation - Puppet Module</t>
  </si>
  <si>
    <t>INFUOP-765</t>
  </si>
  <si>
    <t>New Server Approvals</t>
  </si>
  <si>
    <t>INFUOP-766</t>
  </si>
  <si>
    <t>OSR migration project</t>
  </si>
  <si>
    <t>INFUOP-767</t>
  </si>
  <si>
    <t>Document Docker Standards for Linux</t>
  </si>
  <si>
    <t>INFUOP-768</t>
  </si>
  <si>
    <t>Sox Audit for 800+ UNIX Server</t>
  </si>
  <si>
    <t>INFUOP-769</t>
  </si>
  <si>
    <t>HP-UX Cyberark setup</t>
  </si>
  <si>
    <t>INFUOP-771</t>
  </si>
  <si>
    <t xml:space="preserve">NAS Migration Depot </t>
  </si>
  <si>
    <t>INFUOP-773</t>
  </si>
  <si>
    <t>On Call - Linux / Solaris - Week 07 &amp; 08</t>
  </si>
  <si>
    <t>INFUOP-774</t>
  </si>
  <si>
    <t xml:space="preserve">Connect Enterprise (file transfer) -prdxfer003/004 -vcs cluster modification </t>
  </si>
  <si>
    <t>INFUOP-776</t>
  </si>
  <si>
    <t>investigate frequent solaris patching issues and Review the Standards followed by Patching team</t>
  </si>
  <si>
    <t>INFUOP-778</t>
  </si>
  <si>
    <t>Migrate Linux Servers Running "RAID 0" to "RAID 1"</t>
  </si>
  <si>
    <t>INFUOP-779</t>
  </si>
  <si>
    <t>Standardize 'hponcfg' &amp; 'ssacli' across all Linux environment</t>
  </si>
  <si>
    <t>INFUOP-781</t>
  </si>
  <si>
    <t>Sync - HPE ISO Repo Between DC</t>
  </si>
  <si>
    <t>INFUOP-782</t>
  </si>
  <si>
    <t>Remove "OFF" HPVMs &amp; vPARs those were Decommed - Cleanup</t>
  </si>
  <si>
    <t>INFUOP-783</t>
  </si>
  <si>
    <t>Patch Servers under Kevin Luu for Q1 2018</t>
  </si>
  <si>
    <t>INFUOP-784</t>
  </si>
  <si>
    <t>Publish Patch Set Bundle for Q1 2018</t>
  </si>
  <si>
    <t>INFUOP-785</t>
  </si>
  <si>
    <t xml:space="preserve">Multi-factor authentication on UNIX servers </t>
  </si>
  <si>
    <t>INFUOP-786</t>
  </si>
  <si>
    <t>Puppet Task POC</t>
  </si>
  <si>
    <t>Total</t>
  </si>
  <si>
    <t>Fix VOM Security</t>
  </si>
  <si>
    <t>INFAOP-497</t>
  </si>
  <si>
    <t>L2-L3 Migration for Passive RPX DB Nodes</t>
  </si>
  <si>
    <t>y</t>
  </si>
  <si>
    <t>Auditing /usr/sap on AIX NPE SAP Servers</t>
  </si>
  <si>
    <t>INFUOP-789</t>
  </si>
  <si>
    <t>Vulnerabilities on UNIX Servers</t>
  </si>
  <si>
    <t>INFUOP-796</t>
  </si>
  <si>
    <t>2/12/18</t>
  </si>
  <si>
    <t>INFUOP-830</t>
  </si>
  <si>
    <t>Latency NFS Issues prdpatdmg0001/0002</t>
  </si>
  <si>
    <t>INFUOP-837</t>
  </si>
  <si>
    <t>Mongo DB Installation and support to DBA</t>
  </si>
  <si>
    <t>INFAOP-505</t>
  </si>
  <si>
    <t>PatchME Now Deployment Error</t>
  </si>
  <si>
    <t>INFUOP-834</t>
  </si>
  <si>
    <t>PatchmME Now Deployment Error</t>
  </si>
  <si>
    <t>INFUOP-851</t>
  </si>
  <si>
    <t>NAS and Firewall Pre-Requests for setting Kdump on all linux environment.</t>
  </si>
  <si>
    <t>INFUOP-850</t>
  </si>
  <si>
    <t xml:space="preserve">VOM Maintenance </t>
  </si>
  <si>
    <t>INFUOP-849</t>
  </si>
  <si>
    <t>NAS Migration Cleanup</t>
  </si>
  <si>
    <t>INFUOP-848</t>
  </si>
  <si>
    <t>ON-CALL LINUX 02_26_2018</t>
  </si>
  <si>
    <t>INFUOP-847</t>
  </si>
  <si>
    <t>OSR migration tasks - 2/26 sprint</t>
  </si>
  <si>
    <t>INFUOP-846</t>
  </si>
  <si>
    <t>Puppet Tasks - Script update &amp; Training</t>
  </si>
  <si>
    <t>INFUOP-842</t>
  </si>
  <si>
    <t>Summarizing Servers list for Upcoming SAN migration</t>
  </si>
  <si>
    <t>INFUOP-841</t>
  </si>
  <si>
    <t>Engineering iLO Standardization - Phase 2</t>
  </si>
  <si>
    <t>INFUOP-839</t>
  </si>
  <si>
    <t>Modify SSACLI scripting</t>
  </si>
  <si>
    <t>INFUOP-838</t>
  </si>
  <si>
    <t>Enable and Process puppet Service across all Linux Servers</t>
  </si>
  <si>
    <t>INFUOP-694</t>
  </si>
  <si>
    <t>LINUX new build server approvals - Sprint 2/12</t>
  </si>
  <si>
    <t>INFUOP-254</t>
  </si>
  <si>
    <t>RHEL 7 and RHEL 6 build image hardening</t>
  </si>
  <si>
    <t>INFAOP-521</t>
  </si>
  <si>
    <t>AIX Liveupdate testing on selected servers</t>
  </si>
  <si>
    <t>INFAOP-518</t>
  </si>
  <si>
    <t>Veritas upgrade on admtrac005/006 to 7.3</t>
  </si>
  <si>
    <t>INFAOP-517</t>
  </si>
  <si>
    <t>AIX Sprint On call - 02/26 - 03/12</t>
  </si>
  <si>
    <t>INFAOP-515</t>
  </si>
  <si>
    <t>INFAOP-514</t>
  </si>
  <si>
    <t>Integrate Liveupdate with patching automation</t>
  </si>
  <si>
    <t>INFAOP-511</t>
  </si>
  <si>
    <t>Automate boot lun migration</t>
  </si>
  <si>
    <t>INFAOP-510</t>
  </si>
  <si>
    <t>Meltdown vulnerability - rollout frame firmware to NPE IBM frames</t>
  </si>
  <si>
    <t>INFAOP-504</t>
  </si>
  <si>
    <t>AIX new build server approvals - Sprint 2/26</t>
  </si>
  <si>
    <t>INFAOP-503</t>
  </si>
  <si>
    <t>Qualys Agent deployment on AIX servers - Sprint 2/26</t>
  </si>
  <si>
    <t>INFAOP-501</t>
  </si>
  <si>
    <t>AIX Liveupdate testing on selected SAP NPE servers</t>
  </si>
  <si>
    <t>INFAOP-398</t>
  </si>
  <si>
    <t>PXIBM208 Frame Rebuild - Phase 1</t>
  </si>
  <si>
    <t>INFAOP-397</t>
  </si>
  <si>
    <t xml:space="preserve">Create a script to automate /goldengate file system creation on AIX npe servers </t>
  </si>
  <si>
    <t>INFAOP-263</t>
  </si>
  <si>
    <t>Fix fcstat utilization report for PROD ITM</t>
  </si>
  <si>
    <t>INFAOP-2</t>
  </si>
  <si>
    <t>VIOS patching - Polaris PRD</t>
  </si>
  <si>
    <t>2/26/18</t>
  </si>
  <si>
    <t>INFUOP-843</t>
  </si>
  <si>
    <t>Qualys agent on linux _Sprint 2_26</t>
  </si>
  <si>
    <t>INFUOP-844</t>
  </si>
  <si>
    <t xml:space="preserve">DNS IP migration </t>
  </si>
  <si>
    <t>INFUOP-852</t>
  </si>
  <si>
    <t xml:space="preserve">Vulnerabilities on Unix servers </t>
  </si>
  <si>
    <t>INFUOP-853</t>
  </si>
  <si>
    <t>Multi-factor authentication on UNIX servers</t>
  </si>
  <si>
    <t>INFUOP-854</t>
  </si>
  <si>
    <t>INFUOP-855</t>
  </si>
  <si>
    <t xml:space="preserve">service know KB articles review </t>
  </si>
  <si>
    <t>INFUOP-859</t>
  </si>
  <si>
    <t>BL460 Firmware upgrade on pelensp106</t>
  </si>
  <si>
    <t>INFUOP-860</t>
  </si>
  <si>
    <t>BL460 Firmware upgrade on pelensp107</t>
  </si>
  <si>
    <t>INFUOP-861</t>
  </si>
  <si>
    <t>BL460 Firmware upgrade on pelensp108</t>
  </si>
  <si>
    <t>INFUOP-863</t>
  </si>
  <si>
    <t>OSR Migrations Tasks (Part II)</t>
  </si>
  <si>
    <t>INFUOP-867</t>
  </si>
  <si>
    <t>Appsync POC Troubleshooting session</t>
  </si>
  <si>
    <t>INFAOP-452</t>
  </si>
  <si>
    <t>TTIBM609 Frame Rebuild -Phase 1</t>
  </si>
  <si>
    <t>Added After SS</t>
  </si>
  <si>
    <t>AIX Liveupdate testing on selected SAP NPE servers - Venkatesh</t>
  </si>
  <si>
    <t>INFAOP-576</t>
  </si>
  <si>
    <t>L2 - L3 migration stgtbdb201</t>
  </si>
  <si>
    <t>INFUOP-857</t>
  </si>
  <si>
    <t>Connect Enterprise</t>
  </si>
  <si>
    <t>INFUOP-891</t>
  </si>
  <si>
    <t>Multi-factor authentication on AIX servers</t>
  </si>
  <si>
    <t>INFUOP-887</t>
  </si>
  <si>
    <t xml:space="preserve">Vulnerabilities and patching standards -Solaris </t>
  </si>
  <si>
    <t>INFUOP-885</t>
  </si>
  <si>
    <t>LINUX On-Call Sprint 2018-03-12</t>
  </si>
  <si>
    <t>INFUOP-884</t>
  </si>
  <si>
    <t>patching Kevin Luu Servers 3/12 Sprint</t>
  </si>
  <si>
    <t>INFUOP-883</t>
  </si>
  <si>
    <t xml:space="preserve">NAS Migration Cleanup </t>
  </si>
  <si>
    <t>INFUOP-882</t>
  </si>
  <si>
    <t>iLO Local users Password rotation</t>
  </si>
  <si>
    <t>INFUOP-880</t>
  </si>
  <si>
    <t>Spectre Meltdown - Testing Firmware patches on HPE Gen8, 9 &amp; 10</t>
  </si>
  <si>
    <t>INFUOP-874</t>
  </si>
  <si>
    <t>Dell IDRAC Standards DOC</t>
  </si>
  <si>
    <t>INFUOP-873</t>
  </si>
  <si>
    <t>Qualys Agent deployment on Linux servers - Sprint3_12</t>
  </si>
  <si>
    <t>INFUOP-865</t>
  </si>
  <si>
    <t xml:space="preserve">Tidal upgrade </t>
  </si>
  <si>
    <t>INFUOP-787</t>
  </si>
  <si>
    <t>OpenJDK Standardization on Hadoop servers - Phase 2</t>
  </si>
  <si>
    <t>Solaris Q2 patches</t>
  </si>
  <si>
    <t>INFAOP-592</t>
  </si>
  <si>
    <t>AIX On Call - Sprint 3/12</t>
  </si>
  <si>
    <t>INFAOP-591</t>
  </si>
  <si>
    <t>Qualys Agent deployment on AIX servers - Sprint 3/12</t>
  </si>
  <si>
    <t>INFAOP-590</t>
  </si>
  <si>
    <t>AIX new build server approvals - Sprint 3/12</t>
  </si>
  <si>
    <t>INFAOP-586</t>
  </si>
  <si>
    <t>L2-L3 migration for Active CPRF database servers</t>
  </si>
  <si>
    <t>INFAOP-582</t>
  </si>
  <si>
    <t>L2-L3 migration for Passive RPX database servers</t>
  </si>
  <si>
    <t>INFAOP-577</t>
  </si>
  <si>
    <t>AIX upgrade from 6.1 to 7.2 - 22 NPE servers</t>
  </si>
  <si>
    <t>INFAOP-537</t>
  </si>
  <si>
    <t>VIO's Q1 2018 Patching - PXIBM113/202 and TTIBM602/605/607</t>
  </si>
  <si>
    <t>INFAOP-536</t>
  </si>
  <si>
    <t>VIO's Q1 2018 Patching - PXIBM112/201 and TTIBM601</t>
  </si>
  <si>
    <t>INFAOP-530</t>
  </si>
  <si>
    <t>VIO's Q1 2018 Patching - PXIBM106/107/108/110</t>
  </si>
  <si>
    <t>INFAOP-526</t>
  </si>
  <si>
    <t>VIO's Q1 2018 Patching - PXIBM100/103/104/105</t>
  </si>
  <si>
    <t>INFAOP-520</t>
  </si>
  <si>
    <t>Fix DMP paths on servers-All storage-All paths</t>
  </si>
  <si>
    <t>INFAOP-519</t>
  </si>
  <si>
    <t>AIX Live update testing-Muqtadir</t>
  </si>
  <si>
    <t>INFAOP-509</t>
  </si>
  <si>
    <t>Update NPE PowerVC to 1.4.0.1</t>
  </si>
  <si>
    <t>INFAOP-508</t>
  </si>
  <si>
    <t>Patch Linux on Power hosts - admplpyum0009, tstplpvcx0001, tstplpvcx0002</t>
  </si>
  <si>
    <t>INFAOP-380</t>
  </si>
  <si>
    <t>Test - LDAP Integration with HMC</t>
  </si>
  <si>
    <t>INFUOP-903</t>
  </si>
  <si>
    <t>Q2 2018 Platform Standards document</t>
  </si>
  <si>
    <t>INFUOP-900</t>
  </si>
  <si>
    <t>New server build approvals</t>
  </si>
  <si>
    <t>INFUOP-899</t>
  </si>
  <si>
    <t>How to Handle HP OpenView Agent Tickets - UNIX Servers (KB Q2) Refresh</t>
  </si>
  <si>
    <t>INFUOP-898</t>
  </si>
  <si>
    <t xml:space="preserve">SOX/PCI Attestation Tasks for Unix Servers(KB Q2) Refresh </t>
  </si>
  <si>
    <t>INFUOP-895</t>
  </si>
  <si>
    <t xml:space="preserve">Licence Update for TimeTravel </t>
  </si>
  <si>
    <t>INFUOP-894</t>
  </si>
  <si>
    <t>OSR Migration Project Sprint 3/12</t>
  </si>
  <si>
    <t>INFUOP-893</t>
  </si>
  <si>
    <t>Conversion Demonstration</t>
  </si>
  <si>
    <t>INFUOP-890</t>
  </si>
  <si>
    <t>Rubrik POC testing for XFS and VXFS file recovery - Phase1</t>
  </si>
  <si>
    <t>INFAOP-548</t>
  </si>
  <si>
    <t>VIO's Q1 2018 Patching - PXIBM208/209/210/111</t>
  </si>
  <si>
    <t>INFUOP-909</t>
  </si>
  <si>
    <t>INFAOP-538</t>
  </si>
  <si>
    <t>VIO's Q1 2018 Patching - PXIBM114/203 and TTIBM603</t>
  </si>
  <si>
    <t>INFAOP-594</t>
  </si>
  <si>
    <t>Veritas upgrade to 7.3 on stand alone system  tstsposx101.</t>
  </si>
  <si>
    <t>iLO Amplifier Upgrade - EIT</t>
  </si>
  <si>
    <t>INFUOP-923</t>
  </si>
  <si>
    <t>Q2 Platform Document (LINUX)</t>
  </si>
  <si>
    <t>INFUOP-922</t>
  </si>
  <si>
    <t>Master Depot/NFS/Infra Replication Re architecture</t>
  </si>
  <si>
    <t>INFUOP-920</t>
  </si>
  <si>
    <t>OSR Migration Project Sprint 3/26</t>
  </si>
  <si>
    <t>INFUOP-919</t>
  </si>
  <si>
    <t>New Server Approvals - Sprint 3/26</t>
  </si>
  <si>
    <t>INFUOP-918</t>
  </si>
  <si>
    <t>INFUOP-917</t>
  </si>
  <si>
    <t>POC - VM Snapshot  using PowerCLI</t>
  </si>
  <si>
    <t>INFUOP-916</t>
  </si>
  <si>
    <t>Dell IDRAC Standards DOC Phase 2</t>
  </si>
  <si>
    <t>INFUOP-915</t>
  </si>
  <si>
    <t>Clear Stale Mounts</t>
  </si>
  <si>
    <t>INFUOP-914</t>
  </si>
  <si>
    <t>Update patch-set document for Q2 2018</t>
  </si>
  <si>
    <t>INFUOP-913</t>
  </si>
  <si>
    <t>Testing Linux Patch set for Q2 2018</t>
  </si>
  <si>
    <t>INFUOP-912</t>
  </si>
  <si>
    <t>Engineering - iLO Integration with LDAP [ POC ]</t>
  </si>
  <si>
    <t>INFUOP-911</t>
  </si>
  <si>
    <t xml:space="preserve">SNMP/r-commands vulnerability on Solaris </t>
  </si>
  <si>
    <t>INFUOP-910</t>
  </si>
  <si>
    <t xml:space="preserve">NAS Firewall Standardization Document </t>
  </si>
  <si>
    <t>INFUOP-908</t>
  </si>
  <si>
    <t>Fail over test for NFSv4 on Isilon</t>
  </si>
  <si>
    <t>INFUOP-901</t>
  </si>
  <si>
    <t xml:space="preserve">Hadoop /opt remediation </t>
  </si>
  <si>
    <t>INFUOP-886</t>
  </si>
  <si>
    <t>LINUX oncall Sprint 3_26</t>
  </si>
  <si>
    <t>INFUOP-881</t>
  </si>
  <si>
    <t xml:space="preserve">Set of iLOs missing DNS records are identified - Add DNS Host Records </t>
  </si>
  <si>
    <t>INFUOP-574</t>
  </si>
  <si>
    <t xml:space="preserve">Solaris Auto Service Request (ASR) cleanups </t>
  </si>
  <si>
    <t>INFAOP-613</t>
  </si>
  <si>
    <t>Minotaur firmware upgrade PROD</t>
  </si>
  <si>
    <t>INFAOP-612</t>
  </si>
  <si>
    <t>Minotaur firmware upgrade NPE</t>
  </si>
  <si>
    <t>INFAOP-605</t>
  </si>
  <si>
    <t>update Automated capacity management threshold settings - CPU,Memory and AME</t>
  </si>
  <si>
    <t>INFAOP-601</t>
  </si>
  <si>
    <t>Update AIX Patching automation script for Q2 2018 standard</t>
  </si>
  <si>
    <t>INFAOP-600</t>
  </si>
  <si>
    <t>Define Q2 2018 AIX platform standards</t>
  </si>
  <si>
    <t>INFAOP-598</t>
  </si>
  <si>
    <t>Investigate the missing ITM data for listed servers</t>
  </si>
  <si>
    <t>INFAOP-539</t>
  </si>
  <si>
    <t>VIO's Q1 2018 Patching - PXIBM115/204 and TTIBM604</t>
  </si>
  <si>
    <t>INFAOP-199</t>
  </si>
  <si>
    <t>Veritas upgrade using alt_disk_install method</t>
  </si>
  <si>
    <t>INFAOP-196</t>
  </si>
  <si>
    <t>ITM - Remediate offline ITM agents</t>
  </si>
  <si>
    <t>INFAOP-194</t>
  </si>
  <si>
    <t>Automated capacity management - Not able to get recommended EC-VP Values</t>
  </si>
  <si>
    <t>3/13/18</t>
  </si>
  <si>
    <t>3/13/188</t>
  </si>
  <si>
    <t>INFUOP-879</t>
  </si>
  <si>
    <t>EIT iLO Amplifier - Update to 1.15 Version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</si>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</sst>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m/d/yy;@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rgb="FF333333"/>
      <name val="Arial"/>
      <family val="2"/>
    </font>
    <font>
      <sz val="9"/>
      <color rgb="FF333333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9"/>
      <color rgb="FFFA7D0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rgb="FFE143A5"/>
      <name val="Calibri"/>
      <family val="2"/>
      <scheme val="minor"/>
    </font>
    <font>
      <b/>
      <sz val="8"/>
      <color rgb="FFE143A5"/>
      <name val="Arial"/>
      <family val="2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9"/>
      <color rgb="FF333333"/>
      <name val="Calibri"/>
      <family val="2"/>
    </font>
    <font>
      <b/>
      <sz val="8"/>
      <color theme="0"/>
      <name val="Arial"/>
      <family val="2"/>
    </font>
    <font>
      <sz val="11"/>
      <color rgb="FFFFFF00"/>
      <name val="Calibri"/>
      <family val="2"/>
      <scheme val="minor"/>
    </font>
    <font>
      <sz val="9"/>
      <color rgb="FF33333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rgb="FFFA7D00"/>
      <name val="Calibri"/>
      <family val="2"/>
      <scheme val="minor"/>
    </font>
    <font>
      <sz val="9"/>
      <color rgb="FF3F3F76"/>
      <name val="Calibri"/>
      <family val="2"/>
      <scheme val="minor"/>
    </font>
    <font>
      <sz val="9"/>
      <color rgb="FF333333"/>
      <name val="Calibri"/>
      <family val="2"/>
      <scheme val="minor"/>
    </font>
    <font>
      <b/>
      <sz val="8"/>
      <color theme="0"/>
      <name val="Arial"/>
      <family val="2"/>
    </font>
    <font>
      <sz val="11"/>
      <color rgb="FFE143A5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E0E0E0"/>
        <bgColor indexed="64"/>
      </patternFill>
    </fill>
    <fill>
      <patternFill patternType="solid">
        <fgColor rgb="FFEDF5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29F5"/>
        <bgColor indexed="64"/>
      </patternFill>
    </fill>
    <fill>
      <patternFill patternType="solid">
        <fgColor rgb="FFFF97CD"/>
        <bgColor indexed="64"/>
      </patternFill>
    </fill>
    <fill>
      <patternFill patternType="solid">
        <fgColor rgb="FFF2F2F2"/>
      </patternFill>
    </fill>
    <fill>
      <patternFill patternType="solid">
        <fgColor rgb="FFE143A5"/>
        <bgColor indexed="64"/>
      </patternFill>
    </fill>
    <fill>
      <patternFill patternType="solid">
        <fgColor rgb="FFFFC5E3"/>
        <bgColor indexed="64"/>
      </patternFill>
    </fill>
    <fill>
      <patternFill patternType="solid">
        <fgColor rgb="FFFF43A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AB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DF5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FFFCC"/>
      </patternFill>
    </fill>
  </fills>
  <borders count="51">
    <border>
      <left/>
      <right/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DDDDDD"/>
      </bottom>
      <diagonal/>
    </border>
    <border>
      <left/>
      <right/>
      <top/>
      <bottom style="medium">
        <color rgb="FFDDDDDD"/>
      </bottom>
      <diagonal/>
    </border>
    <border>
      <left style="medium">
        <color indexed="64"/>
      </left>
      <right/>
      <top style="medium">
        <color indexed="64"/>
      </top>
      <bottom style="medium">
        <color rgb="FFDDDDDD"/>
      </bottom>
      <diagonal/>
    </border>
    <border>
      <left/>
      <right/>
      <top style="medium">
        <color indexed="64"/>
      </top>
      <bottom style="medium">
        <color rgb="FFDDDDDD"/>
      </bottom>
      <diagonal/>
    </border>
    <border>
      <left/>
      <right style="medium">
        <color indexed="64"/>
      </right>
      <top style="medium">
        <color indexed="64"/>
      </top>
      <bottom style="medium">
        <color rgb="FFDDDDDD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rgb="FFDDDDDD"/>
      </left>
      <right/>
      <top style="medium">
        <color rgb="FFDDDDDD"/>
      </top>
      <bottom style="medium">
        <color auto="1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 style="medium">
        <color rgb="FFFF43A5"/>
      </left>
      <right/>
      <top style="medium">
        <color indexed="64"/>
      </top>
      <bottom style="medium">
        <color rgb="FFFF43A5"/>
      </bottom>
      <diagonal/>
    </border>
    <border>
      <left/>
      <right/>
      <top style="medium">
        <color indexed="64"/>
      </top>
      <bottom style="medium">
        <color rgb="FFFF43A5"/>
      </bottom>
      <diagonal/>
    </border>
    <border>
      <left/>
      <right style="medium">
        <color rgb="FFFF43A5"/>
      </right>
      <top style="medium">
        <color indexed="64"/>
      </top>
      <bottom style="medium">
        <color rgb="FFFF43A5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indexed="64"/>
      </left>
      <right/>
      <top style="thick">
        <color indexed="64"/>
      </top>
      <bottom style="double">
        <color indexed="64"/>
      </bottom>
      <diagonal/>
    </border>
    <border>
      <left/>
      <right/>
      <top style="thick">
        <color indexed="64"/>
      </top>
      <bottom style="double">
        <color indexed="64"/>
      </bottom>
      <diagonal/>
    </border>
    <border>
      <left/>
      <right style="thick">
        <color indexed="64"/>
      </right>
      <top style="thick">
        <color indexed="64"/>
      </top>
      <bottom style="double">
        <color indexed="64"/>
      </bottom>
      <diagonal/>
    </border>
    <border>
      <left style="thick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/>
      <top style="thick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thin">
        <color rgb="FF7F7F7F"/>
      </top>
      <bottom style="thin">
        <color rgb="FF7F7F7F"/>
      </bottom>
      <diagonal/>
    </border>
    <border>
      <left style="double">
        <color indexed="64"/>
      </left>
      <right/>
      <top style="thin">
        <color rgb="FF7F7F7F"/>
      </top>
      <bottom style="thick">
        <color indexed="64"/>
      </bottom>
      <diagonal/>
    </border>
    <border>
      <left/>
      <right style="thick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rgb="FFDDDDDD"/>
      </right>
      <top style="medium">
        <color rgb="FFDDDDDD"/>
      </top>
      <bottom style="double">
        <color indexed="64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double">
        <color indexed="64"/>
      </bottom>
      <diagonal/>
    </border>
    <border>
      <left style="medium">
        <color rgb="FFDDDDDD"/>
      </left>
      <right/>
      <top style="medium">
        <color rgb="FFDDDDDD"/>
      </top>
      <bottom style="double">
        <color indexed="64"/>
      </bottom>
      <diagonal/>
    </border>
    <border>
      <left/>
      <right style="medium">
        <color rgb="FFDDDDDD"/>
      </right>
      <top style="medium">
        <color rgb="FFDDDDDD"/>
      </top>
      <bottom style="double">
        <color indexed="64"/>
      </bottom>
      <diagonal/>
    </border>
    <border>
      <left style="thin">
        <color rgb="FF7F7F7F"/>
      </left>
      <right style="thin">
        <color theme="0" tint="-0.14996795556505021"/>
      </right>
      <top style="double">
        <color indexed="64"/>
      </top>
      <bottom style="medium">
        <color rgb="FFDDDDDD"/>
      </bottom>
      <diagonal/>
    </border>
    <border>
      <left style="thin">
        <color theme="0" tint="-0.14996795556505021"/>
      </left>
      <right style="thin">
        <color theme="0" tint="-0.14996795556505021"/>
      </right>
      <top style="double">
        <color indexed="64"/>
      </top>
      <bottom style="medium">
        <color rgb="FFDDDDDD"/>
      </bottom>
      <diagonal/>
    </border>
    <border>
      <left style="medium">
        <color auto="1"/>
      </left>
      <right style="medium">
        <color auto="1"/>
      </right>
      <top/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 style="double">
        <color rgb="FF000000"/>
      </bottom>
      <diagonal/>
    </border>
    <border>
      <left style="double">
        <color indexed="64"/>
      </left>
      <right/>
      <top style="double">
        <color indexed="64"/>
      </top>
      <bottom style="thick">
        <color indexed="64"/>
      </bottom>
      <diagonal/>
    </border>
    <border>
      <left/>
      <right/>
      <top style="double">
        <color indexed="64"/>
      </top>
      <bottom style="thick">
        <color indexed="64"/>
      </bottom>
      <diagonal/>
    </border>
    <border>
      <left/>
      <right style="double">
        <color indexed="64"/>
      </right>
      <top style="double">
        <color indexed="64"/>
      </top>
      <bottom style="thick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8" borderId="21" applyNumberFormat="0" applyAlignment="0" applyProtection="0"/>
    <xf numFmtId="0" fontId="24" fillId="18" borderId="0" applyNumberFormat="0" applyBorder="0" applyAlignment="0" applyProtection="0"/>
    <xf numFmtId="0" fontId="25" fillId="19" borderId="0" applyNumberFormat="0" applyBorder="0" applyAlignment="0" applyProtection="0"/>
    <xf numFmtId="0" fontId="26" fillId="20" borderId="21" applyNumberFormat="0" applyAlignment="0" applyProtection="0"/>
    <xf numFmtId="0" fontId="1" fillId="21" borderId="50" applyNumberFormat="0" applyFont="0" applyAlignment="0" applyProtection="0"/>
  </cellStyleXfs>
  <cellXfs count="147">
    <xf numFmtId="0" fontId="0" fillId="0" borderId="0" xfId="0"/>
    <xf numFmtId="43" fontId="0" fillId="0" borderId="0" xfId="0" applyNumberFormat="1"/>
    <xf numFmtId="164" fontId="0" fillId="0" borderId="0" xfId="0" applyNumberFormat="1"/>
    <xf numFmtId="0" fontId="4" fillId="0" borderId="0" xfId="0" applyFont="1" applyAlignment="1">
      <alignment vertical="center"/>
    </xf>
    <xf numFmtId="164" fontId="3" fillId="3" borderId="0" xfId="0" applyNumberFormat="1" applyFont="1" applyFill="1" applyBorder="1" applyAlignment="1">
      <alignment horizontal="left" vertical="center" wrapText="1"/>
    </xf>
    <xf numFmtId="0" fontId="2" fillId="2" borderId="2" xfId="0" applyFont="1" applyFill="1" applyBorder="1" applyAlignment="1">
      <alignment horizontal="left" vertical="top" wrapText="1"/>
    </xf>
    <xf numFmtId="0" fontId="3" fillId="3" borderId="2" xfId="0" applyFont="1" applyFill="1" applyBorder="1" applyAlignment="1">
      <alignment horizontal="left" vertical="center" wrapText="1"/>
    </xf>
    <xf numFmtId="164" fontId="3" fillId="3" borderId="3" xfId="0" applyNumberFormat="1" applyFont="1" applyFill="1" applyBorder="1" applyAlignment="1">
      <alignment horizontal="left" vertical="center" wrapText="1"/>
    </xf>
    <xf numFmtId="164" fontId="3" fillId="3" borderId="4" xfId="0" applyNumberFormat="1" applyFont="1" applyFill="1" applyBorder="1" applyAlignment="1">
      <alignment horizontal="left" vertical="center" wrapText="1"/>
    </xf>
    <xf numFmtId="164" fontId="3" fillId="3" borderId="5" xfId="0" applyNumberFormat="1" applyFont="1" applyFill="1" applyBorder="1" applyAlignment="1">
      <alignment horizontal="left" vertical="center" wrapText="1"/>
    </xf>
    <xf numFmtId="164" fontId="0" fillId="0" borderId="0" xfId="1" applyNumberFormat="1" applyFont="1" applyBorder="1"/>
    <xf numFmtId="43" fontId="0" fillId="0" borderId="0" xfId="1" applyFont="1" applyBorder="1"/>
    <xf numFmtId="164" fontId="0" fillId="0" borderId="0" xfId="0" applyNumberFormat="1" applyBorder="1"/>
    <xf numFmtId="0" fontId="0" fillId="0" borderId="0" xfId="0" applyBorder="1"/>
    <xf numFmtId="164" fontId="0" fillId="0" borderId="12" xfId="0" applyNumberFormat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164" fontId="0" fillId="0" borderId="17" xfId="1" applyNumberFormat="1" applyFont="1" applyBorder="1"/>
    <xf numFmtId="43" fontId="0" fillId="0" borderId="17" xfId="1" applyFont="1" applyBorder="1"/>
    <xf numFmtId="164" fontId="0" fillId="0" borderId="17" xfId="0" applyNumberFormat="1" applyBorder="1"/>
    <xf numFmtId="0" fontId="0" fillId="7" borderId="14" xfId="0" applyFill="1" applyBorder="1"/>
    <xf numFmtId="164" fontId="0" fillId="7" borderId="0" xfId="0" applyNumberFormat="1" applyFill="1" applyBorder="1"/>
    <xf numFmtId="43" fontId="0" fillId="7" borderId="0" xfId="1" applyFont="1" applyFill="1" applyBorder="1"/>
    <xf numFmtId="0" fontId="0" fillId="7" borderId="0" xfId="0" applyFill="1" applyBorder="1"/>
    <xf numFmtId="0" fontId="0" fillId="7" borderId="15" xfId="0" applyFill="1" applyBorder="1"/>
    <xf numFmtId="0" fontId="7" fillId="6" borderId="11" xfId="0" applyFont="1" applyFill="1" applyBorder="1"/>
    <xf numFmtId="0" fontId="7" fillId="6" borderId="14" xfId="0" applyFont="1" applyFill="1" applyBorder="1"/>
    <xf numFmtId="0" fontId="3" fillId="3" borderId="19" xfId="0" applyFont="1" applyFill="1" applyBorder="1" applyAlignment="1">
      <alignment horizontal="left" vertical="center" wrapText="1"/>
    </xf>
    <xf numFmtId="0" fontId="4" fillId="0" borderId="0" xfId="0" applyFont="1"/>
    <xf numFmtId="164" fontId="0" fillId="0" borderId="0" xfId="0" applyNumberFormat="1" applyBorder="1" applyAlignment="1">
      <alignment horizontal="center" wrapText="1"/>
    </xf>
    <xf numFmtId="0" fontId="0" fillId="0" borderId="29" xfId="0" applyBorder="1"/>
    <xf numFmtId="0" fontId="0" fillId="0" borderId="30" xfId="0" applyBorder="1" applyAlignment="1">
      <alignment horizontal="center"/>
    </xf>
    <xf numFmtId="0" fontId="7" fillId="11" borderId="14" xfId="0" applyFont="1" applyFill="1" applyBorder="1"/>
    <xf numFmtId="0" fontId="3" fillId="3" borderId="1" xfId="0" applyFont="1" applyFill="1" applyBorder="1" applyAlignment="1" applyProtection="1">
      <alignment horizontal="left" vertical="center" wrapText="1"/>
      <protection locked="0"/>
    </xf>
    <xf numFmtId="0" fontId="3" fillId="3" borderId="20" xfId="0" applyFont="1" applyFill="1" applyBorder="1" applyAlignment="1" applyProtection="1">
      <alignment horizontal="left" vertical="center" wrapText="1"/>
      <protection locked="0"/>
    </xf>
    <xf numFmtId="0" fontId="3" fillId="3" borderId="22" xfId="0" applyFont="1" applyFill="1" applyBorder="1" applyAlignment="1" applyProtection="1">
      <alignment horizontal="left" vertical="center" wrapText="1"/>
      <protection locked="0"/>
    </xf>
    <xf numFmtId="0" fontId="4" fillId="0" borderId="0" xfId="0" applyFont="1" applyBorder="1" applyAlignment="1">
      <alignment vertical="center"/>
    </xf>
    <xf numFmtId="164" fontId="0" fillId="0" borderId="0" xfId="1" applyNumberFormat="1" applyFont="1" applyBorder="1" applyProtection="1">
      <protection locked="0"/>
    </xf>
    <xf numFmtId="164" fontId="0" fillId="10" borderId="0" xfId="1" applyNumberFormat="1" applyFont="1" applyFill="1" applyBorder="1"/>
    <xf numFmtId="164" fontId="0" fillId="7" borderId="15" xfId="1" applyNumberFormat="1" applyFont="1" applyFill="1" applyBorder="1"/>
    <xf numFmtId="164" fontId="0" fillId="10" borderId="33" xfId="1" applyNumberFormat="1" applyFont="1" applyFill="1" applyBorder="1"/>
    <xf numFmtId="164" fontId="0" fillId="12" borderId="33" xfId="1" applyNumberFormat="1" applyFont="1" applyFill="1" applyBorder="1"/>
    <xf numFmtId="164" fontId="0" fillId="10" borderId="17" xfId="1" applyNumberFormat="1" applyFont="1" applyFill="1" applyBorder="1"/>
    <xf numFmtId="164" fontId="0" fillId="12" borderId="17" xfId="1" applyNumberFormat="1" applyFont="1" applyFill="1" applyBorder="1"/>
    <xf numFmtId="0" fontId="0" fillId="0" borderId="34" xfId="0" applyBorder="1" applyAlignment="1">
      <alignment horizontal="center"/>
    </xf>
    <xf numFmtId="0" fontId="0" fillId="0" borderId="31" xfId="0" applyBorder="1"/>
    <xf numFmtId="164" fontId="0" fillId="7" borderId="38" xfId="1" applyNumberFormat="1" applyFont="1" applyFill="1" applyBorder="1"/>
    <xf numFmtId="164" fontId="9" fillId="7" borderId="35" xfId="0" applyNumberFormat="1" applyFont="1" applyFill="1" applyBorder="1"/>
    <xf numFmtId="164" fontId="8" fillId="12" borderId="36" xfId="1" applyNumberFormat="1" applyFont="1" applyFill="1" applyBorder="1"/>
    <xf numFmtId="0" fontId="12" fillId="12" borderId="15" xfId="0" applyFont="1" applyFill="1" applyBorder="1"/>
    <xf numFmtId="164" fontId="8" fillId="12" borderId="37" xfId="1" applyNumberFormat="1" applyFont="1" applyFill="1" applyBorder="1"/>
    <xf numFmtId="0" fontId="12" fillId="12" borderId="18" xfId="0" applyFont="1" applyFill="1" applyBorder="1"/>
    <xf numFmtId="0" fontId="9" fillId="10" borderId="32" xfId="0" applyFont="1" applyFill="1" applyBorder="1" applyAlignment="1">
      <alignment horizontal="left" indent="1"/>
    </xf>
    <xf numFmtId="0" fontId="9" fillId="10" borderId="16" xfId="0" applyFont="1" applyFill="1" applyBorder="1" applyAlignment="1">
      <alignment horizontal="left" indent="1"/>
    </xf>
    <xf numFmtId="0" fontId="0" fillId="13" borderId="0" xfId="0" applyFill="1"/>
    <xf numFmtId="0" fontId="0" fillId="13" borderId="30" xfId="0" applyFill="1" applyBorder="1" applyAlignment="1">
      <alignment horizontal="center"/>
    </xf>
    <xf numFmtId="0" fontId="13" fillId="3" borderId="1" xfId="0" applyNumberFormat="1" applyFont="1" applyFill="1" applyBorder="1" applyAlignment="1" applyProtection="1">
      <alignment horizontal="left" vertical="center" wrapText="1"/>
      <protection locked="0"/>
    </xf>
    <xf numFmtId="0" fontId="13" fillId="3" borderId="22" xfId="0" applyNumberFormat="1" applyFont="1" applyFill="1" applyBorder="1" applyAlignment="1" applyProtection="1">
      <alignment horizontal="left" vertical="center" wrapText="1"/>
      <protection locked="0"/>
    </xf>
    <xf numFmtId="0" fontId="2" fillId="5" borderId="39" xfId="0" applyFont="1" applyFill="1" applyBorder="1" applyAlignment="1">
      <alignment horizontal="left" vertical="top" wrapText="1"/>
    </xf>
    <xf numFmtId="0" fontId="2" fillId="5" borderId="40" xfId="0" applyFont="1" applyFill="1" applyBorder="1" applyAlignment="1">
      <alignment horizontal="left" vertical="top" wrapText="1"/>
    </xf>
    <xf numFmtId="0" fontId="2" fillId="5" borderId="41" xfId="0" applyFont="1" applyFill="1" applyBorder="1" applyAlignment="1">
      <alignment horizontal="left" vertical="top" wrapText="1"/>
    </xf>
    <xf numFmtId="0" fontId="3" fillId="14" borderId="1" xfId="0" applyFont="1" applyFill="1" applyBorder="1" applyAlignment="1" applyProtection="1">
      <alignment horizontal="left" vertical="center" wrapText="1"/>
      <protection locked="0"/>
    </xf>
    <xf numFmtId="0" fontId="3" fillId="14" borderId="20" xfId="0" applyFont="1" applyFill="1" applyBorder="1" applyAlignment="1" applyProtection="1">
      <alignment horizontal="left" vertical="center" wrapText="1"/>
      <protection locked="0"/>
    </xf>
    <xf numFmtId="0" fontId="11" fillId="14" borderId="43" xfId="3" applyFont="1" applyFill="1" applyBorder="1" applyAlignment="1">
      <alignment horizontal="left" vertical="center" wrapText="1"/>
    </xf>
    <xf numFmtId="0" fontId="11" fillId="8" borderId="44" xfId="3" applyFont="1" applyBorder="1" applyAlignment="1">
      <alignment horizontal="left" vertical="center" wrapText="1"/>
    </xf>
    <xf numFmtId="0" fontId="13" fillId="8" borderId="44" xfId="3" applyFont="1" applyBorder="1" applyAlignment="1">
      <alignment horizontal="left" vertical="center" wrapText="1"/>
    </xf>
    <xf numFmtId="164" fontId="0" fillId="4" borderId="0" xfId="1" applyNumberFormat="1" applyFont="1" applyFill="1" applyBorder="1" applyProtection="1"/>
    <xf numFmtId="0" fontId="3" fillId="3" borderId="1" xfId="0" applyNumberFormat="1" applyFont="1" applyFill="1" applyBorder="1" applyAlignment="1" applyProtection="1">
      <alignment horizontal="left" vertical="center" wrapText="1"/>
      <protection locked="0"/>
    </xf>
    <xf numFmtId="0" fontId="3" fillId="3" borderId="22" xfId="0" applyNumberFormat="1" applyFont="1" applyFill="1" applyBorder="1" applyAlignment="1" applyProtection="1">
      <alignment horizontal="left" vertical="center" wrapText="1"/>
      <protection locked="0"/>
    </xf>
    <xf numFmtId="165" fontId="0" fillId="0" borderId="0" xfId="2" applyNumberFormat="1" applyFont="1"/>
    <xf numFmtId="9" fontId="0" fillId="0" borderId="0" xfId="2" applyFont="1" applyBorder="1"/>
    <xf numFmtId="9" fontId="0" fillId="0" borderId="17" xfId="2" applyFont="1" applyBorder="1"/>
    <xf numFmtId="0" fontId="0" fillId="0" borderId="18" xfId="0" applyBorder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2"/>
    </xf>
    <xf numFmtId="0" fontId="0" fillId="0" borderId="0" xfId="0" applyAlignment="1">
      <alignment horizontal="left" indent="1"/>
    </xf>
    <xf numFmtId="0" fontId="0" fillId="0" borderId="0" xfId="0" pivotButton="1"/>
    <xf numFmtId="0" fontId="19" fillId="0" borderId="0" xfId="0" applyFont="1"/>
    <xf numFmtId="166" fontId="14" fillId="15" borderId="42" xfId="0" applyNumberFormat="1" applyFont="1" applyFill="1" applyBorder="1" applyAlignment="1">
      <alignment horizontal="left" vertical="top" wrapText="1"/>
    </xf>
    <xf numFmtId="166" fontId="6" fillId="0" borderId="40" xfId="0" applyNumberFormat="1" applyFont="1" applyFill="1" applyBorder="1" applyAlignment="1">
      <alignment horizontal="left" vertical="top" wrapText="1"/>
    </xf>
    <xf numFmtId="0" fontId="11" fillId="0" borderId="43" xfId="3" applyFont="1" applyFill="1" applyBorder="1" applyAlignment="1">
      <alignment horizontal="left" vertical="center" wrapText="1"/>
    </xf>
    <xf numFmtId="0" fontId="3" fillId="0" borderId="1" xfId="0" applyFont="1" applyFill="1" applyBorder="1" applyAlignment="1" applyProtection="1">
      <alignment horizontal="left" vertical="center" wrapText="1"/>
      <protection locked="0"/>
    </xf>
    <xf numFmtId="0" fontId="3" fillId="0" borderId="20" xfId="0" applyFont="1" applyFill="1" applyBorder="1" applyAlignment="1" applyProtection="1">
      <alignment horizontal="left" vertical="center" wrapText="1"/>
      <protection locked="0"/>
    </xf>
    <xf numFmtId="166" fontId="6" fillId="0" borderId="42" xfId="0" applyNumberFormat="1" applyFont="1" applyFill="1" applyBorder="1" applyAlignment="1">
      <alignment horizontal="left" vertical="top" wrapText="1"/>
    </xf>
    <xf numFmtId="0" fontId="20" fillId="16" borderId="1" xfId="0" applyNumberFormat="1" applyFont="1" applyFill="1" applyBorder="1" applyAlignment="1" applyProtection="1">
      <alignment horizontal="left" vertical="center" wrapText="1"/>
      <protection locked="0"/>
    </xf>
    <xf numFmtId="0" fontId="20" fillId="16" borderId="22" xfId="0" applyNumberFormat="1" applyFont="1" applyFill="1" applyBorder="1" applyAlignment="1" applyProtection="1">
      <alignment horizontal="left" vertical="center" wrapText="1"/>
      <protection locked="0"/>
    </xf>
    <xf numFmtId="166" fontId="21" fillId="0" borderId="46" xfId="0" applyNumberFormat="1" applyFont="1" applyFill="1" applyBorder="1" applyAlignment="1">
      <alignment horizontal="left" vertical="top" wrapText="1"/>
    </xf>
    <xf numFmtId="0" fontId="18" fillId="0" borderId="0" xfId="0" applyFont="1"/>
    <xf numFmtId="0" fontId="0" fillId="0" borderId="0" xfId="0" quotePrefix="1"/>
    <xf numFmtId="0" fontId="0" fillId="17" borderId="0" xfId="0" applyFill="1"/>
    <xf numFmtId="0" fontId="22" fillId="0" borderId="0" xfId="0" quotePrefix="1" applyFont="1"/>
    <xf numFmtId="9" fontId="0" fillId="0" borderId="0" xfId="2" applyFont="1"/>
    <xf numFmtId="9" fontId="0" fillId="0" borderId="0" xfId="2" applyFont="1" applyAlignment="1">
      <alignment horizontal="right"/>
    </xf>
    <xf numFmtId="165" fontId="0" fillId="0" borderId="0" xfId="0" applyNumberFormat="1" applyAlignment="1">
      <alignment horizontal="right"/>
    </xf>
    <xf numFmtId="0" fontId="0" fillId="0" borderId="0" xfId="0" applyAlignment="1">
      <alignment wrapText="1"/>
    </xf>
    <xf numFmtId="10" fontId="0" fillId="0" borderId="0" xfId="2" applyNumberFormat="1" applyFont="1"/>
    <xf numFmtId="9" fontId="0" fillId="0" borderId="0" xfId="2" applyNumberFormat="1" applyFont="1"/>
    <xf numFmtId="166" fontId="6" fillId="0" borderId="45" xfId="0" applyNumberFormat="1" applyFont="1" applyFill="1" applyBorder="1" applyAlignment="1">
      <alignment horizontal="left" vertical="top" wrapText="1"/>
    </xf>
    <xf numFmtId="0" fontId="19" fillId="0" borderId="0" xfId="0" applyNumberFormat="1" applyFont="1"/>
    <xf numFmtId="0" fontId="18" fillId="0" borderId="0" xfId="0" applyNumberFormat="1" applyFont="1"/>
    <xf numFmtId="0" fontId="19" fillId="0" borderId="0" xfId="0" applyFont="1" applyFill="1"/>
    <xf numFmtId="0" fontId="23" fillId="3" borderId="1" xfId="0" applyNumberFormat="1" applyFont="1" applyFill="1" applyBorder="1" applyAlignment="1" applyProtection="1">
      <alignment horizontal="left" vertical="center" wrapText="1"/>
      <protection locked="0"/>
    </xf>
    <xf numFmtId="0" fontId="23" fillId="3" borderId="22" xfId="0" applyNumberFormat="1" applyFont="1" applyFill="1" applyBorder="1" applyAlignment="1" applyProtection="1">
      <alignment horizontal="left" vertical="center" wrapText="1"/>
      <protection locked="0"/>
    </xf>
    <xf numFmtId="166" fontId="21" fillId="0" borderId="45" xfId="0" applyNumberFormat="1" applyFont="1" applyFill="1" applyBorder="1" applyAlignment="1">
      <alignment horizontal="left" vertical="top" wrapText="1"/>
    </xf>
    <xf numFmtId="0" fontId="24" fillId="18" borderId="0" xfId="4"/>
    <xf numFmtId="0" fontId="25" fillId="19" borderId="0" xfId="5"/>
    <xf numFmtId="0" fontId="0" fillId="21" borderId="50" xfId="7" applyFont="1"/>
    <xf numFmtId="0" fontId="26" fillId="20" borderId="21" xfId="6"/>
    <xf numFmtId="0" fontId="4" fillId="0" borderId="0" xfId="0" applyFont="1" applyBorder="1"/>
    <xf numFmtId="0" fontId="27" fillId="8" borderId="21" xfId="3" applyFont="1"/>
    <xf numFmtId="0" fontId="4" fillId="17" borderId="0" xfId="0" applyFont="1" applyFill="1" applyBorder="1" applyAlignment="1">
      <alignment vertical="center"/>
    </xf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8" fillId="20" borderId="21" xfId="6" applyFont="1" applyProtection="1">
      <protection locked="0"/>
    </xf>
    <xf numFmtId="0" fontId="4" fillId="17" borderId="0" xfId="0" applyFont="1" applyFill="1" applyProtection="1">
      <protection locked="0"/>
    </xf>
    <xf numFmtId="0" fontId="19" fillId="0" borderId="0" xfId="0" applyFont="1" applyProtection="1">
      <protection locked="0"/>
    </xf>
    <xf numFmtId="0" fontId="0" fillId="0" borderId="0" xfId="0" applyProtection="1">
      <protection locked="0"/>
    </xf>
    <xf numFmtId="0" fontId="19" fillId="0" borderId="0" xfId="0" applyFont="1" applyFill="1" applyProtection="1">
      <protection locked="0"/>
    </xf>
    <xf numFmtId="9" fontId="0" fillId="0" borderId="0" xfId="2" applyNumberFormat="1" applyFont="1" applyAlignment="1">
      <alignment horizontal="right"/>
    </xf>
    <xf numFmtId="0" fontId="0" fillId="0" borderId="0" xfId="0" applyFill="1" applyProtection="1">
      <protection locked="0"/>
    </xf>
    <xf numFmtId="166" fontId="6" fillId="0" borderId="46" xfId="0" applyNumberFormat="1" applyFont="1" applyFill="1" applyBorder="1" applyAlignment="1">
      <alignment horizontal="left" vertical="top" wrapText="1"/>
    </xf>
    <xf numFmtId="0" fontId="25" fillId="19" borderId="0" xfId="5" applyProtection="1">
      <protection locked="0"/>
    </xf>
    <xf numFmtId="0" fontId="25" fillId="19" borderId="0" xfId="5" applyNumberFormat="1"/>
    <xf numFmtId="0" fontId="29" fillId="3" borderId="1" xfId="0" applyNumberFormat="1" applyFont="1" applyFill="1" applyBorder="1" applyAlignment="1" applyProtection="1">
      <alignment horizontal="left" vertical="center" wrapText="1"/>
      <protection locked="0"/>
    </xf>
    <xf numFmtId="0" fontId="29" fillId="3" borderId="22" xfId="0" applyNumberFormat="1" applyFont="1" applyFill="1" applyBorder="1" applyAlignment="1" applyProtection="1">
      <alignment horizontal="left" vertical="center" wrapText="1"/>
      <protection locked="0"/>
    </xf>
    <xf numFmtId="166" fontId="30" fillId="0" borderId="45" xfId="0" applyNumberFormat="1" applyFont="1" applyFill="1" applyBorder="1" applyAlignment="1">
      <alignment horizontal="left" vertical="top" wrapText="1"/>
    </xf>
    <xf numFmtId="0" fontId="0" fillId="0" borderId="0" xfId="0" applyFill="1"/>
    <xf numFmtId="0" fontId="31" fillId="0" borderId="0" xfId="0" applyFont="1" applyProtection="1">
      <protection locked="0"/>
    </xf>
    <xf numFmtId="0" fontId="31" fillId="0" borderId="0" xfId="0" applyFont="1"/>
    <xf numFmtId="0" fontId="5" fillId="5" borderId="8" xfId="0" applyFont="1" applyFill="1" applyBorder="1" applyAlignment="1">
      <alignment horizontal="center"/>
    </xf>
    <xf numFmtId="0" fontId="5" fillId="5" borderId="9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10" fillId="9" borderId="26" xfId="0" applyFont="1" applyFill="1" applyBorder="1" applyAlignment="1">
      <alignment horizontal="center"/>
    </xf>
    <xf numFmtId="0" fontId="10" fillId="9" borderId="27" xfId="0" applyFont="1" applyFill="1" applyBorder="1" applyAlignment="1">
      <alignment horizontal="center"/>
    </xf>
    <xf numFmtId="0" fontId="10" fillId="9" borderId="28" xfId="0" applyFont="1" applyFill="1" applyBorder="1" applyAlignment="1">
      <alignment horizontal="center"/>
    </xf>
    <xf numFmtId="164" fontId="9" fillId="0" borderId="23" xfId="0" applyNumberFormat="1" applyFont="1" applyBorder="1" applyAlignment="1">
      <alignment horizontal="center"/>
    </xf>
    <xf numFmtId="164" fontId="9" fillId="0" borderId="24" xfId="0" applyNumberFormat="1" applyFont="1" applyBorder="1" applyAlignment="1">
      <alignment horizontal="center"/>
    </xf>
    <xf numFmtId="164" fontId="9" fillId="0" borderId="25" xfId="0" applyNumberFormat="1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9" xfId="0" applyBorder="1" applyAlignment="1">
      <alignment horizontal="center"/>
    </xf>
  </cellXfs>
  <cellStyles count="8">
    <cellStyle name="Bad" xfId="5" builtinId="27"/>
    <cellStyle name="Calculation" xfId="3" builtinId="22"/>
    <cellStyle name="Comma" xfId="1" builtinId="3"/>
    <cellStyle name="Good" xfId="4" builtinId="26"/>
    <cellStyle name="Input" xfId="6" builtinId="20"/>
    <cellStyle name="Normal" xfId="0" builtinId="0"/>
    <cellStyle name="Note" xfId="7" builtinId="10"/>
    <cellStyle name="Percent" xfId="2" builtinId="5"/>
  </cellStyles>
  <dxfs count="282"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color rgb="FFFFC5E3"/>
      </font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color rgb="FFFFC5E3"/>
      </font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color rgb="FFFFC5E3"/>
      </font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ill>
        <patternFill patternType="lightGrid">
          <fgColor rgb="FFC00000"/>
          <bgColor auto="1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43A5"/>
      </font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theme="9" tint="0.59996337778862885"/>
        </patternFill>
      </fill>
    </dxf>
    <dxf>
      <numFmt numFmtId="165" formatCode="0.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ill>
        <patternFill patternType="lightGrid">
          <fgColor rgb="FFC00000"/>
          <bgColor auto="1"/>
        </patternFill>
      </fill>
    </dxf>
    <dxf>
      <font>
        <b/>
        <i val="0"/>
        <color rgb="FFFFC5E3"/>
      </font>
      <fill>
        <patternFill>
          <bgColor rgb="FF00B050"/>
        </patternFill>
      </fill>
    </dxf>
    <dxf>
      <font>
        <b/>
        <i val="0"/>
        <color rgb="FFFF43A5"/>
      </font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theme="9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numFmt numFmtId="0" formatCode="General"/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rgb="FFB2B2B2"/>
        </right>
        <top style="thin">
          <color rgb="FFB2B2B2"/>
        </top>
        <bottom style="thin">
          <color rgb="FFB2B2B2"/>
        </bottom>
      </border>
    </dxf>
    <dxf>
      <border outline="0">
        <left style="medium">
          <color rgb="FF000000"/>
        </left>
        <right style="medium">
          <color rgb="FFDDDDDD"/>
        </right>
        <top style="medium">
          <color rgb="FFDDDDDD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none"/>
      </font>
      <fill>
        <patternFill patternType="solid">
          <fgColor rgb="FF000000"/>
          <bgColor rgb="FFEDF5FF"/>
        </patternFill>
      </fill>
      <alignment horizontal="left" vertical="center" textRotation="0" wrapText="1" indent="0" justifyLastLine="0" shrinkToFit="0" readingOrder="0"/>
    </dxf>
    <dxf>
      <border>
        <bottom style="double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scheme val="none"/>
      </font>
      <numFmt numFmtId="166" formatCode="m/d/yy;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/>
      </border>
    </dxf>
    <dxf>
      <fill>
        <patternFill>
          <bgColor theme="7" tint="0.59996337778862885"/>
        </patternFill>
      </fill>
    </dxf>
    <dxf>
      <fill>
        <patternFill>
          <bgColor rgb="FFFFFFAB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FFFFAB"/>
        </patternFill>
      </fill>
    </dxf>
    <dxf>
      <fill>
        <patternFill>
          <bgColor theme="9" tint="0.39994506668294322"/>
        </patternFill>
      </fill>
    </dxf>
    <dxf>
      <font>
        <b/>
        <i val="0"/>
        <color rgb="FFE20074"/>
      </font>
    </dxf>
    <dxf>
      <font>
        <b val="0"/>
        <i/>
        <color rgb="FFE20074"/>
      </font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E20074"/>
      </font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E20074"/>
      </font>
    </dxf>
    <dxf>
      <font>
        <color rgb="FFFF97CD"/>
      </font>
    </dxf>
    <dxf>
      <fill>
        <patternFill>
          <bgColor theme="7" tint="0.59996337778862885"/>
        </patternFill>
      </fill>
    </dxf>
    <dxf>
      <fill>
        <patternFill>
          <bgColor rgb="FFFFFFAB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numFmt numFmtId="0" formatCode="General"/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fill>
        <patternFill patternType="solid">
          <fgColor indexed="64"/>
          <bgColor rgb="FFFFFFAB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rgb="FFB2B2B2"/>
        </right>
        <top style="thin">
          <color rgb="FFB2B2B2"/>
        </top>
        <bottom style="thin">
          <color rgb="FFB2B2B2"/>
        </bottom>
      </border>
    </dxf>
    <dxf>
      <border outline="0">
        <left style="medium">
          <color indexed="64"/>
        </left>
        <right style="medium">
          <color rgb="FFDDDDDD"/>
        </right>
        <top style="medium">
          <color rgb="FFDDDDDD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Calibri"/>
        <scheme val="minor"/>
      </font>
      <fill>
        <patternFill patternType="solid">
          <fgColor indexed="64"/>
          <bgColor rgb="FFEDF5FF"/>
        </patternFill>
      </fill>
      <alignment horizontal="left" vertical="center" textRotation="0" wrapText="1" indent="0" justifyLastLine="0" shrinkToFit="0" readingOrder="0"/>
    </dxf>
    <dxf>
      <border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scheme val="none"/>
      </font>
      <numFmt numFmtId="166" formatCode="m/d/yy;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/>
      </border>
    </dxf>
    <dxf>
      <fill>
        <patternFill>
          <bgColor theme="7" tint="0.59996337778862885"/>
        </patternFill>
      </fill>
    </dxf>
    <dxf>
      <fill>
        <patternFill>
          <bgColor rgb="FFFFFFAB"/>
        </patternFill>
      </fill>
    </dxf>
    <dxf>
      <fill>
        <patternFill>
          <bgColor theme="9" tint="0.39994506668294322"/>
        </patternFill>
      </fill>
    </dxf>
    <dxf>
      <font>
        <b/>
        <i val="0"/>
        <color rgb="FFE20074"/>
      </font>
    </dxf>
    <dxf>
      <font>
        <b val="0"/>
        <i/>
        <color rgb="FFE20074"/>
      </font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E20074"/>
      </font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E20074"/>
      </font>
    </dxf>
    <dxf>
      <font>
        <color rgb="FFFF97CD"/>
      </font>
    </dxf>
    <dxf>
      <fill>
        <patternFill>
          <bgColor theme="7" tint="0.59996337778862885"/>
        </patternFill>
      </fill>
    </dxf>
    <dxf>
      <fill>
        <patternFill>
          <bgColor rgb="FFFFFFAB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FFFFAB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FFFFAB"/>
        </patternFill>
      </fill>
    </dxf>
    <dxf>
      <fill>
        <patternFill>
          <bgColor theme="9" tint="0.39994506668294322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0"/>
      </font>
      <fill>
        <patternFill patternType="solid">
          <fgColor theme="4"/>
          <bgColor rgb="FFFF43A5"/>
        </patternFill>
      </fill>
    </dxf>
    <dxf>
      <border>
        <top style="double">
          <color theme="1"/>
        </top>
      </border>
    </dxf>
    <dxf>
      <font>
        <color theme="0"/>
      </font>
      <fill>
        <patternFill patternType="solid">
          <fgColor theme="4"/>
          <bgColor rgb="FFE143A5"/>
        </patternFill>
      </fill>
      <border>
        <bottom style="medium">
          <color theme="1"/>
        </bottom>
      </border>
    </dxf>
    <dxf>
      <font>
        <color theme="1"/>
      </font>
      <border>
        <top style="medium">
          <color theme="1"/>
        </top>
        <bottom style="medium">
          <color theme="1"/>
        </bottom>
      </border>
    </dxf>
  </dxfs>
  <tableStyles count="1" defaultTableStyle="TableStyleMedium2" defaultPivotStyle="PivotStyleLight16">
    <tableStyle name="TableStyleMedium16 2" pivot="0" count="6">
      <tableStyleElement type="wholeTable" dxfId="281"/>
      <tableStyleElement type="headerRow" dxfId="280"/>
      <tableStyleElement type="totalRow" dxfId="279"/>
      <tableStyleElement type="firstColumn" dxfId="278"/>
      <tableStyleElement type="lastColumn" dxfId="277"/>
      <tableStyleElement type="firstRowStripe" dxfId="276"/>
    </tableStyle>
  </tableStyles>
  <colors>
    <mruColors>
      <color rgb="FFE143A5"/>
      <color rgb="FFFF43A5"/>
      <color rgb="FFFFC5E3"/>
      <color rgb="FFFF29F5"/>
      <color rgb="FFE200D8"/>
      <color rgb="FFFFFF99"/>
      <color rgb="FFFFFFCC"/>
      <color rgb="FFFFFFAB"/>
      <color rgb="FFE20074"/>
      <color rgb="FFFF97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5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4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2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ivotCacheDefinition" Target="pivotCache/pivotCacheDefinition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 By Sprint Velocity for 6 Periods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Velocity!$B$4</c:f>
              <c:strCache>
                <c:ptCount val="1"/>
                <c:pt idx="0">
                  <c:v>Overall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Velocity!$K$3:$P$3</c:f>
              <c:strCache>
                <c:ptCount val="6"/>
                <c:pt idx="0">
                  <c:v>1/1/18</c:v>
                </c:pt>
                <c:pt idx="1">
                  <c:v>1/15/18</c:v>
                </c:pt>
                <c:pt idx="2">
                  <c:v>1/29/18</c:v>
                </c:pt>
                <c:pt idx="3">
                  <c:v>2/12/18</c:v>
                </c:pt>
                <c:pt idx="4">
                  <c:v>2/26/18</c:v>
                </c:pt>
                <c:pt idx="5">
                  <c:v>3/13/18</c:v>
                </c:pt>
              </c:strCache>
            </c:strRef>
          </c:cat>
          <c:val>
            <c:numRef>
              <c:f>Velocity!$K$4:$P$4</c:f>
              <c:numCache>
                <c:formatCode>General</c:formatCode>
                <c:ptCount val="6"/>
                <c:pt idx="0">
                  <c:v>91</c:v>
                </c:pt>
                <c:pt idx="1">
                  <c:v>120</c:v>
                </c:pt>
                <c:pt idx="2">
                  <c:v>78</c:v>
                </c:pt>
                <c:pt idx="3">
                  <c:v>110</c:v>
                </c:pt>
                <c:pt idx="4">
                  <c:v>103</c:v>
                </c:pt>
                <c:pt idx="5">
                  <c:v>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0D-406E-BCDB-5CEBB0E374BE}"/>
            </c:ext>
          </c:extLst>
        </c:ser>
        <c:ser>
          <c:idx val="1"/>
          <c:order val="1"/>
          <c:tx>
            <c:strRef>
              <c:f>Velocity!$B$5</c:f>
              <c:strCache>
                <c:ptCount val="1"/>
                <c:pt idx="0">
                  <c:v>AIX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Velocity!$K$3:$P$3</c:f>
              <c:strCache>
                <c:ptCount val="6"/>
                <c:pt idx="0">
                  <c:v>1/1/18</c:v>
                </c:pt>
                <c:pt idx="1">
                  <c:v>1/15/18</c:v>
                </c:pt>
                <c:pt idx="2">
                  <c:v>1/29/18</c:v>
                </c:pt>
                <c:pt idx="3">
                  <c:v>2/12/18</c:v>
                </c:pt>
                <c:pt idx="4">
                  <c:v>2/26/18</c:v>
                </c:pt>
                <c:pt idx="5">
                  <c:v>3/13/18</c:v>
                </c:pt>
              </c:strCache>
            </c:strRef>
          </c:cat>
          <c:val>
            <c:numRef>
              <c:f>Velocity!$K$5:$P$5</c:f>
              <c:numCache>
                <c:formatCode>General</c:formatCode>
                <c:ptCount val="6"/>
                <c:pt idx="0">
                  <c:v>48</c:v>
                </c:pt>
                <c:pt idx="1">
                  <c:v>48</c:v>
                </c:pt>
                <c:pt idx="2">
                  <c:v>34</c:v>
                </c:pt>
                <c:pt idx="3">
                  <c:v>51</c:v>
                </c:pt>
                <c:pt idx="4">
                  <c:v>49</c:v>
                </c:pt>
                <c:pt idx="5">
                  <c:v>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D-406E-BCDB-5CEBB0E374BE}"/>
            </c:ext>
          </c:extLst>
        </c:ser>
        <c:ser>
          <c:idx val="2"/>
          <c:order val="2"/>
          <c:tx>
            <c:strRef>
              <c:f>Velocity!$B$6</c:f>
              <c:strCache>
                <c:ptCount val="1"/>
                <c:pt idx="0">
                  <c:v>LINUX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Velocity!$K$3:$P$3</c:f>
              <c:strCache>
                <c:ptCount val="6"/>
                <c:pt idx="0">
                  <c:v>1/1/18</c:v>
                </c:pt>
                <c:pt idx="1">
                  <c:v>1/15/18</c:v>
                </c:pt>
                <c:pt idx="2">
                  <c:v>1/29/18</c:v>
                </c:pt>
                <c:pt idx="3">
                  <c:v>2/12/18</c:v>
                </c:pt>
                <c:pt idx="4">
                  <c:v>2/26/18</c:v>
                </c:pt>
                <c:pt idx="5">
                  <c:v>3/13/18</c:v>
                </c:pt>
              </c:strCache>
            </c:strRef>
          </c:cat>
          <c:val>
            <c:numRef>
              <c:f>Velocity!$K$6:$P$6</c:f>
              <c:numCache>
                <c:formatCode>General</c:formatCode>
                <c:ptCount val="6"/>
                <c:pt idx="0">
                  <c:v>43</c:v>
                </c:pt>
                <c:pt idx="1">
                  <c:v>72</c:v>
                </c:pt>
                <c:pt idx="2">
                  <c:v>44</c:v>
                </c:pt>
                <c:pt idx="3">
                  <c:v>59</c:v>
                </c:pt>
                <c:pt idx="4">
                  <c:v>54</c:v>
                </c:pt>
                <c:pt idx="5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3A-494E-837A-87681044AC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070880"/>
        <c:axId val="453069216"/>
      </c:lineChart>
      <c:catAx>
        <c:axId val="453070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69216"/>
        <c:crosses val="autoZero"/>
        <c:auto val="1"/>
        <c:lblAlgn val="ctr"/>
        <c:lblOffset val="100"/>
        <c:noMultiLvlLbl val="0"/>
      </c:catAx>
      <c:valAx>
        <c:axId val="453069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708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 By Sprint Velocity for 6 Periods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Committed_Velocity!$B$4</c:f>
              <c:strCache>
                <c:ptCount val="1"/>
                <c:pt idx="0">
                  <c:v>Overall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Committed_Velocity!$I$3:$N$3</c:f>
              <c:strCache>
                <c:ptCount val="6"/>
                <c:pt idx="0">
                  <c:v>1/1/18</c:v>
                </c:pt>
                <c:pt idx="1">
                  <c:v>1/15/18</c:v>
                </c:pt>
                <c:pt idx="2">
                  <c:v>1/29/18</c:v>
                </c:pt>
                <c:pt idx="3">
                  <c:v>2/12/18</c:v>
                </c:pt>
                <c:pt idx="4">
                  <c:v>2/26/18</c:v>
                </c:pt>
                <c:pt idx="5">
                  <c:v>3/13/188</c:v>
                </c:pt>
              </c:strCache>
            </c:strRef>
          </c:cat>
          <c:val>
            <c:numRef>
              <c:f>Committed_Velocity!$I$4:$N$4</c:f>
              <c:numCache>
                <c:formatCode>General</c:formatCode>
                <c:ptCount val="6"/>
                <c:pt idx="0">
                  <c:v>79</c:v>
                </c:pt>
                <c:pt idx="1">
                  <c:v>104</c:v>
                </c:pt>
                <c:pt idx="2">
                  <c:v>56</c:v>
                </c:pt>
                <c:pt idx="3">
                  <c:v>85</c:v>
                </c:pt>
                <c:pt idx="4">
                  <c:v>94</c:v>
                </c:pt>
                <c:pt idx="5">
                  <c:v>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CE-47D2-ACE9-3F514DE876F6}"/>
            </c:ext>
          </c:extLst>
        </c:ser>
        <c:ser>
          <c:idx val="1"/>
          <c:order val="1"/>
          <c:tx>
            <c:strRef>
              <c:f>Committed_Velocity!$B$5</c:f>
              <c:strCache>
                <c:ptCount val="1"/>
                <c:pt idx="0">
                  <c:v>AIX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Committed_Velocity!$I$3:$N$3</c:f>
              <c:strCache>
                <c:ptCount val="6"/>
                <c:pt idx="0">
                  <c:v>1/1/18</c:v>
                </c:pt>
                <c:pt idx="1">
                  <c:v>1/15/18</c:v>
                </c:pt>
                <c:pt idx="2">
                  <c:v>1/29/18</c:v>
                </c:pt>
                <c:pt idx="3">
                  <c:v>2/12/18</c:v>
                </c:pt>
                <c:pt idx="4">
                  <c:v>2/26/18</c:v>
                </c:pt>
                <c:pt idx="5">
                  <c:v>3/13/188</c:v>
                </c:pt>
              </c:strCache>
            </c:strRef>
          </c:cat>
          <c:val>
            <c:numRef>
              <c:f>Committed_Velocity!$I$5:$N$5</c:f>
              <c:numCache>
                <c:formatCode>General</c:formatCode>
                <c:ptCount val="6"/>
                <c:pt idx="0">
                  <c:v>40</c:v>
                </c:pt>
                <c:pt idx="1">
                  <c:v>47</c:v>
                </c:pt>
                <c:pt idx="2">
                  <c:v>21</c:v>
                </c:pt>
                <c:pt idx="3">
                  <c:v>38</c:v>
                </c:pt>
                <c:pt idx="4">
                  <c:v>43</c:v>
                </c:pt>
                <c:pt idx="5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CE-47D2-ACE9-3F514DE876F6}"/>
            </c:ext>
          </c:extLst>
        </c:ser>
        <c:ser>
          <c:idx val="2"/>
          <c:order val="2"/>
          <c:tx>
            <c:strRef>
              <c:f>Committed_Velocity!$B$6</c:f>
              <c:strCache>
                <c:ptCount val="1"/>
                <c:pt idx="0">
                  <c:v>LINUX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Committed_Velocity!$I$3:$N$3</c:f>
              <c:strCache>
                <c:ptCount val="6"/>
                <c:pt idx="0">
                  <c:v>1/1/18</c:v>
                </c:pt>
                <c:pt idx="1">
                  <c:v>1/15/18</c:v>
                </c:pt>
                <c:pt idx="2">
                  <c:v>1/29/18</c:v>
                </c:pt>
                <c:pt idx="3">
                  <c:v>2/12/18</c:v>
                </c:pt>
                <c:pt idx="4">
                  <c:v>2/26/18</c:v>
                </c:pt>
                <c:pt idx="5">
                  <c:v>3/13/188</c:v>
                </c:pt>
              </c:strCache>
            </c:strRef>
          </c:cat>
          <c:val>
            <c:numRef>
              <c:f>Committed_Velocity!$I$6:$N$6</c:f>
              <c:numCache>
                <c:formatCode>General</c:formatCode>
                <c:ptCount val="6"/>
                <c:pt idx="0">
                  <c:v>39</c:v>
                </c:pt>
                <c:pt idx="1">
                  <c:v>57</c:v>
                </c:pt>
                <c:pt idx="2">
                  <c:v>35</c:v>
                </c:pt>
                <c:pt idx="3">
                  <c:v>47</c:v>
                </c:pt>
                <c:pt idx="4">
                  <c:v>51</c:v>
                </c:pt>
                <c:pt idx="5">
                  <c:v>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6CE-47D2-ACE9-3F514DE87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070880"/>
        <c:axId val="453069216"/>
      </c:lineChart>
      <c:catAx>
        <c:axId val="453070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69216"/>
        <c:crosses val="autoZero"/>
        <c:auto val="1"/>
        <c:lblAlgn val="ctr"/>
        <c:lblOffset val="100"/>
        <c:noMultiLvlLbl val="0"/>
      </c:catAx>
      <c:valAx>
        <c:axId val="453069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708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9</xdr:row>
      <xdr:rowOff>169333</xdr:rowOff>
    </xdr:from>
    <xdr:ext cx="5384800" cy="2683933"/>
    <xdr:sp macro="" textlink="">
      <xdr:nvSpPr>
        <xdr:cNvPr id="3" name="ResetDataPanel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09600" y="1803400"/>
          <a:ext cx="5384800" cy="2683933"/>
        </a:xfrm>
        <a:prstGeom prst="rect">
          <a:avLst/>
        </a:prstGeom>
        <a:solidFill>
          <a:schemeClr val="bg1"/>
        </a:solidFill>
        <a:effectLst>
          <a:outerShdw blurRad="101600" dist="152400" dir="2700000" algn="tl" rotWithShape="0">
            <a:prstClr val="black">
              <a:alpha val="41000"/>
            </a:prstClr>
          </a:outerShdw>
        </a:effectLst>
      </xdr:spPr>
      <xdr:txBody>
        <a:bodyPr wrap="square" lIns="91440" tIns="45720" rIns="91440" bIns="45720">
          <a:noAutofit/>
        </a:bodyPr>
        <a:lstStyle/>
        <a:p>
          <a:pPr algn="ctr"/>
          <a:endParaRPr lang="en-US" sz="54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  <a:p>
          <a:pPr algn="ctr"/>
          <a:r>
            <a:rPr lang="en-US" sz="5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Reset the</a:t>
          </a:r>
          <a:r>
            <a:rPr lang="en-US" sz="54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 Data</a:t>
          </a:r>
          <a:endParaRPr lang="en-US" sz="54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7</xdr:row>
          <xdr:rowOff>66675</xdr:rowOff>
        </xdr:from>
        <xdr:to>
          <xdr:col>4</xdr:col>
          <xdr:colOff>561975</xdr:colOff>
          <xdr:row>9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Velocity Column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111760</xdr:colOff>
      <xdr:row>6</xdr:row>
      <xdr:rowOff>187959</xdr:rowOff>
    </xdr:from>
    <xdr:to>
      <xdr:col>20</xdr:col>
      <xdr:colOff>127000</xdr:colOff>
      <xdr:row>26</xdr:row>
      <xdr:rowOff>66039</xdr:rowOff>
    </xdr:to>
    <xdr:graphicFrame macro="">
      <xdr:nvGraphicFramePr>
        <xdr:cNvPr id="2" name="VelocityCh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10</xdr:row>
          <xdr:rowOff>171450</xdr:rowOff>
        </xdr:from>
        <xdr:to>
          <xdr:col>8</xdr:col>
          <xdr:colOff>685800</xdr:colOff>
          <xdr:row>12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219075</xdr:colOff>
          <xdr:row>7</xdr:row>
          <xdr:rowOff>66675</xdr:rowOff>
        </xdr:from>
        <xdr:to>
          <xdr:col>8</xdr:col>
          <xdr:colOff>714375</xdr:colOff>
          <xdr:row>9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Last Velocity Column</a:t>
              </a:r>
            </a:p>
          </xdr:txBody>
        </xdr:sp>
        <xdr:clientData fPrintsWithSheet="0"/>
      </xdr:twoCellAnchor>
    </mc:Choice>
    <mc:Fallback/>
  </mc:AlternateContent>
  <xdr:oneCellAnchor>
    <xdr:from>
      <xdr:col>9</xdr:col>
      <xdr:colOff>158750</xdr:colOff>
      <xdr:row>27</xdr:row>
      <xdr:rowOff>105833</xdr:rowOff>
    </xdr:from>
    <xdr:ext cx="7950199" cy="2444750"/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6159500" y="5270500"/>
          <a:ext cx="7950199" cy="24447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rgbClr val="E200D8"/>
                </a:solidFill>
                <a:prstDash val="solid"/>
              </a:ln>
              <a:solidFill>
                <a:schemeClr val="bg1">
                  <a:lumMod val="85000"/>
                </a:schemeClr>
              </a:solidFill>
              <a:effectLst/>
            </a:rPr>
            <a:t>This velocity shows the progress made against all items, operational</a:t>
          </a:r>
          <a:r>
            <a:rPr lang="en-US" sz="2800" b="1" cap="none" spc="0" baseline="0">
              <a:ln w="12700">
                <a:solidFill>
                  <a:srgbClr val="E200D8"/>
                </a:solidFill>
                <a:prstDash val="solid"/>
              </a:ln>
              <a:solidFill>
                <a:schemeClr val="bg1">
                  <a:lumMod val="85000"/>
                </a:schemeClr>
              </a:solidFill>
              <a:effectLst/>
            </a:rPr>
            <a:t> and backlog. It shows the theoretical average velocity.</a:t>
          </a:r>
        </a:p>
        <a:p>
          <a:pPr algn="ctr"/>
          <a:r>
            <a:rPr lang="en-US" sz="2800" b="1" cap="none" spc="0" baseline="0">
              <a:ln w="12700">
                <a:solidFill>
                  <a:srgbClr val="E200D8"/>
                </a:solidFill>
                <a:prstDash val="solid"/>
              </a:ln>
              <a:solidFill>
                <a:schemeClr val="bg1">
                  <a:lumMod val="85000"/>
                </a:schemeClr>
              </a:solidFill>
              <a:effectLst/>
            </a:rPr>
            <a:t>Therefore, in PMP terms, this is the optimistic forecast value.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7619</xdr:colOff>
      <xdr:row>10</xdr:row>
      <xdr:rowOff>0</xdr:rowOff>
    </xdr:from>
    <xdr:ext cx="5351781" cy="2606040"/>
    <xdr:sp macro="" textlink="">
      <xdr:nvSpPr>
        <xdr:cNvPr id="2" name="CV_ResetDataPanel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17219" y="1828800"/>
          <a:ext cx="5351781" cy="2606040"/>
        </a:xfrm>
        <a:prstGeom prst="rect">
          <a:avLst/>
        </a:prstGeom>
        <a:solidFill>
          <a:schemeClr val="bg1"/>
        </a:solidFill>
        <a:effectLst>
          <a:glow rad="139700">
            <a:schemeClr val="accent2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wrap="square" lIns="91440" tIns="45720" rIns="91440" bIns="45720">
          <a:noAutofit/>
        </a:bodyPr>
        <a:lstStyle/>
        <a:p>
          <a:pPr algn="ctr"/>
          <a:endParaRPr lang="en-US" sz="54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  <a:p>
          <a:pPr algn="ctr"/>
          <a:r>
            <a:rPr lang="en-US" sz="5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Reset the</a:t>
          </a:r>
          <a:r>
            <a:rPr lang="en-US" sz="54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 Data</a:t>
          </a:r>
          <a:endParaRPr lang="en-US" sz="54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7</xdr:row>
          <xdr:rowOff>66675</xdr:rowOff>
        </xdr:from>
        <xdr:to>
          <xdr:col>4</xdr:col>
          <xdr:colOff>561975</xdr:colOff>
          <xdr:row>9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Velocity Column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357294</xdr:colOff>
      <xdr:row>6</xdr:row>
      <xdr:rowOff>50800</xdr:rowOff>
    </xdr:from>
    <xdr:to>
      <xdr:col>20</xdr:col>
      <xdr:colOff>372534</xdr:colOff>
      <xdr:row>25</xdr:row>
      <xdr:rowOff>6773</xdr:rowOff>
    </xdr:to>
    <xdr:graphicFrame macro="">
      <xdr:nvGraphicFramePr>
        <xdr:cNvPr id="4" name="CV_VelocityCha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10</xdr:row>
          <xdr:rowOff>171450</xdr:rowOff>
        </xdr:from>
        <xdr:to>
          <xdr:col>8</xdr:col>
          <xdr:colOff>685800</xdr:colOff>
          <xdr:row>12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219075</xdr:colOff>
          <xdr:row>7</xdr:row>
          <xdr:rowOff>66675</xdr:rowOff>
        </xdr:from>
        <xdr:to>
          <xdr:col>8</xdr:col>
          <xdr:colOff>714375</xdr:colOff>
          <xdr:row>9</xdr:row>
          <xdr:rowOff>57150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Last Velocity Column</a:t>
              </a:r>
            </a:p>
          </xdr:txBody>
        </xdr:sp>
        <xdr:clientData fPrintsWithSheet="0"/>
      </xdr:twoCellAnchor>
    </mc:Choice>
    <mc:Fallback/>
  </mc:AlternateContent>
  <xdr:oneCellAnchor>
    <xdr:from>
      <xdr:col>9</xdr:col>
      <xdr:colOff>160868</xdr:colOff>
      <xdr:row>25</xdr:row>
      <xdr:rowOff>0</xdr:rowOff>
    </xdr:from>
    <xdr:ext cx="7950199" cy="1905000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024035" y="4741333"/>
          <a:ext cx="7950199" cy="190500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9050">
                <a:solidFill>
                  <a:schemeClr val="accent5"/>
                </a:solidFill>
                <a:prstDash val="solid"/>
              </a:ln>
              <a:pattFill prst="smGrid">
                <a:fgClr>
                  <a:srgbClr val="E143A5"/>
                </a:fgClr>
                <a:bgClr>
                  <a:schemeClr val="bg1"/>
                </a:bgClr>
              </a:pattFill>
              <a:effectLst/>
            </a:rPr>
            <a:t>This velocity would show the progress made against the backlog's items</a:t>
          </a:r>
          <a:r>
            <a:rPr lang="en-US" sz="2800" b="1" cap="none" spc="0" baseline="0">
              <a:ln w="19050">
                <a:solidFill>
                  <a:schemeClr val="accent5"/>
                </a:solidFill>
                <a:prstDash val="solid"/>
              </a:ln>
              <a:pattFill prst="smGrid">
                <a:fgClr>
                  <a:srgbClr val="E143A5"/>
                </a:fgClr>
                <a:bgClr>
                  <a:schemeClr val="bg1"/>
                </a:bgClr>
              </a:pattFill>
              <a:effectLst/>
            </a:rPr>
            <a:t>.</a:t>
          </a:r>
        </a:p>
        <a:p>
          <a:pPr algn="ctr"/>
          <a:r>
            <a:rPr lang="en-US" sz="2800" b="1" cap="none" spc="0" baseline="0">
              <a:ln w="19050">
                <a:solidFill>
                  <a:schemeClr val="accent5"/>
                </a:solidFill>
                <a:prstDash val="solid"/>
              </a:ln>
              <a:pattFill prst="smGrid">
                <a:fgClr>
                  <a:srgbClr val="E143A5"/>
                </a:fgClr>
                <a:bgClr>
                  <a:schemeClr val="bg1"/>
                </a:bgClr>
              </a:pattFill>
              <a:effectLst/>
            </a:rPr>
            <a:t>In PMP terms - this is your pessimistic velocity against the backlog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952500</xdr:colOff>
          <xdr:row>8</xdr:row>
          <xdr:rowOff>9525</xdr:rowOff>
        </xdr:from>
        <xdr:to>
          <xdr:col>23</xdr:col>
          <xdr:colOff>0</xdr:colOff>
          <xdr:row>12</xdr:row>
          <xdr:rowOff>9525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952500</xdr:colOff>
          <xdr:row>8</xdr:row>
          <xdr:rowOff>9525</xdr:rowOff>
        </xdr:from>
        <xdr:to>
          <xdr:col>23</xdr:col>
          <xdr:colOff>0</xdr:colOff>
          <xdr:row>12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952500</xdr:colOff>
          <xdr:row>8</xdr:row>
          <xdr:rowOff>9525</xdr:rowOff>
        </xdr:from>
        <xdr:to>
          <xdr:col>24</xdr:col>
          <xdr:colOff>0</xdr:colOff>
          <xdr:row>12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952500</xdr:colOff>
          <xdr:row>8</xdr:row>
          <xdr:rowOff>9525</xdr:rowOff>
        </xdr:from>
        <xdr:to>
          <xdr:col>24</xdr:col>
          <xdr:colOff>0</xdr:colOff>
          <xdr:row>12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952500</xdr:colOff>
          <xdr:row>7</xdr:row>
          <xdr:rowOff>9525</xdr:rowOff>
        </xdr:from>
        <xdr:to>
          <xdr:col>24</xdr:col>
          <xdr:colOff>0</xdr:colOff>
          <xdr:row>11</xdr:row>
          <xdr:rowOff>9525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6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5</xdr:row>
          <xdr:rowOff>0</xdr:rowOff>
        </xdr:from>
        <xdr:to>
          <xdr:col>18</xdr:col>
          <xdr:colOff>28575</xdr:colOff>
          <xdr:row>9</xdr:row>
          <xdr:rowOff>28575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Data Results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ostanzo, Stephen" refreshedDate="43171.660941435184" createdVersion="6" refreshedVersion="6" minRefreshableVersion="3" recordCount="40">
  <cacheSource type="worksheet">
    <worksheetSource name="T_02_12_1825"/>
  </cacheSource>
  <cacheFields count="10">
    <cacheField name="ID" numFmtId="0">
      <sharedItems/>
    </cacheField>
    <cacheField name="Issue key" numFmtId="0">
      <sharedItems/>
    </cacheField>
    <cacheField name="Status" numFmtId="0">
      <sharedItems containsBlank="1" count="5">
        <s v="To Do"/>
        <s v="Done"/>
        <s v="Blocked"/>
        <m u="1"/>
        <s v="In Progress" u="1"/>
      </sharedItems>
    </cacheField>
    <cacheField name="Summary" numFmtId="0">
      <sharedItems/>
    </cacheField>
    <cacheField name="Story Points" numFmtId="0">
      <sharedItems containsSemiMixedTypes="0" containsString="0" containsNumber="1" containsInteger="1" minValue="1" maxValue="5"/>
    </cacheField>
    <cacheField name="Assignee" numFmtId="0">
      <sharedItems containsBlank="1"/>
    </cacheField>
    <cacheField name="Project" numFmtId="0">
      <sharedItems count="3">
        <s v="U"/>
        <s v="A"/>
        <s v="" u="1"/>
      </sharedItems>
    </cacheField>
    <cacheField name="Added After" numFmtId="0">
      <sharedItems containsBlank="1" count="2">
        <m/>
        <s v="Y"/>
      </sharedItems>
    </cacheField>
    <cacheField name="Prj Cmpt" numFmtId="0">
      <sharedItems containsBlank="1" count="2">
        <m/>
        <s v="Y"/>
      </sharedItems>
    </cacheField>
    <cacheField name=" 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ostanzo, Stephen" refreshedDate="43186.528257175923" createdVersion="6" refreshedVersion="6" minRefreshableVersion="3" recordCount="45">
  <cacheSource type="worksheet">
    <worksheetSource ref="A1:I46" sheet="Sprint 2018-03-27"/>
  </cacheSource>
  <cacheFields count="9">
    <cacheField name="ID" numFmtId="0">
      <sharedItems containsBlank="1"/>
    </cacheField>
    <cacheField name="Issue key" numFmtId="0">
      <sharedItems containsBlank="1"/>
    </cacheField>
    <cacheField name="Status" numFmtId="0">
      <sharedItems containsBlank="1" count="3">
        <s v="To Do"/>
        <s v="In Progress"/>
        <m/>
      </sharedItems>
    </cacheField>
    <cacheField name="Summary" numFmtId="0">
      <sharedItems containsBlank="1"/>
    </cacheField>
    <cacheField name="Story Points" numFmtId="0">
      <sharedItems containsString="0" containsBlank="1" containsNumber="1" containsInteger="1" minValue="1" maxValue="5"/>
    </cacheField>
    <cacheField name="Assignee" numFmtId="0">
      <sharedItems containsBlank="1"/>
    </cacheField>
    <cacheField name="Project" numFmtId="0">
      <sharedItems containsBlank="1" count="4">
        <s v="U"/>
        <s v="A"/>
        <s v=""/>
        <m/>
      </sharedItems>
    </cacheField>
    <cacheField name="Added After" numFmtId="0">
      <sharedItems containsNonDate="0" containsString="0" containsBlank="1" count="1">
        <m/>
      </sharedItems>
    </cacheField>
    <cacheField name="Prj Cmpt" numFmtId="0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Costanzo, Stephen" refreshedDate="43186.570152430555" createdVersion="6" refreshedVersion="6" minRefreshableVersion="3" recordCount="39">
  <cacheSource type="worksheet">
    <worksheetSource name="T_02_12_18"/>
  </cacheSource>
  <cacheFields count="10">
    <cacheField name="ID" numFmtId="0">
      <sharedItems/>
    </cacheField>
    <cacheField name="Issue key" numFmtId="0">
      <sharedItems/>
    </cacheField>
    <cacheField name="Status" numFmtId="0">
      <sharedItems containsBlank="1" count="35">
        <s v="Done"/>
        <s v="To Do"/>
        <m u="1"/>
        <s v="On Call - Linux / Solaris - Week 07 &amp; 08" u="1"/>
        <s v="HP-UX Cyberark setup" u="1"/>
        <s v="Sox Audit for 800+ UNIX Server" u="1"/>
        <s v="Fix fcstat utilization report for NPE ITM" u="1"/>
        <s v="Disabling &quot;critical&quot; parameter on SFHA AIX cluster servers for all Disk groups" u="1"/>
        <s v="In Progress" u="1"/>
        <s v="L2/L3 migration trnpxdb001/002/003" u="1"/>
        <s v="Remove &quot;OFF&quot; HPVMs &amp; vPARs those were Decommed - Cleanup" u="1"/>
        <s v="Migrate Linux Servers Running &quot;RAID 0&quot; to &quot;RAID 1&quot;" u="1"/>
        <s v="Connect Enterprise (file transfer) -prdxfer003/004 -vcs cluster modification " u="1"/>
        <s v="Puppet Task POC" u="1"/>
        <s v="NAS Migration Depot " u="1"/>
        <s v="Sync - HPE ISO Repo Between DC" u="1"/>
        <s v="Publish Patch Set Bundle for Q1 2018" u="1"/>
        <s v="AIX new build server approvals - Sprint 2/12" u="1"/>
        <s v="investigate frequent solaris patching issues and Review the Standards followed by Patching team" u="1"/>
        <s v="PXIBM207 Frame Rebuild- Phase2" u="1"/>
        <s v="Fixing pxibm214/pxibm215 VIO SEA private network " u="1"/>
        <s v="PXIBM207- Frame Rebuild- Phase2 - Rework-External Issues" u="1"/>
        <s v="SAN Migration - 2018-02-12" u="1"/>
        <s v="New Server Approvals" u="1"/>
        <s v="NPE Frame Spike Issue-Investigation" u="1"/>
        <s v="Standardize 'hponcfg' &amp; 'ssacli' across all Linux environment" u="1"/>
        <s v="Multi-factor authentication on UNIX servers " u="1"/>
        <s v="OSR migration project" u="1"/>
        <s v="On call - Sprint 2018-02-12" u="1"/>
        <s v="Qualys Agent deployment on Linux servers - Sprint 2/12" u="1"/>
        <s v="Patch Servers under Kevin Luu for Q1 2018" u="1"/>
        <s v="HPE Linux Firmware installation - Puppet Module" u="1"/>
        <s v="Document Docker Standards for Linux" u="1"/>
        <s v="Change of EIT DNS Server IP _Sprint-2_12" u="1"/>
        <s v=" Qualys Agent deployment on AIX servers - Sprint 2/12" u="1"/>
      </sharedItems>
    </cacheField>
    <cacheField name="Summary" numFmtId="0">
      <sharedItems/>
    </cacheField>
    <cacheField name="Story Points" numFmtId="0">
      <sharedItems containsSemiMixedTypes="0" containsString="0" containsNumber="1" containsInteger="1" minValue="1" maxValue="8"/>
    </cacheField>
    <cacheField name="Assignee" numFmtId="0">
      <sharedItems containsBlank="1"/>
    </cacheField>
    <cacheField name="Project" numFmtId="0">
      <sharedItems count="3">
        <s v="A"/>
        <s v="U"/>
        <s v="" u="1"/>
      </sharedItems>
    </cacheField>
    <cacheField name="Added After" numFmtId="0">
      <sharedItems containsBlank="1" count="2">
        <m/>
        <s v="Y"/>
      </sharedItems>
    </cacheField>
    <cacheField name="Prj Cmpt" numFmtId="0">
      <sharedItems containsBlank="1" count="2">
        <s v="Y"/>
        <m/>
      </sharedItems>
    </cacheField>
    <cacheField name=" 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Costanzo, Stephen" refreshedDate="43186.570152893517" createdVersion="6" refreshedVersion="6" minRefreshableVersion="3" recordCount="34">
  <cacheSource type="worksheet">
    <worksheetSource name="Table1"/>
  </cacheSource>
  <cacheFields count="10">
    <cacheField name="ID" numFmtId="0">
      <sharedItems/>
    </cacheField>
    <cacheField name="Issue key" numFmtId="0">
      <sharedItems/>
    </cacheField>
    <cacheField name="Status" numFmtId="0">
      <sharedItems containsBlank="1" count="5">
        <s v="In Progress"/>
        <s v="Done"/>
        <s v="To Do"/>
        <m u="1"/>
        <s v="Blocked" u="1"/>
      </sharedItems>
    </cacheField>
    <cacheField name="Summary" numFmtId="0">
      <sharedItems/>
    </cacheField>
    <cacheField name="Story Points" numFmtId="0">
      <sharedItems containsSemiMixedTypes="0" containsString="0" containsNumber="1" containsInteger="1" minValue="1" maxValue="8"/>
    </cacheField>
    <cacheField name="Assignee" numFmtId="0">
      <sharedItems containsBlank="1"/>
    </cacheField>
    <cacheField name="Project" numFmtId="0">
      <sharedItems count="3">
        <s v="A"/>
        <s v="U"/>
        <s v="" u="1"/>
      </sharedItems>
    </cacheField>
    <cacheField name="Added After" numFmtId="0">
      <sharedItems containsBlank="1" count="3">
        <m/>
        <s v="Y"/>
        <s v="N" u="1"/>
      </sharedItems>
    </cacheField>
    <cacheField name="Prj Cmpt" numFmtId="0">
      <sharedItems containsBlank="1" count="3">
        <s v="N"/>
        <s v="Y"/>
        <m u="1"/>
      </sharedItems>
    </cacheField>
    <cacheField name="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Costanzo, Stephen" refreshedDate="43186.570153587963" createdVersion="6" refreshedVersion="6" minRefreshableVersion="3" recordCount="33">
  <cacheSource type="worksheet">
    <worksheetSource name="Table111"/>
  </cacheSource>
  <cacheFields count="9">
    <cacheField name="Issue key" numFmtId="0">
      <sharedItems/>
    </cacheField>
    <cacheField name="Status" numFmtId="0">
      <sharedItems count="2">
        <s v="Done"/>
        <s v="In Progress"/>
      </sharedItems>
    </cacheField>
    <cacheField name="Summary" numFmtId="0">
      <sharedItems/>
    </cacheField>
    <cacheField name="Story Points" numFmtId="0">
      <sharedItems containsSemiMixedTypes="0" containsString="0" containsNumber="1" containsInteger="1" minValue="1" maxValue="8"/>
    </cacheField>
    <cacheField name="Assignee" numFmtId="0">
      <sharedItems containsBlank="1"/>
    </cacheField>
    <cacheField name="Project" numFmtId="0">
      <sharedItems count="2">
        <s v="A"/>
        <s v="U"/>
      </sharedItems>
    </cacheField>
    <cacheField name="Added After" numFmtId="0">
      <sharedItems containsBlank="1" count="2">
        <m/>
        <s v="Y"/>
      </sharedItems>
    </cacheField>
    <cacheField name="Prj Cmpt" numFmtId="0">
      <sharedItems containsBlank="1" count="2">
        <s v="Y"/>
        <m/>
      </sharedItems>
    </cacheField>
    <cacheField name="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Costanzo, Stephen" refreshedDate="43186.570154166664" createdVersion="6" refreshedVersion="6" minRefreshableVersion="3" recordCount="45">
  <cacheSource type="worksheet">
    <worksheetSource name="T_02_12_182532"/>
  </cacheSource>
  <cacheFields count="9">
    <cacheField name="ID" numFmtId="0">
      <sharedItems/>
    </cacheField>
    <cacheField name="Issue key" numFmtId="0">
      <sharedItems/>
    </cacheField>
    <cacheField name="Status" numFmtId="0">
      <sharedItems containsBlank="1" count="5">
        <s v="Done"/>
        <s v="In Progress"/>
        <s v="Blocked"/>
        <s v="To Do"/>
        <m u="1"/>
      </sharedItems>
    </cacheField>
    <cacheField name="Summary" numFmtId="0">
      <sharedItems/>
    </cacheField>
    <cacheField name="Story Points" numFmtId="0">
      <sharedItems containsSemiMixedTypes="0" containsString="0" containsNumber="1" containsInteger="1" minValue="1" maxValue="5"/>
    </cacheField>
    <cacheField name="Assignee" numFmtId="0">
      <sharedItems containsBlank="1"/>
    </cacheField>
    <cacheField name="Project" numFmtId="0">
      <sharedItems count="3">
        <s v="U"/>
        <s v="A"/>
        <s v="" u="1"/>
      </sharedItems>
    </cacheField>
    <cacheField name="Added After" numFmtId="0">
      <sharedItems containsBlank="1" count="2">
        <s v="Y"/>
        <m/>
      </sharedItems>
    </cacheField>
    <cacheField name="Prj Cmpt" numFmtId="0">
      <sharedItems containsBlank="1" count="2">
        <s v="Y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">
  <r>
    <s v="254"/>
    <s v="INFUOP-254"/>
    <x v="0"/>
    <s v="RHEL 7 and RHEL 6 build image hardening"/>
    <n v="5"/>
    <s v="Jon"/>
    <x v="0"/>
    <x v="0"/>
    <x v="0"/>
    <s v=""/>
  </r>
  <r>
    <s v="694"/>
    <s v="INFUOP-694"/>
    <x v="1"/>
    <s v="LINUX new build server approvals - Sprint 2/12"/>
    <n v="1"/>
    <s v="Jon"/>
    <x v="0"/>
    <x v="0"/>
    <x v="1"/>
    <s v=""/>
  </r>
  <r>
    <s v="838"/>
    <s v="INFUOP-838"/>
    <x v="1"/>
    <s v="Enable and Process puppet Service across all Linux Servers"/>
    <n v="3"/>
    <s v="Bhuvan"/>
    <x v="0"/>
    <x v="0"/>
    <x v="1"/>
    <s v=""/>
  </r>
  <r>
    <s v="839"/>
    <s v="INFUOP-839"/>
    <x v="0"/>
    <s v="Modify SSACLI scripting"/>
    <n v="3"/>
    <s v="Bhuvan"/>
    <x v="0"/>
    <x v="0"/>
    <x v="0"/>
    <s v=""/>
  </r>
  <r>
    <s v="841"/>
    <s v="INFUOP-841"/>
    <x v="1"/>
    <s v="Engineering iLO Standardization - Phase 2"/>
    <n v="3"/>
    <s v="Bhuvan"/>
    <x v="0"/>
    <x v="0"/>
    <x v="1"/>
    <s v=""/>
  </r>
  <r>
    <s v="842"/>
    <s v="INFUOP-842"/>
    <x v="1"/>
    <s v="Summarizing Servers list for Upcoming SAN migration"/>
    <n v="3"/>
    <s v="Bhuvan"/>
    <x v="0"/>
    <x v="0"/>
    <x v="1"/>
    <s v=""/>
  </r>
  <r>
    <s v="843"/>
    <s v="INFUOP-843"/>
    <x v="1"/>
    <s v="Qualys agent on linux _Sprint 2_26"/>
    <n v="2"/>
    <s v="Ramesh"/>
    <x v="0"/>
    <x v="0"/>
    <x v="1"/>
    <s v=""/>
  </r>
  <r>
    <s v="844"/>
    <s v="INFUOP-844"/>
    <x v="2"/>
    <s v="DNS IP migration "/>
    <n v="2"/>
    <s v="Ramesh"/>
    <x v="0"/>
    <x v="0"/>
    <x v="0"/>
    <s v=""/>
  </r>
  <r>
    <s v="846"/>
    <s v="INFUOP-846"/>
    <x v="1"/>
    <s v="Puppet Tasks - Script update &amp; Training"/>
    <n v="3"/>
    <s v="Bhuvan"/>
    <x v="0"/>
    <x v="0"/>
    <x v="1"/>
    <s v=""/>
  </r>
  <r>
    <s v="847"/>
    <s v="INFUOP-847"/>
    <x v="1"/>
    <s v="OSR migration tasks - 2/26 sprint"/>
    <n v="3"/>
    <m/>
    <x v="0"/>
    <x v="0"/>
    <x v="1"/>
    <s v=""/>
  </r>
  <r>
    <s v="848"/>
    <s v="INFUOP-848"/>
    <x v="1"/>
    <s v="ON-CALL LINUX 02_26_2018"/>
    <n v="3"/>
    <s v="Rakesh"/>
    <x v="0"/>
    <x v="0"/>
    <x v="1"/>
    <s v=""/>
  </r>
  <r>
    <s v="849"/>
    <s v="INFUOP-849"/>
    <x v="1"/>
    <s v="NAS Migration Cleanup"/>
    <n v="5"/>
    <s v="Mammar"/>
    <x v="0"/>
    <x v="0"/>
    <x v="1"/>
    <s v=""/>
  </r>
  <r>
    <s v="850"/>
    <s v="INFUOP-850"/>
    <x v="1"/>
    <s v="VOM Maintenance "/>
    <n v="3"/>
    <s v="Mammar"/>
    <x v="0"/>
    <x v="0"/>
    <x v="1"/>
    <s v=""/>
  </r>
  <r>
    <s v="851"/>
    <s v="INFUOP-851"/>
    <x v="1"/>
    <s v="NAS and Firewall Pre-Requests for setting Kdump on all linux environment."/>
    <n v="3"/>
    <s v="Rakesh"/>
    <x v="0"/>
    <x v="0"/>
    <x v="1"/>
    <s v=""/>
  </r>
  <r>
    <s v="852"/>
    <s v="INFUOP-852"/>
    <x v="1"/>
    <s v="Vulnerabilities on Unix servers "/>
    <n v="3"/>
    <s v="Ramesh"/>
    <x v="0"/>
    <x v="0"/>
    <x v="1"/>
    <s v=""/>
  </r>
  <r>
    <s v="853"/>
    <s v="INFUOP-853"/>
    <x v="1"/>
    <s v="Multi-factor authentication on UNIX servers"/>
    <n v="5"/>
    <s v="Prabal"/>
    <x v="0"/>
    <x v="0"/>
    <x v="1"/>
    <s v=""/>
  </r>
  <r>
    <s v="854"/>
    <s v="INFUOP-854"/>
    <x v="1"/>
    <s v="Patch Servers under Kevin Luu for Q1 2018"/>
    <n v="3"/>
    <s v="Prabal"/>
    <x v="0"/>
    <x v="0"/>
    <x v="1"/>
    <s v=""/>
  </r>
  <r>
    <s v="855"/>
    <s v="INFUOP-855"/>
    <x v="1"/>
    <s v="service know KB articles review "/>
    <n v="1"/>
    <s v="Ramesh"/>
    <x v="0"/>
    <x v="1"/>
    <x v="1"/>
    <s v=""/>
  </r>
  <r>
    <s v="857"/>
    <s v="INFUOP-857"/>
    <x v="1"/>
    <s v="Connect Enterprise"/>
    <n v="1"/>
    <s v="VS"/>
    <x v="0"/>
    <x v="1"/>
    <x v="1"/>
    <s v=""/>
  </r>
  <r>
    <s v="859"/>
    <s v="INFUOP-859"/>
    <x v="1"/>
    <s v="BL460 Firmware upgrade on pelensp106"/>
    <n v="1"/>
    <s v="Venkatesh"/>
    <x v="0"/>
    <x v="0"/>
    <x v="1"/>
    <s v=""/>
  </r>
  <r>
    <s v="860"/>
    <s v="INFUOP-860"/>
    <x v="1"/>
    <s v="BL460 Firmware upgrade on pelensp107"/>
    <n v="1"/>
    <s v="Venkatesh"/>
    <x v="0"/>
    <x v="0"/>
    <x v="1"/>
    <s v=""/>
  </r>
  <r>
    <s v="861"/>
    <s v="INFUOP-861"/>
    <x v="1"/>
    <s v="BL460 Firmware upgrade on pelensp108"/>
    <n v="1"/>
    <s v="Venkatesh"/>
    <x v="0"/>
    <x v="0"/>
    <x v="1"/>
    <s v=""/>
  </r>
  <r>
    <s v="863"/>
    <s v="INFUOP-863"/>
    <x v="1"/>
    <s v="OSR Migrations Tasks (Part II)"/>
    <n v="3"/>
    <s v="Jon"/>
    <x v="0"/>
    <x v="0"/>
    <x v="0"/>
    <m/>
  </r>
  <r>
    <s v="867"/>
    <s v="INFUOP-867"/>
    <x v="2"/>
    <s v="Appsync POC Troubleshooting session"/>
    <n v="3"/>
    <s v="Rakesh"/>
    <x v="0"/>
    <x v="1"/>
    <x v="0"/>
    <s v=""/>
  </r>
  <r>
    <s v="2"/>
    <s v="INFAOP-2"/>
    <x v="1"/>
    <s v="VIOS patching - Polaris PRD"/>
    <n v="5"/>
    <s v="Jasim"/>
    <x v="1"/>
    <x v="0"/>
    <x v="1"/>
    <s v=""/>
  </r>
  <r>
    <s v="263"/>
    <s v="INFAOP-263"/>
    <x v="1"/>
    <s v="Fix fcstat utilization report for PROD ITM"/>
    <n v="5"/>
    <s v="Azmath"/>
    <x v="1"/>
    <x v="0"/>
    <x v="1"/>
    <s v=""/>
  </r>
  <r>
    <s v="397"/>
    <s v="INFAOP-397"/>
    <x v="0"/>
    <s v="Create a script to automate /goldengate file system creation on AIX npe servers "/>
    <n v="3"/>
    <s v="Venkatesh"/>
    <x v="1"/>
    <x v="0"/>
    <x v="0"/>
    <s v=""/>
  </r>
  <r>
    <s v="398"/>
    <s v="INFAOP-398"/>
    <x v="0"/>
    <s v="PXIBM208 Frame Rebuild - Phase 1"/>
    <n v="3"/>
    <s v="Muqtadir"/>
    <x v="1"/>
    <x v="0"/>
    <x v="0"/>
    <s v=""/>
  </r>
  <r>
    <s v="452"/>
    <s v="INFAOP-452"/>
    <x v="0"/>
    <s v="TTIBM609 Frame Rebuild -Phase 1"/>
    <n v="3"/>
    <s v="Azmath"/>
    <x v="1"/>
    <x v="0"/>
    <x v="0"/>
    <s v=""/>
  </r>
  <r>
    <s v="501"/>
    <s v="INFAOP-501"/>
    <x v="1"/>
    <s v="AIX Liveupdate testing on selected SAP NPE servers"/>
    <n v="3"/>
    <s v="Jasim"/>
    <x v="1"/>
    <x v="0"/>
    <x v="1"/>
    <s v=""/>
  </r>
  <r>
    <s v="503"/>
    <s v="INFAOP-503"/>
    <x v="1"/>
    <s v="Qualys Agent deployment on AIX servers - Sprint 2/26"/>
    <n v="3"/>
    <s v="Santosh"/>
    <x v="1"/>
    <x v="0"/>
    <x v="1"/>
    <s v=""/>
  </r>
  <r>
    <s v="504"/>
    <s v="INFAOP-504"/>
    <x v="1"/>
    <s v="AIX new build server approvals - Sprint 2/26"/>
    <n v="1"/>
    <s v="Santosh"/>
    <x v="1"/>
    <x v="0"/>
    <x v="1"/>
    <s v=""/>
  </r>
  <r>
    <s v="510"/>
    <s v="INFAOP-510"/>
    <x v="1"/>
    <s v="Meltdown vulnerability - rollout frame firmware to NPE IBM frames"/>
    <n v="3"/>
    <s v="Santosh"/>
    <x v="1"/>
    <x v="0"/>
    <x v="1"/>
    <s v=""/>
  </r>
  <r>
    <s v="511"/>
    <s v="INFAOP-511"/>
    <x v="1"/>
    <s v="Automate boot lun migration"/>
    <n v="3"/>
    <s v="Santosh"/>
    <x v="1"/>
    <x v="0"/>
    <x v="1"/>
    <s v=""/>
  </r>
  <r>
    <s v="514"/>
    <s v="INFAOP-514"/>
    <x v="1"/>
    <s v="Integrate Liveupdate with patching automation"/>
    <n v="3"/>
    <s v="Bhuvan"/>
    <x v="1"/>
    <x v="0"/>
    <x v="1"/>
    <s v=""/>
  </r>
  <r>
    <s v="515"/>
    <s v="INFAOP-515"/>
    <x v="1"/>
    <s v="AIX Liveupdate testing on selected SAP NPE servers - Venkatesh"/>
    <n v="3"/>
    <s v="Venkatesh"/>
    <x v="1"/>
    <x v="0"/>
    <x v="1"/>
    <s v=""/>
  </r>
  <r>
    <s v="517"/>
    <s v="INFAOP-517"/>
    <x v="1"/>
    <s v="AIX Sprint On call - 02/26 - 03/12"/>
    <n v="3"/>
    <m/>
    <x v="1"/>
    <x v="0"/>
    <x v="1"/>
    <s v=""/>
  </r>
  <r>
    <s v="518"/>
    <s v="INFAOP-518"/>
    <x v="1"/>
    <s v="Veritas upgrade on admtrac005/006 to 7.3"/>
    <n v="5"/>
    <s v="Muqtadir"/>
    <x v="1"/>
    <x v="0"/>
    <x v="1"/>
    <s v=""/>
  </r>
  <r>
    <s v="521"/>
    <s v="INFAOP-521"/>
    <x v="1"/>
    <s v="AIX Liveupdate testing on selected servers"/>
    <n v="3"/>
    <s v="Azmath"/>
    <x v="1"/>
    <x v="0"/>
    <x v="1"/>
    <s v=""/>
  </r>
  <r>
    <s v="576"/>
    <s v="INFAOP-576"/>
    <x v="1"/>
    <s v="L2 - L3 migration stgtbdb201"/>
    <n v="3"/>
    <s v="Jasim"/>
    <x v="1"/>
    <x v="1"/>
    <x v="1"/>
    <s v="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5">
  <r>
    <s v="923"/>
    <s v="INFUOP-923"/>
    <x v="0"/>
    <s v="Q2 Platform Document (LINUX)"/>
    <n v="2"/>
    <s v="JChrist30"/>
    <x v="0"/>
    <x v="0"/>
    <x v="0"/>
  </r>
  <r>
    <s v="922"/>
    <s v="INFUOP-922"/>
    <x v="0"/>
    <s v="Master Depot/NFS/Infra Replication Re architecture"/>
    <n v="3"/>
    <s v="JChrist30"/>
    <x v="0"/>
    <x v="0"/>
    <x v="0"/>
  </r>
  <r>
    <s v="920"/>
    <s v="INFUOP-920"/>
    <x v="0"/>
    <s v="OSR Migration Project Sprint 3/26"/>
    <n v="1"/>
    <s v="JChrist30"/>
    <x v="0"/>
    <x v="0"/>
    <x v="0"/>
  </r>
  <r>
    <s v="919"/>
    <s v="INFUOP-919"/>
    <x v="0"/>
    <s v="New Server Approvals - Sprint 3/26"/>
    <n v="3"/>
    <s v="JChrist30"/>
    <x v="0"/>
    <x v="0"/>
    <x v="0"/>
  </r>
  <r>
    <s v="918"/>
    <s v="INFUOP-918"/>
    <x v="0"/>
    <s v="Qualys agent on linux _Sprint 2_26"/>
    <n v="2"/>
    <s v="RMalemp"/>
    <x v="0"/>
    <x v="0"/>
    <x v="0"/>
  </r>
  <r>
    <s v="917"/>
    <s v="INFUOP-917"/>
    <x v="0"/>
    <s v="POC - VM Snapshot  using PowerCLI"/>
    <n v="2"/>
    <s v="BMadasa1"/>
    <x v="0"/>
    <x v="0"/>
    <x v="0"/>
  </r>
  <r>
    <s v="916"/>
    <s v="INFUOP-916"/>
    <x v="0"/>
    <s v="Dell IDRAC Standards DOC Phase 2"/>
    <n v="3"/>
    <s v="VAnnapu"/>
    <x v="0"/>
    <x v="0"/>
    <x v="0"/>
  </r>
  <r>
    <s v="915"/>
    <s v="INFUOP-915"/>
    <x v="0"/>
    <s v="Clear Stale Mounts"/>
    <n v="3"/>
    <s v="MRashid"/>
    <x v="0"/>
    <x v="0"/>
    <x v="0"/>
  </r>
  <r>
    <s v="914"/>
    <s v="INFUOP-914"/>
    <x v="0"/>
    <s v="Update patch-set document for Q2 2018"/>
    <n v="1"/>
    <s v="PMalla2"/>
    <x v="0"/>
    <x v="0"/>
    <x v="0"/>
  </r>
  <r>
    <s v="913"/>
    <s v="INFUOP-913"/>
    <x v="0"/>
    <s v="Testing Linux Patch set for Q2 2018"/>
    <n v="2"/>
    <s v="PMalla2"/>
    <x v="0"/>
    <x v="0"/>
    <x v="0"/>
  </r>
  <r>
    <s v="912"/>
    <s v="INFUOP-912"/>
    <x v="0"/>
    <s v="Engineering - iLO Integration with LDAP [ POC ]"/>
    <n v="2"/>
    <s v="BMadasa1"/>
    <x v="0"/>
    <x v="0"/>
    <x v="0"/>
  </r>
  <r>
    <s v="911"/>
    <s v="INFUOP-911"/>
    <x v="0"/>
    <s v="SNMP/r-commands vulnerability on Solaris "/>
    <n v="2"/>
    <s v="VAnnapu"/>
    <x v="0"/>
    <x v="0"/>
    <x v="0"/>
  </r>
  <r>
    <s v="910"/>
    <s v="INFUOP-910"/>
    <x v="0"/>
    <s v="NAS Firewall Standardization Document "/>
    <n v="3"/>
    <s v="MRashid"/>
    <x v="0"/>
    <x v="0"/>
    <x v="0"/>
  </r>
  <r>
    <s v="908"/>
    <s v="INFUOP-908"/>
    <x v="0"/>
    <s v="Fail over test for NFSv4 on Isilon"/>
    <n v="2"/>
    <s v="VS"/>
    <x v="0"/>
    <x v="0"/>
    <x v="0"/>
  </r>
  <r>
    <s v="901"/>
    <s v="INFUOP-901"/>
    <x v="0"/>
    <s v="Hadoop /opt remediation "/>
    <n v="3"/>
    <s v="MRashid"/>
    <x v="0"/>
    <x v="0"/>
    <x v="0"/>
  </r>
  <r>
    <s v="886"/>
    <s v="INFUOP-886"/>
    <x v="0"/>
    <s v="LINUX oncall Sprint 3_26"/>
    <n v="3"/>
    <m/>
    <x v="0"/>
    <x v="0"/>
    <x v="0"/>
  </r>
  <r>
    <s v="881"/>
    <s v="INFUOP-881"/>
    <x v="0"/>
    <s v="Set of iLOs missing DNS records are identified - Add DNS Host Records "/>
    <n v="2"/>
    <s v="BMadasa1"/>
    <x v="0"/>
    <x v="0"/>
    <x v="0"/>
  </r>
  <r>
    <s v="776"/>
    <s v="INFUOP-776"/>
    <x v="1"/>
    <s v="Solaris Q2 patches"/>
    <n v="2"/>
    <s v="VAnnapu"/>
    <x v="0"/>
    <x v="0"/>
    <x v="0"/>
  </r>
  <r>
    <s v="574"/>
    <s v="INFUOP-574"/>
    <x v="0"/>
    <s v="Solaris Auto Service Request (ASR) cleanups "/>
    <n v="2"/>
    <s v="RMalemp"/>
    <x v="0"/>
    <x v="0"/>
    <x v="0"/>
  </r>
  <r>
    <s v="613"/>
    <s v="INFAOP-613"/>
    <x v="0"/>
    <s v="Minotaur firmware upgrade PROD"/>
    <n v="2"/>
    <s v="AKhan130"/>
    <x v="1"/>
    <x v="0"/>
    <x v="0"/>
  </r>
  <r>
    <s v="612"/>
    <s v="INFAOP-612"/>
    <x v="0"/>
    <s v="Minotaur firmware upgrade NPE"/>
    <n v="3"/>
    <s v="AKhan130"/>
    <x v="1"/>
    <x v="0"/>
    <x v="0"/>
  </r>
  <r>
    <s v="605"/>
    <s v="INFAOP-605"/>
    <x v="0"/>
    <s v="update Automated capacity management threshold settings - CPU,Memory and AME"/>
    <n v="3"/>
    <s v="AKhan130"/>
    <x v="1"/>
    <x v="0"/>
    <x v="0"/>
  </r>
  <r>
    <s v="601"/>
    <s v="INFAOP-601"/>
    <x v="0"/>
    <s v="Update AIX Patching automation script for Q2 2018 standard"/>
    <n v="3"/>
    <s v="BMadasa1"/>
    <x v="1"/>
    <x v="0"/>
    <x v="0"/>
  </r>
  <r>
    <s v="600"/>
    <s v="INFAOP-600"/>
    <x v="0"/>
    <s v="Define Q2 2018 AIX platform standards"/>
    <n v="3"/>
    <s v="SPadiya1"/>
    <x v="1"/>
    <x v="0"/>
    <x v="0"/>
  </r>
  <r>
    <s v="598"/>
    <s v="INFAOP-598"/>
    <x v="0"/>
    <s v="Investigate the missing ITM data for listed servers"/>
    <n v="3"/>
    <s v="AKhan130"/>
    <x v="1"/>
    <x v="0"/>
    <x v="0"/>
  </r>
  <r>
    <s v="539"/>
    <s v="INFAOP-539"/>
    <x v="0"/>
    <s v="VIO's Q1 2018 Patching - PXIBM115/204 and TTIBM604"/>
    <n v="3"/>
    <s v="MAbdul1"/>
    <x v="1"/>
    <x v="0"/>
    <x v="0"/>
  </r>
  <r>
    <s v="520"/>
    <s v="INFAOP-520"/>
    <x v="0"/>
    <s v="Fix DMP paths on servers-All storage-All paths"/>
    <n v="3"/>
    <s v="MAbdul1"/>
    <x v="1"/>
    <x v="0"/>
    <x v="0"/>
  </r>
  <r>
    <s v="508"/>
    <s v="INFAOP-508"/>
    <x v="0"/>
    <s v="Patch Linux on Power hosts - admplpyum0009, tstplpvcx0001, tstplpvcx0002"/>
    <n v="3"/>
    <s v="SPadiya1"/>
    <x v="1"/>
    <x v="0"/>
    <x v="0"/>
  </r>
  <r>
    <s v="399"/>
    <s v="INFAOP-399"/>
    <x v="0"/>
    <s v="Disabling &quot;critical&quot; parameter on SFHA AIX cluster servers for all Disk groups"/>
    <n v="3"/>
    <s v="VS"/>
    <x v="1"/>
    <x v="0"/>
    <x v="0"/>
  </r>
  <r>
    <s v="380"/>
    <s v="INFAOP-380"/>
    <x v="1"/>
    <s v="Test - LDAP Integration with HMC"/>
    <n v="3"/>
    <s v="BMadasa1"/>
    <x v="1"/>
    <x v="0"/>
    <x v="0"/>
  </r>
  <r>
    <s v="199"/>
    <s v="INFAOP-199"/>
    <x v="0"/>
    <s v="Veritas upgrade using alt_disk_install method"/>
    <n v="5"/>
    <s v="MAbdul1"/>
    <x v="1"/>
    <x v="0"/>
    <x v="0"/>
  </r>
  <r>
    <s v="196"/>
    <s v="INFAOP-196"/>
    <x v="0"/>
    <s v="ITM - Remediate offline ITM agents"/>
    <n v="5"/>
    <s v="VS"/>
    <x v="1"/>
    <x v="0"/>
    <x v="0"/>
  </r>
  <r>
    <s v="194"/>
    <s v="INFAOP-194"/>
    <x v="0"/>
    <s v="Automated capacity management - Not able to get recommended EC-VP Values"/>
    <n v="5"/>
    <s v="SPadiya1"/>
    <x v="1"/>
    <x v="0"/>
    <x v="0"/>
  </r>
  <r>
    <s v=""/>
    <m/>
    <x v="2"/>
    <m/>
    <m/>
    <m/>
    <x v="2"/>
    <x v="0"/>
    <x v="0"/>
  </r>
  <r>
    <s v=""/>
    <m/>
    <x v="2"/>
    <m/>
    <m/>
    <m/>
    <x v="2"/>
    <x v="0"/>
    <x v="0"/>
  </r>
  <r>
    <s v=""/>
    <m/>
    <x v="2"/>
    <m/>
    <m/>
    <m/>
    <x v="2"/>
    <x v="0"/>
    <x v="0"/>
  </r>
  <r>
    <s v=""/>
    <m/>
    <x v="2"/>
    <m/>
    <m/>
    <m/>
    <x v="2"/>
    <x v="0"/>
    <x v="0"/>
  </r>
  <r>
    <s v=""/>
    <m/>
    <x v="2"/>
    <m/>
    <m/>
    <m/>
    <x v="2"/>
    <x v="0"/>
    <x v="0"/>
  </r>
  <r>
    <s v=""/>
    <m/>
    <x v="2"/>
    <m/>
    <m/>
    <m/>
    <x v="2"/>
    <x v="0"/>
    <x v="0"/>
  </r>
  <r>
    <s v=""/>
    <m/>
    <x v="2"/>
    <m/>
    <m/>
    <m/>
    <x v="2"/>
    <x v="0"/>
    <x v="0"/>
  </r>
  <r>
    <s v=""/>
    <m/>
    <x v="2"/>
    <m/>
    <m/>
    <m/>
    <x v="2"/>
    <x v="0"/>
    <x v="0"/>
  </r>
  <r>
    <s v=""/>
    <m/>
    <x v="2"/>
    <m/>
    <m/>
    <m/>
    <x v="2"/>
    <x v="0"/>
    <x v="0"/>
  </r>
  <r>
    <s v=""/>
    <m/>
    <x v="2"/>
    <m/>
    <m/>
    <m/>
    <x v="2"/>
    <x v="0"/>
    <x v="0"/>
  </r>
  <r>
    <s v=""/>
    <m/>
    <x v="2"/>
    <m/>
    <m/>
    <m/>
    <x v="2"/>
    <x v="0"/>
    <x v="0"/>
  </r>
  <r>
    <m/>
    <m/>
    <x v="2"/>
    <m/>
    <m/>
    <m/>
    <x v="3"/>
    <x v="0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9">
  <r>
    <s v="9"/>
    <s v="INFAOP-9"/>
    <x v="0"/>
    <s v="PXIBM207 Frame Rebuild- Phase2"/>
    <n v="8"/>
    <s v="Muqtadir"/>
    <x v="0"/>
    <x v="0"/>
    <x v="0"/>
    <s v=""/>
  </r>
  <r>
    <s v="262"/>
    <s v="INFAOP-262"/>
    <x v="0"/>
    <s v="Fix fcstat utilization report for NPE ITM"/>
    <n v="8"/>
    <s v="Azmath"/>
    <x v="0"/>
    <x v="0"/>
    <x v="0"/>
    <s v=""/>
  </r>
  <r>
    <s v="399"/>
    <s v="INFAOP-399"/>
    <x v="1"/>
    <s v="Disabling &quot;critical&quot; parameter on SFHA AIX cluster servers for all Disk groups"/>
    <n v="3"/>
    <s v="Venkatesh"/>
    <x v="0"/>
    <x v="0"/>
    <x v="1"/>
    <s v=""/>
  </r>
  <r>
    <s v="402"/>
    <s v="INFAOP-402"/>
    <x v="0"/>
    <s v="Auditing /usr/sap on AIX NPE SAP Servers"/>
    <n v="5"/>
    <s v="Venkatesh"/>
    <x v="0"/>
    <x v="1"/>
    <x v="0"/>
    <s v=""/>
  </r>
  <r>
    <s v="434"/>
    <s v="INFAOP-434"/>
    <x v="0"/>
    <s v="AIX new build server approvals - Sprint 2/12"/>
    <n v="1"/>
    <s v="Santosh"/>
    <x v="0"/>
    <x v="0"/>
    <x v="0"/>
    <s v=""/>
  </r>
  <r>
    <s v="435"/>
    <s v="INFAOP-435"/>
    <x v="0"/>
    <s v=" Qualys Agent deployment on AIX servers - Sprint 2/12"/>
    <n v="3"/>
    <s v="Santosh"/>
    <x v="0"/>
    <x v="0"/>
    <x v="0"/>
    <s v=""/>
  </r>
  <r>
    <s v="436"/>
    <s v="INFAOP-436"/>
    <x v="0"/>
    <s v="On call - Sprint 2018-02-12"/>
    <n v="3"/>
    <m/>
    <x v="0"/>
    <x v="0"/>
    <x v="0"/>
    <s v=""/>
  </r>
  <r>
    <s v="438"/>
    <s v="INFAOP-438"/>
    <x v="0"/>
    <s v="L2/L3 migration trnpxdb001/002/003"/>
    <n v="3"/>
    <s v="Jasim"/>
    <x v="0"/>
    <x v="0"/>
    <x v="0"/>
    <s v=""/>
  </r>
  <r>
    <s v="439"/>
    <s v="INFAOP-439"/>
    <x v="0"/>
    <s v="SAN Migration - 2018-02-12"/>
    <n v="3"/>
    <s v="Venkatesh"/>
    <x v="0"/>
    <x v="0"/>
    <x v="0"/>
    <s v=""/>
  </r>
  <r>
    <s v="467"/>
    <s v="INFAOP-467"/>
    <x v="0"/>
    <s v="PXIBM207- Frame Rebuild- Phase2 - Rework-External Issues"/>
    <n v="3"/>
    <s v="Muqtadir"/>
    <x v="0"/>
    <x v="0"/>
    <x v="0"/>
    <s v=""/>
  </r>
  <r>
    <s v="468"/>
    <s v="INFAOP-468"/>
    <x v="0"/>
    <s v="NPE Frame Spike Issue-Investigation"/>
    <n v="3"/>
    <s v="Muqtadir"/>
    <x v="0"/>
    <x v="0"/>
    <x v="0"/>
    <s v=""/>
  </r>
  <r>
    <s v="469"/>
    <s v="INFAOP-469"/>
    <x v="0"/>
    <s v="Fixing pxibm214/pxibm215 VIO SEA private network "/>
    <n v="3"/>
    <s v="Muqtadir"/>
    <x v="0"/>
    <x v="0"/>
    <x v="0"/>
    <s v=""/>
  </r>
  <r>
    <s v="497"/>
    <s v="INFAOP-497"/>
    <x v="0"/>
    <s v="L2-L3 Migration for Passive RPX DB Nodes"/>
    <n v="3"/>
    <s v="Azmath"/>
    <x v="0"/>
    <x v="1"/>
    <x v="0"/>
    <s v=""/>
  </r>
  <r>
    <s v="505"/>
    <s v="INFAOP-505"/>
    <x v="0"/>
    <s v="PatchME Now Deployment Error"/>
    <n v="5"/>
    <s v="Muqtadir"/>
    <x v="0"/>
    <x v="1"/>
    <x v="0"/>
    <s v=""/>
  </r>
  <r>
    <s v="97"/>
    <s v="INFUOP-97"/>
    <x v="0"/>
    <s v="Change of EIT DNS Server IP _Sprint-2_12"/>
    <n v="2"/>
    <s v="Ramesh"/>
    <x v="1"/>
    <x v="0"/>
    <x v="0"/>
    <s v=""/>
  </r>
  <r>
    <s v="730"/>
    <s v="INFUOP-730"/>
    <x v="0"/>
    <s v="Fix VOM Security"/>
    <n v="1"/>
    <s v="Mammar"/>
    <x v="1"/>
    <x v="0"/>
    <x v="0"/>
    <s v=""/>
  </r>
  <r>
    <s v="738"/>
    <s v="INFUOP-738"/>
    <x v="0"/>
    <s v="HPE Linux Firmware installation - Puppet Module"/>
    <n v="3"/>
    <s v="BHuvan"/>
    <x v="1"/>
    <x v="0"/>
    <x v="0"/>
    <s v=""/>
  </r>
  <r>
    <s v="765"/>
    <s v="INFUOP-765"/>
    <x v="0"/>
    <s v="New Server Approvals"/>
    <n v="1"/>
    <s v="Jon"/>
    <x v="1"/>
    <x v="0"/>
    <x v="0"/>
    <s v=""/>
  </r>
  <r>
    <s v="766"/>
    <s v="INFUOP-766"/>
    <x v="0"/>
    <s v="OSR migration project"/>
    <n v="1"/>
    <s v="Jon"/>
    <x v="1"/>
    <x v="0"/>
    <x v="0"/>
    <s v=""/>
  </r>
  <r>
    <s v="767"/>
    <s v="INFUOP-767"/>
    <x v="1"/>
    <s v="Document Docker Standards for Linux"/>
    <n v="3"/>
    <s v="Rakesh"/>
    <x v="1"/>
    <x v="0"/>
    <x v="1"/>
    <s v=""/>
  </r>
  <r>
    <s v="768"/>
    <s v="INFUOP-768"/>
    <x v="0"/>
    <s v="Sox Audit for 800+ UNIX Server"/>
    <n v="1"/>
    <s v="Mammar"/>
    <x v="1"/>
    <x v="0"/>
    <x v="0"/>
    <s v=""/>
  </r>
  <r>
    <s v="769"/>
    <s v="INFUOP-769"/>
    <x v="0"/>
    <s v="HP-UX Cyberark setup"/>
    <n v="1"/>
    <s v="Mammar"/>
    <x v="1"/>
    <x v="0"/>
    <x v="0"/>
    <s v=""/>
  </r>
  <r>
    <s v="771"/>
    <s v="INFUOP-771"/>
    <x v="0"/>
    <s v="NAS Migration Depot "/>
    <n v="3"/>
    <s v="Mammar"/>
    <x v="1"/>
    <x v="0"/>
    <x v="0"/>
    <s v=""/>
  </r>
  <r>
    <s v="773"/>
    <s v="INFUOP-773"/>
    <x v="0"/>
    <s v="On Call - Linux / Solaris - Week 07 &amp; 08"/>
    <n v="3"/>
    <m/>
    <x v="1"/>
    <x v="0"/>
    <x v="0"/>
    <s v=""/>
  </r>
  <r>
    <s v="774"/>
    <s v="INFUOP-774"/>
    <x v="0"/>
    <s v="Connect Enterprise (file transfer) -prdxfer003/004 -vcs cluster modification "/>
    <n v="2"/>
    <s v="Ramesh"/>
    <x v="1"/>
    <x v="0"/>
    <x v="0"/>
    <s v=""/>
  </r>
  <r>
    <s v="776"/>
    <s v="INFUOP-776"/>
    <x v="1"/>
    <s v="investigate frequent solaris patching issues and Review the Standards followed by Patching team"/>
    <n v="3"/>
    <s v="Ramesh"/>
    <x v="1"/>
    <x v="0"/>
    <x v="1"/>
    <s v=""/>
  </r>
  <r>
    <s v="778"/>
    <s v="INFUOP-778"/>
    <x v="0"/>
    <s v="Migrate Linux Servers Running &quot;RAID 0&quot; to &quot;RAID 1&quot;"/>
    <n v="5"/>
    <s v="BHuvan"/>
    <x v="1"/>
    <x v="0"/>
    <x v="0"/>
    <s v=""/>
  </r>
  <r>
    <s v="779"/>
    <s v="INFUOP-779"/>
    <x v="0"/>
    <s v="Standardize 'hponcfg' &amp; 'ssacli' across all Linux environment"/>
    <n v="3"/>
    <s v="BHuvan"/>
    <x v="1"/>
    <x v="0"/>
    <x v="0"/>
    <s v=""/>
  </r>
  <r>
    <s v="781"/>
    <s v="INFUOP-781"/>
    <x v="0"/>
    <s v="Sync - HPE ISO Repo Between DC"/>
    <n v="3"/>
    <s v="BHuvan"/>
    <x v="1"/>
    <x v="0"/>
    <x v="0"/>
    <s v=""/>
  </r>
  <r>
    <s v="782"/>
    <s v="INFUOP-782"/>
    <x v="0"/>
    <s v="Remove &quot;OFF&quot; HPVMs &amp; vPARs those were Decommed - Cleanup"/>
    <n v="2"/>
    <s v="BHuvan"/>
    <x v="1"/>
    <x v="0"/>
    <x v="0"/>
    <s v=""/>
  </r>
  <r>
    <s v="783"/>
    <s v="INFUOP-783"/>
    <x v="0"/>
    <s v="Patch Servers under Kevin Luu for Q1 2018"/>
    <n v="3"/>
    <s v="Prabal"/>
    <x v="1"/>
    <x v="0"/>
    <x v="0"/>
    <s v=""/>
  </r>
  <r>
    <s v="784"/>
    <s v="INFUOP-784"/>
    <x v="0"/>
    <s v="Publish Patch Set Bundle for Q1 2018"/>
    <n v="1"/>
    <s v="Prabal"/>
    <x v="1"/>
    <x v="0"/>
    <x v="0"/>
    <s v=""/>
  </r>
  <r>
    <s v="785"/>
    <s v="INFUOP-785"/>
    <x v="0"/>
    <s v="Multi-factor authentication on UNIX servers "/>
    <n v="5"/>
    <s v="Prabal"/>
    <x v="1"/>
    <x v="0"/>
    <x v="0"/>
    <s v=""/>
  </r>
  <r>
    <s v="786"/>
    <s v="INFUOP-786"/>
    <x v="0"/>
    <s v="Puppet Task POC"/>
    <n v="5"/>
    <s v="Mammar"/>
    <x v="1"/>
    <x v="0"/>
    <x v="0"/>
    <s v=""/>
  </r>
  <r>
    <s v="789"/>
    <s v="INFUOP-789"/>
    <x v="0"/>
    <s v="Vulnerabilities on UNIX Servers"/>
    <n v="3"/>
    <s v="Ramesh"/>
    <x v="1"/>
    <x v="1"/>
    <x v="0"/>
    <s v=""/>
  </r>
  <r>
    <s v="796"/>
    <s v="INFUOP-796"/>
    <x v="0"/>
    <s v="Qualys Agent deployment on Linux servers - Sprint 2/12"/>
    <n v="2"/>
    <s v="Ramesh"/>
    <x v="1"/>
    <x v="0"/>
    <x v="0"/>
    <s v=""/>
  </r>
  <r>
    <s v="830"/>
    <s v="INFUOP-830"/>
    <x v="0"/>
    <s v="Latency NFS Issues prdpatdmg0001/0002"/>
    <n v="3"/>
    <s v="Mammar"/>
    <x v="1"/>
    <x v="1"/>
    <x v="0"/>
    <m/>
  </r>
  <r>
    <s v="834"/>
    <s v="INFUOP-834"/>
    <x v="0"/>
    <s v="PatchmME Now Deployment Error"/>
    <n v="5"/>
    <s v="Mammar"/>
    <x v="1"/>
    <x v="1"/>
    <x v="0"/>
    <s v=""/>
  </r>
  <r>
    <s v="837"/>
    <s v="INFUOP-837"/>
    <x v="0"/>
    <s v="Mongo DB Installation and support to DBA"/>
    <n v="1"/>
    <s v="Venkatesh"/>
    <x v="1"/>
    <x v="1"/>
    <x v="0"/>
    <s v="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34">
  <r>
    <s v="9"/>
    <s v="INFAOP-9"/>
    <x v="0"/>
    <s v="PXIBM207 Frame Rebuild"/>
    <n v="8"/>
    <s v="Muqtadir"/>
    <x v="0"/>
    <x v="0"/>
    <x v="0"/>
    <s v=""/>
  </r>
  <r>
    <s v="262"/>
    <s v="INFAOP-262"/>
    <x v="0"/>
    <s v="Fix fcstat utilization report for NPE ITM"/>
    <n v="8"/>
    <s v="Azmath"/>
    <x v="0"/>
    <x v="0"/>
    <x v="0"/>
    <s v=""/>
  </r>
  <r>
    <s v="322"/>
    <s v="INFAOP-322"/>
    <x v="1"/>
    <s v="NPE Cluster nodes on same Frame - create collocation rules in PowerVC"/>
    <n v="1"/>
    <s v="Jasim"/>
    <x v="0"/>
    <x v="1"/>
    <x v="1"/>
    <s v=""/>
  </r>
  <r>
    <s v="323"/>
    <s v="INFAOP-323"/>
    <x v="1"/>
    <s v="PROD Cluster nodes on same Frame - LPM one of the node to other frame"/>
    <n v="3"/>
    <s v="Jasim"/>
    <x v="0"/>
    <x v="0"/>
    <x v="1"/>
    <s v=""/>
  </r>
  <r>
    <s v="324"/>
    <s v="INFAOP-324"/>
    <x v="1"/>
    <s v="Migrate admin servers mail relay server to AD"/>
    <n v="1"/>
    <s v="Muqtadir"/>
    <x v="0"/>
    <x v="1"/>
    <x v="1"/>
    <s v=""/>
  </r>
  <r>
    <s v="387"/>
    <s v="INFAOP-387"/>
    <x v="1"/>
    <s v="Qualys Agent deployment on AIX servers - Sprint 1/29"/>
    <n v="3"/>
    <s v="Santosh"/>
    <x v="0"/>
    <x v="0"/>
    <x v="1"/>
    <s v=""/>
  </r>
  <r>
    <s v="388"/>
    <s v="INFAOP-388"/>
    <x v="1"/>
    <s v="AIX new build server approvals - Sprint 1/29"/>
    <n v="1"/>
    <s v="Santosh"/>
    <x v="0"/>
    <x v="0"/>
    <x v="1"/>
    <s v=""/>
  </r>
  <r>
    <s v="392"/>
    <s v="INFAOP-392"/>
    <x v="1"/>
    <s v="Prepare test server for L3 network firewall testing"/>
    <n v="3"/>
    <s v="Azmath"/>
    <x v="0"/>
    <x v="0"/>
    <x v="1"/>
    <s v=""/>
  </r>
  <r>
    <s v="395"/>
    <s v="INFAOP-395"/>
    <x v="1"/>
    <s v="Frame Rebuild - TTIBM605 Phase 1"/>
    <n v="3"/>
    <s v="Muqtadir"/>
    <x v="0"/>
    <x v="1"/>
    <x v="1"/>
    <s v=""/>
  </r>
  <r>
    <s v="401"/>
    <s v="INFAOP-401"/>
    <x v="1"/>
    <s v="Adding check_aix with options to call functions as&quot;Arg&quot;"/>
    <n v="3"/>
    <s v="Bhuvan"/>
    <x v="0"/>
    <x v="1"/>
    <x v="1"/>
    <s v=""/>
  </r>
  <r>
    <s v="402"/>
    <s v="INFAOP-402"/>
    <x v="0"/>
    <s v="Auditing /usr/sap on AIX npe sap servers"/>
    <n v="5"/>
    <s v="Venkatesh"/>
    <x v="0"/>
    <x v="0"/>
    <x v="1"/>
    <s v=""/>
  </r>
  <r>
    <s v="404"/>
    <s v="INFAOP-404"/>
    <x v="1"/>
    <s v="Qualys Vulnerability report review and remediation plans for SAP applications"/>
    <n v="3"/>
    <s v="Santosh"/>
    <x v="0"/>
    <x v="0"/>
    <x v="1"/>
    <s v=""/>
  </r>
  <r>
    <s v="413"/>
    <s v="INFAOP-413"/>
    <x v="1"/>
    <s v="JDK upgrade and openJDK Standardization on Hadoop servers - Phase 1"/>
    <n v="5"/>
    <s v="Venkatesh"/>
    <x v="0"/>
    <x v="0"/>
    <x v="1"/>
    <s v=""/>
  </r>
  <r>
    <s v="414"/>
    <s v="INFAOP-414"/>
    <x v="1"/>
    <s v="On call - Sprint 2018-01-29"/>
    <n v="3"/>
    <m/>
    <x v="0"/>
    <x v="0"/>
    <x v="1"/>
    <s v=""/>
  </r>
  <r>
    <s v="421"/>
    <s v="INFAOP-421"/>
    <x v="1"/>
    <s v="L2-L3 migration for Passive QVXP database servers"/>
    <n v="3"/>
    <s v="Azmath"/>
    <x v="0"/>
    <x v="1"/>
    <x v="1"/>
    <s v=""/>
  </r>
  <r>
    <s v="425"/>
    <s v="INFAOP-425"/>
    <x v="1"/>
    <s v="SAN Migration on pelspdm110"/>
    <n v="1"/>
    <s v="Venkatesh"/>
    <x v="0"/>
    <x v="1"/>
    <x v="1"/>
    <s v=""/>
  </r>
  <r>
    <s v="430"/>
    <s v="INFAOP-430"/>
    <x v="1"/>
    <s v="Testing AIX Live update"/>
    <n v="1"/>
    <s v="Venkatesh"/>
    <x v="0"/>
    <x v="1"/>
    <x v="1"/>
    <s v=""/>
  </r>
  <r>
    <s v="579"/>
    <s v="INFUOP-579"/>
    <x v="2"/>
    <s v="upgrading Enterprise Manager Ops Center- Solaris "/>
    <n v="3"/>
    <s v="Ramesh"/>
    <x v="1"/>
    <x v="0"/>
    <x v="0"/>
    <s v=""/>
  </r>
  <r>
    <s v="638"/>
    <s v="INFUOP-638"/>
    <x v="1"/>
    <s v="Meltdown/Specter exploits - Planning"/>
    <n v="3"/>
    <s v="Jon"/>
    <x v="1"/>
    <x v="0"/>
    <x v="1"/>
    <s v=""/>
  </r>
  <r>
    <s v="693"/>
    <s v="INFUOP-693"/>
    <x v="1"/>
    <s v="LINUX new build server approvals - Sprint 1/29"/>
    <n v="1"/>
    <s v="Jon"/>
    <x v="1"/>
    <x v="0"/>
    <x v="1"/>
    <s v=""/>
  </r>
  <r>
    <s v="725"/>
    <s v="INFUOP-725"/>
    <x v="1"/>
    <s v="Frontline Jenkins OU servers, move docker to separate filesystem"/>
    <n v="3"/>
    <s v="Rakesh"/>
    <x v="1"/>
    <x v="0"/>
    <x v="1"/>
    <s v=""/>
  </r>
  <r>
    <s v="727"/>
    <s v="INFUOP-727"/>
    <x v="1"/>
    <s v="NAS Migration 1/29 Depot_Master Titan"/>
    <n v="3"/>
    <s v="Mammar"/>
    <x v="1"/>
    <x v="0"/>
    <x v="1"/>
    <s v=""/>
  </r>
  <r>
    <s v="728"/>
    <s v="INFUOP-728"/>
    <x v="1"/>
    <s v="NAS Migration 1/29 Depot_Master Polaris"/>
    <n v="3"/>
    <s v="Mammar"/>
    <x v="1"/>
    <x v="0"/>
    <x v="1"/>
    <s v=""/>
  </r>
  <r>
    <s v="729"/>
    <s v="INFUOP-729"/>
    <x v="1"/>
    <s v="NAS Migration 1/29 App Teams"/>
    <n v="2"/>
    <s v="Mammar"/>
    <x v="1"/>
    <x v="0"/>
    <x v="1"/>
    <s v=""/>
  </r>
  <r>
    <s v="730"/>
    <s v="INFUOP-730"/>
    <x v="2"/>
    <s v="Fix_VOM_Security "/>
    <n v="3"/>
    <s v="Mammar"/>
    <x v="1"/>
    <x v="0"/>
    <x v="0"/>
    <s v=""/>
  </r>
  <r>
    <s v="732"/>
    <s v="INFUOP-732"/>
    <x v="1"/>
    <s v="Test and Add  CPUs Online on OSR003 VPAR"/>
    <n v="3"/>
    <s v="Bhuvan"/>
    <x v="1"/>
    <x v="0"/>
    <x v="1"/>
    <s v=""/>
  </r>
  <r>
    <s v="733"/>
    <s v="INFUOP-733"/>
    <x v="1"/>
    <s v="Add Engineering iLO IP addresses under infoblox DNS Host entries"/>
    <n v="5"/>
    <s v="Bhuvan"/>
    <x v="1"/>
    <x v="0"/>
    <x v="1"/>
    <s v=""/>
  </r>
  <r>
    <s v="734"/>
    <s v="INFUOP-734"/>
    <x v="1"/>
    <s v="Modify existing Engineering Patching and Patch Validation script to map with Current Q1 standard"/>
    <n v="3"/>
    <s v="Bhuvan"/>
    <x v="1"/>
    <x v="0"/>
    <x v="1"/>
    <s v=""/>
  </r>
  <r>
    <s v="735"/>
    <s v="INFUOP-735"/>
    <x v="1"/>
    <s v="Service Now Self-Service Patching - 01/29/2018"/>
    <n v="1"/>
    <s v="Prabal"/>
    <x v="1"/>
    <x v="0"/>
    <x v="1"/>
    <s v=""/>
  </r>
  <r>
    <s v="736"/>
    <s v="INFUOP-736"/>
    <x v="1"/>
    <s v="Test HPE Storage Array - Split / Join"/>
    <n v="5"/>
    <s v="Bhuvan"/>
    <x v="1"/>
    <x v="0"/>
    <x v="1"/>
    <s v=""/>
  </r>
  <r>
    <s v="739"/>
    <s v="INFUOP-739"/>
    <x v="1"/>
    <s v="On call - Sprint 2018-01-29"/>
    <n v="3"/>
    <m/>
    <x v="1"/>
    <x v="0"/>
    <x v="1"/>
    <s v=""/>
  </r>
  <r>
    <s v="747"/>
    <s v="INFUOP-747"/>
    <x v="1"/>
    <s v="svchealth  App servers disks reclaiming Non-Prod "/>
    <n v="3"/>
    <s v="Rakesh"/>
    <x v="1"/>
    <x v="1"/>
    <x v="1"/>
    <s v=""/>
  </r>
  <r>
    <s v="748"/>
    <s v="INFUOP-748"/>
    <x v="1"/>
    <s v="svchealth  App servers disks reclaiming Prod Env."/>
    <n v="3"/>
    <s v="Rakesh"/>
    <x v="1"/>
    <x v="1"/>
    <x v="1"/>
    <s v=""/>
  </r>
  <r>
    <s v="770"/>
    <s v="INFUOP-770"/>
    <x v="1"/>
    <s v="Connect:Enterprise (file transfer XFER) servers network down remediation"/>
    <n v="3"/>
    <s v="JChrist30"/>
    <x v="1"/>
    <x v="1"/>
    <x v="1"/>
    <s v="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33">
  <r>
    <s v="INFAOP-10"/>
    <x v="0"/>
    <s v="VIOS Q1 Patching - Polaris NPE"/>
    <n v="5"/>
    <s v="MJasim"/>
    <x v="0"/>
    <x v="0"/>
    <x v="0"/>
    <s v=""/>
  </r>
  <r>
    <s v="INFAOP-137"/>
    <x v="0"/>
    <s v="Clearclone parameter in AIX Clusters"/>
    <n v="5"/>
    <s v="VS"/>
    <x v="0"/>
    <x v="0"/>
    <x v="0"/>
    <s v=""/>
  </r>
  <r>
    <s v="INFAOP-139"/>
    <x v="0"/>
    <s v="IBM Frame ttibm605 evacuation."/>
    <n v="3"/>
    <s v="MAbdul1"/>
    <x v="0"/>
    <x v="0"/>
    <x v="0"/>
    <s v=""/>
  </r>
  <r>
    <s v="INFAOP-142"/>
    <x v="0"/>
    <s v="ttibm605 Fixing LPM issues"/>
    <n v="5"/>
    <s v="MAbdul1"/>
    <x v="0"/>
    <x v="0"/>
    <x v="0"/>
    <s v=""/>
  </r>
  <r>
    <s v="INFAOP-264"/>
    <x v="0"/>
    <s v="Resolve ITM collection issue for trnpxdb003"/>
    <n v="5"/>
    <s v="AKhan130"/>
    <x v="0"/>
    <x v="0"/>
    <x v="0"/>
    <s v=""/>
  </r>
  <r>
    <s v="INFAOP-375"/>
    <x v="0"/>
    <s v="AIX On Call - Sprint 1/15"/>
    <n v="5"/>
    <s v="AKhan130"/>
    <x v="0"/>
    <x v="0"/>
    <x v="0"/>
    <s v=""/>
  </r>
  <r>
    <s v="INFAOP-376"/>
    <x v="0"/>
    <s v="L3 IP request for subset of Phase II servers"/>
    <n v="5"/>
    <s v="AKhan130"/>
    <x v="0"/>
    <x v="0"/>
    <x v="0"/>
    <s v=""/>
  </r>
  <r>
    <s v="INFAOP-377"/>
    <x v="0"/>
    <s v="AIX new build server approvals - Sprint 1/15"/>
    <n v="1"/>
    <s v="SPadiya1"/>
    <x v="0"/>
    <x v="0"/>
    <x v="0"/>
    <s v=""/>
  </r>
  <r>
    <s v="INFAOP-378"/>
    <x v="0"/>
    <s v="Meltdown vulnerability  -  Test and deploy IBM frame firmware"/>
    <n v="5"/>
    <s v="SPadiya1"/>
    <x v="0"/>
    <x v="0"/>
    <x v="0"/>
    <s v=""/>
  </r>
  <r>
    <s v="INFAOP-379"/>
    <x v="0"/>
    <s v="Qualys Agent deployment on AIX servers - Sprint 1/15"/>
    <n v="3"/>
    <s v="SPadiya1"/>
    <x v="0"/>
    <x v="0"/>
    <x v="0"/>
    <s v=""/>
  </r>
  <r>
    <s v="INFAOP-393"/>
    <x v="0"/>
    <s v="Boot_Lun migration on prdspot010 &amp; prdspot011"/>
    <n v="1"/>
    <s v="VS"/>
    <x v="0"/>
    <x v="1"/>
    <x v="0"/>
    <s v=""/>
  </r>
  <r>
    <s v="INFAOP-7"/>
    <x v="0"/>
    <s v="VIOS Q1 Patching - Titan NPE"/>
    <n v="5"/>
    <s v="MJasim"/>
    <x v="0"/>
    <x v="0"/>
    <x v="0"/>
    <s v=""/>
  </r>
  <r>
    <s v="INFAOP-9"/>
    <x v="1"/>
    <s v="PXIBM207 Frame Rebuild"/>
    <n v="8"/>
    <s v="MAbdul1"/>
    <x v="0"/>
    <x v="0"/>
    <x v="1"/>
    <s v=""/>
  </r>
  <r>
    <s v="INFUOP-589"/>
    <x v="0"/>
    <s v="Qualys Agent Deployment on Linux servers_sprint-1_15"/>
    <n v="3"/>
    <s v="RMalemp"/>
    <x v="1"/>
    <x v="0"/>
    <x v="0"/>
    <s v=""/>
  </r>
  <r>
    <s v="INFUOP-638"/>
    <x v="1"/>
    <s v="Meltdown/Specter exploits - Planning"/>
    <n v="3"/>
    <s v="JChrist30"/>
    <x v="1"/>
    <x v="0"/>
    <x v="1"/>
    <s v=""/>
  </r>
  <r>
    <s v="INFUOP-650"/>
    <x v="0"/>
    <s v="Access to Engineering Servers"/>
    <n v="3"/>
    <s v="VAnnapu"/>
    <x v="1"/>
    <x v="0"/>
    <x v="0"/>
    <s v=""/>
  </r>
  <r>
    <s v="INFUOP-664"/>
    <x v="0"/>
    <s v="Q1_18 Patching on Solaris admin servers _sprint_1-15"/>
    <n v="2"/>
    <s v="RMalemp"/>
    <x v="1"/>
    <x v="0"/>
    <x v="0"/>
    <s v=""/>
  </r>
  <r>
    <s v="INFUOP-666"/>
    <x v="0"/>
    <s v="Prepwork for upgrading Enterprise Manager Ops Center - Solaris"/>
    <n v="2"/>
    <s v="RMalemp"/>
    <x v="1"/>
    <x v="0"/>
    <x v="0"/>
    <s v=""/>
  </r>
  <r>
    <s v="INFUOP-669"/>
    <x v="0"/>
    <s v="UNIX On-Call 1/16-1/29"/>
    <n v="5"/>
    <m/>
    <x v="1"/>
    <x v="0"/>
    <x v="0"/>
    <s v=""/>
  </r>
  <r>
    <s v="INFUOP-670"/>
    <x v="0"/>
    <s v="NAS Migration 1/15"/>
    <n v="5"/>
    <s v="MRashid"/>
    <x v="1"/>
    <x v="0"/>
    <x v="0"/>
    <s v=""/>
  </r>
  <r>
    <s v="INFUOP-671"/>
    <x v="0"/>
    <s v="Engineering iLO Standardization - HPONCFG configuration"/>
    <n v="5"/>
    <s v="BMadasa1"/>
    <x v="1"/>
    <x v="0"/>
    <x v="0"/>
    <s v=""/>
  </r>
  <r>
    <s v="INFUOP-672"/>
    <x v="0"/>
    <s v="Engineering  HPE Hardware monitoring - HP SSACLI Setup / configuration"/>
    <n v="5"/>
    <s v="BMadasa1"/>
    <x v="1"/>
    <x v="0"/>
    <x v="0"/>
    <s v=""/>
  </r>
  <r>
    <s v="INFUOP-674"/>
    <x v="0"/>
    <s v="Engineering iLO Standardization - iLO Amplifier Setup"/>
    <n v="3"/>
    <s v="BMadasa1"/>
    <x v="1"/>
    <x v="0"/>
    <x v="0"/>
    <s v=""/>
  </r>
  <r>
    <s v="INFUOP-675"/>
    <x v="0"/>
    <s v="Q1 - Patching Validation - AIX , Linux &amp; Solaris"/>
    <n v="3"/>
    <s v="BMadasa1"/>
    <x v="1"/>
    <x v="0"/>
    <x v="0"/>
    <s v=""/>
  </r>
  <r>
    <s v="INFUOP-683"/>
    <x v="0"/>
    <s v="Install Selenium on Linux Server"/>
    <n v="3"/>
    <s v="PMalla2"/>
    <x v="1"/>
    <x v="0"/>
    <x v="0"/>
    <s v=""/>
  </r>
  <r>
    <s v="INFUOP-684"/>
    <x v="0"/>
    <s v="Install and configure Kubernetes "/>
    <n v="5"/>
    <s v="PMalla2"/>
    <x v="1"/>
    <x v="0"/>
    <x v="0"/>
    <s v=""/>
  </r>
  <r>
    <s v="INFUOP-685"/>
    <x v="0"/>
    <s v="File share discovery for Compliance  1/15/2018"/>
    <n v="5"/>
    <s v="PMalla2"/>
    <x v="1"/>
    <x v="0"/>
    <x v="0"/>
    <s v=""/>
  </r>
  <r>
    <s v="INFUOP-686"/>
    <x v="0"/>
    <s v="Testing Patches for Spectre/Meltdown vulnerabilities "/>
    <n v="8"/>
    <s v="PMalla2"/>
    <x v="1"/>
    <x v="0"/>
    <x v="0"/>
    <s v=""/>
  </r>
  <r>
    <s v="INFUOP-687"/>
    <x v="0"/>
    <s v="BL Firmware upgrade on tsttbco102 &amp; tsttbco103"/>
    <n v="5"/>
    <s v="VS"/>
    <x v="1"/>
    <x v="1"/>
    <x v="0"/>
    <s v=""/>
  </r>
  <r>
    <s v="INFUOP-692"/>
    <x v="0"/>
    <s v="LINUX new build server approvals - Sprint 1/15"/>
    <n v="1"/>
    <s v="JChrist30"/>
    <x v="1"/>
    <x v="1"/>
    <x v="0"/>
    <s v=""/>
  </r>
  <r>
    <s v="INFUOP-705"/>
    <x v="0"/>
    <s v="Upgrade Eng iLOs to latest Firmware version"/>
    <n v="3"/>
    <s v="BMadasa1"/>
    <x v="1"/>
    <x v="1"/>
    <x v="0"/>
    <s v=""/>
  </r>
  <r>
    <s v="INFUOP-710"/>
    <x v="0"/>
    <s v="DL Firmware upgrade on tstehub002"/>
    <n v="5"/>
    <s v="VS"/>
    <x v="1"/>
    <x v="1"/>
    <x v="0"/>
    <s v=""/>
  </r>
  <r>
    <s v="INFUOP-715"/>
    <x v="0"/>
    <s v="Service Now Self-Service Patching - 01/22/2018"/>
    <n v="1"/>
    <s v="PMalla2"/>
    <x v="1"/>
    <x v="1"/>
    <x v="0"/>
    <s v="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45">
  <r>
    <s v="254"/>
    <s v="INFUOP-254"/>
    <x v="0"/>
    <s v="RHEL 7 and RHEL 6 build image hardening"/>
    <n v="5"/>
    <s v="Jon"/>
    <x v="0"/>
    <x v="0"/>
    <x v="0"/>
  </r>
  <r>
    <s v="776"/>
    <s v="INFUOP-776"/>
    <x v="1"/>
    <s v="Solaris Q2 patches"/>
    <n v="2"/>
    <s v="Rakesh"/>
    <x v="0"/>
    <x v="1"/>
    <x v="1"/>
  </r>
  <r>
    <s v="787"/>
    <s v="INFUOP-787"/>
    <x v="0"/>
    <s v="OpenJDK Standardization on Hadoop servers - Phase 2"/>
    <n v="2"/>
    <s v="Venkatesh"/>
    <x v="0"/>
    <x v="1"/>
    <x v="0"/>
  </r>
  <r>
    <s v="844"/>
    <s v="INFUOP-844"/>
    <x v="0"/>
    <s v="DNS IP migration "/>
    <n v="2"/>
    <s v="Ramesh"/>
    <x v="0"/>
    <x v="1"/>
    <x v="0"/>
  </r>
  <r>
    <s v="865"/>
    <s v="INFUOP-865"/>
    <x v="0"/>
    <s v="Tidal upgrade "/>
    <n v="3"/>
    <s v="Ramesh"/>
    <x v="0"/>
    <x v="1"/>
    <x v="0"/>
  </r>
  <r>
    <s v="867"/>
    <s v="INFUOP-867"/>
    <x v="2"/>
    <s v="Appsync POC Troubleshooting session"/>
    <n v="3"/>
    <s v="Rakesh"/>
    <x v="0"/>
    <x v="1"/>
    <x v="1"/>
  </r>
  <r>
    <s v="873"/>
    <s v="INFUOP-873"/>
    <x v="0"/>
    <s v="Qualys Agent deployment on Linux servers - Sprint3_12"/>
    <n v="2"/>
    <s v="Ramesh"/>
    <x v="0"/>
    <x v="1"/>
    <x v="0"/>
  </r>
  <r>
    <s v="874"/>
    <s v="INFUOP-874"/>
    <x v="0"/>
    <s v="Dell IDRAC Standards DOC"/>
    <n v="3"/>
    <s v="Rakesh"/>
    <x v="0"/>
    <x v="1"/>
    <x v="0"/>
  </r>
  <r>
    <s v="879"/>
    <s v="INFUOP-879"/>
    <x v="0"/>
    <s v="EIT iLO Amplifier - Update to 1.15 Version"/>
    <n v="2"/>
    <s v="Bhuvan"/>
    <x v="0"/>
    <x v="1"/>
    <x v="0"/>
  </r>
  <r>
    <s v="880"/>
    <s v="INFUOP-880"/>
    <x v="0"/>
    <s v="Spectre Meltdown - Testing Firmware patches on HPE Gen8, 9 &amp; 10"/>
    <n v="3"/>
    <s v="Bhuvan"/>
    <x v="0"/>
    <x v="1"/>
    <x v="0"/>
  </r>
  <r>
    <s v="882"/>
    <s v="INFUOP-882"/>
    <x v="0"/>
    <s v="iLO Local users Password rotation"/>
    <n v="2"/>
    <s v="Bhuvan"/>
    <x v="0"/>
    <x v="1"/>
    <x v="0"/>
  </r>
  <r>
    <s v="883"/>
    <s v="INFUOP-883"/>
    <x v="0"/>
    <s v="NAS Migration Cleanup "/>
    <n v="3"/>
    <s v="Mammar"/>
    <x v="0"/>
    <x v="1"/>
    <x v="0"/>
  </r>
  <r>
    <s v="884"/>
    <s v="INFUOP-884"/>
    <x v="0"/>
    <s v="patching Kevin Luu Servers 3/12 Sprint"/>
    <n v="2"/>
    <s v="Prabal"/>
    <x v="0"/>
    <x v="1"/>
    <x v="0"/>
  </r>
  <r>
    <s v="885"/>
    <s v="INFUOP-885"/>
    <x v="0"/>
    <s v="LINUX On-Call Sprint 2018-03-12"/>
    <n v="3"/>
    <m/>
    <x v="0"/>
    <x v="1"/>
    <x v="0"/>
  </r>
  <r>
    <s v="887"/>
    <s v="INFUOP-887"/>
    <x v="0"/>
    <s v="Vulnerabilities and patching standards -Solaris "/>
    <n v="2"/>
    <s v="Ramesh"/>
    <x v="0"/>
    <x v="1"/>
    <x v="0"/>
  </r>
  <r>
    <s v="890"/>
    <s v="INFUOP-890"/>
    <x v="0"/>
    <s v="Rubrik POC testing for XFS and VXFS file recovery - Phase1"/>
    <n v="3"/>
    <s v="Venkatesh"/>
    <x v="0"/>
    <x v="1"/>
    <x v="0"/>
  </r>
  <r>
    <s v="891"/>
    <s v="INFUOP-891"/>
    <x v="2"/>
    <s v="Multi-factor authentication on AIX servers"/>
    <n v="3"/>
    <s v="Prabal"/>
    <x v="0"/>
    <x v="1"/>
    <x v="0"/>
  </r>
  <r>
    <s v="893"/>
    <s v="INFUOP-893"/>
    <x v="0"/>
    <s v="Conversion Demonstration"/>
    <n v="5"/>
    <s v="Jon"/>
    <x v="0"/>
    <x v="1"/>
    <x v="0"/>
  </r>
  <r>
    <s v="894"/>
    <s v="INFUOP-894"/>
    <x v="0"/>
    <s v="OSR Migration Project Sprint 3/12"/>
    <n v="3"/>
    <s v="Jon"/>
    <x v="0"/>
    <x v="1"/>
    <x v="0"/>
  </r>
  <r>
    <s v="895"/>
    <s v="INFUOP-895"/>
    <x v="0"/>
    <s v="Licence Update for TimeTravel "/>
    <n v="2"/>
    <s v="Rakesh"/>
    <x v="0"/>
    <x v="1"/>
    <x v="0"/>
  </r>
  <r>
    <s v="898"/>
    <s v="INFUOP-898"/>
    <x v="0"/>
    <s v="SOX/PCI Attestation Tasks for Unix Servers(KB Q2) Refresh "/>
    <n v="1"/>
    <s v="Mammar"/>
    <x v="0"/>
    <x v="0"/>
    <x v="0"/>
  </r>
  <r>
    <s v="899"/>
    <s v="INFUOP-899"/>
    <x v="0"/>
    <s v="How to Handle HP OpenView Agent Tickets - UNIX Servers (KB Q2) Refresh"/>
    <n v="1"/>
    <s v="Mammar"/>
    <x v="0"/>
    <x v="0"/>
    <x v="0"/>
  </r>
  <r>
    <s v="900"/>
    <s v="INFUOP-900"/>
    <x v="0"/>
    <s v="New server build approvals"/>
    <n v="2"/>
    <s v="Jon"/>
    <x v="0"/>
    <x v="0"/>
    <x v="0"/>
  </r>
  <r>
    <s v="903"/>
    <s v="INFUOP-903"/>
    <x v="0"/>
    <s v="Q2 2018 Platform Standards document"/>
    <n v="3"/>
    <s v="Jon"/>
    <x v="0"/>
    <x v="0"/>
    <x v="0"/>
  </r>
  <r>
    <s v="909"/>
    <s v="INFUOP-909"/>
    <x v="0"/>
    <s v="iLO Amplifier Upgrade - EIT"/>
    <n v="3"/>
    <s v="Bhuvan"/>
    <x v="0"/>
    <x v="0"/>
    <x v="0"/>
  </r>
  <r>
    <s v="380"/>
    <s v="INFAOP-380"/>
    <x v="1"/>
    <s v="Test - LDAP Integration with HMC"/>
    <n v="3"/>
    <s v="Bhuvan"/>
    <x v="1"/>
    <x v="1"/>
    <x v="1"/>
  </r>
  <r>
    <s v="397"/>
    <s v="INFAOP-397"/>
    <x v="0"/>
    <s v="Create a script to automate /goldengate file system creation on AIX npe servers "/>
    <n v="3"/>
    <s v="Venkatesh"/>
    <x v="1"/>
    <x v="1"/>
    <x v="0"/>
  </r>
  <r>
    <s v="398"/>
    <s v="INFAOP-398"/>
    <x v="0"/>
    <s v="PXIBM208 Frame Rebuild - Phase 1"/>
    <n v="3"/>
    <s v="Azmath"/>
    <x v="1"/>
    <x v="1"/>
    <x v="0"/>
  </r>
  <r>
    <s v="508"/>
    <s v="INFAOP-508"/>
    <x v="3"/>
    <s v="Patch Linux on Power hosts - admplpyum0009, tstplpvcx0001, tstplpvcx0002"/>
    <n v="3"/>
    <s v="Santosh"/>
    <x v="1"/>
    <x v="1"/>
    <x v="1"/>
  </r>
  <r>
    <s v="509"/>
    <s v="INFAOP-509"/>
    <x v="0"/>
    <s v="Update NPE PowerVC to 1.4.0.1"/>
    <n v="3"/>
    <s v="Santosh"/>
    <x v="1"/>
    <x v="1"/>
    <x v="0"/>
  </r>
  <r>
    <s v="519"/>
    <s v="INFAOP-519"/>
    <x v="1"/>
    <s v="AIX Live update testing-Muqtadir"/>
    <n v="3"/>
    <s v="Muqtadir"/>
    <x v="1"/>
    <x v="1"/>
    <x v="1"/>
  </r>
  <r>
    <s v="520"/>
    <s v="INFAOP-520"/>
    <x v="3"/>
    <s v="Fix DMP paths on servers-All storage-All paths"/>
    <n v="3"/>
    <s v="Muqtadir"/>
    <x v="1"/>
    <x v="1"/>
    <x v="1"/>
  </r>
  <r>
    <s v="526"/>
    <s v="INFAOP-526"/>
    <x v="0"/>
    <s v="VIO's Q1 2018 Patching - PXIBM100/103/104/105"/>
    <n v="5"/>
    <s v="Jasim"/>
    <x v="1"/>
    <x v="1"/>
    <x v="0"/>
  </r>
  <r>
    <s v="530"/>
    <s v="INFAOP-530"/>
    <x v="0"/>
    <s v="VIO's Q1 2018 Patching - PXIBM106/107/108/110"/>
    <n v="5"/>
    <s v="Jasim"/>
    <x v="1"/>
    <x v="1"/>
    <x v="0"/>
  </r>
  <r>
    <s v="536"/>
    <s v="INFAOP-536"/>
    <x v="0"/>
    <s v="VIO's Q1 2018 Patching - PXIBM112/201 and TTIBM601"/>
    <n v="5"/>
    <s v="Muqtadir"/>
    <x v="1"/>
    <x v="1"/>
    <x v="0"/>
  </r>
  <r>
    <s v="537"/>
    <s v="INFAOP-537"/>
    <x v="0"/>
    <s v="VIO's Q1 2018 Patching - PXIBM113/202 and TTIBM602/605/607"/>
    <n v="5"/>
    <s v="Muqtadir"/>
    <x v="1"/>
    <x v="1"/>
    <x v="0"/>
  </r>
  <r>
    <s v="538"/>
    <s v="INFAOP-538"/>
    <x v="0"/>
    <s v="VIO's Q1 2018 Patching - PXIBM114/203 and TTIBM603"/>
    <n v="3"/>
    <s v="Muqtadir"/>
    <x v="1"/>
    <x v="0"/>
    <x v="0"/>
  </r>
  <r>
    <s v="548"/>
    <s v="INFAOP-548"/>
    <x v="0"/>
    <s v="VIO's Q1 2018 Patching - PXIBM208/209/210/111"/>
    <n v="3"/>
    <s v="Jasim"/>
    <x v="1"/>
    <x v="0"/>
    <x v="0"/>
  </r>
  <r>
    <s v="577"/>
    <s v="INFAOP-577"/>
    <x v="0"/>
    <s v="AIX upgrade from 6.1 to 7.2 - 22 NPE servers"/>
    <n v="5"/>
    <s v="Venkatesh"/>
    <x v="1"/>
    <x v="1"/>
    <x v="0"/>
  </r>
  <r>
    <s v="582"/>
    <s v="INFAOP-582"/>
    <x v="0"/>
    <s v="L2-L3 migration for Passive RPX database servers"/>
    <n v="3"/>
    <s v="Azmath"/>
    <x v="1"/>
    <x v="1"/>
    <x v="0"/>
  </r>
  <r>
    <s v="586"/>
    <s v="INFAOP-586"/>
    <x v="2"/>
    <s v="L2-L3 migration for Active CPRF database servers"/>
    <n v="3"/>
    <s v="Azmath"/>
    <x v="1"/>
    <x v="1"/>
    <x v="1"/>
  </r>
  <r>
    <s v="590"/>
    <s v="INFAOP-590"/>
    <x v="0"/>
    <s v="AIX new build server approvals - Sprint 3/12"/>
    <n v="1"/>
    <s v="Santosh"/>
    <x v="1"/>
    <x v="1"/>
    <x v="0"/>
  </r>
  <r>
    <s v="591"/>
    <s v="INFAOP-591"/>
    <x v="0"/>
    <s v="Qualys Agent deployment on AIX servers - Sprint 3/12"/>
    <n v="2"/>
    <s v="Santosh"/>
    <x v="1"/>
    <x v="1"/>
    <x v="0"/>
  </r>
  <r>
    <s v="592"/>
    <s v="INFAOP-592"/>
    <x v="0"/>
    <s v="AIX On Call - Sprint 3/12"/>
    <n v="3"/>
    <m/>
    <x v="1"/>
    <x v="1"/>
    <x v="0"/>
  </r>
  <r>
    <s v="594"/>
    <s v="INFAOP-594"/>
    <x v="0"/>
    <s v="Veritas upgrade to 7.3 on stand alone system  tstsposx101."/>
    <n v="3"/>
    <s v="Muqtadir"/>
    <x v="1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K7:L14" firstHeaderRow="1" firstDataRow="1" firstDataCol="1"/>
  <pivotFields count="9">
    <pivotField showAll="0"/>
    <pivotField showAll="0"/>
    <pivotField axis="axisRow" showAll="0">
      <items count="4">
        <item x="2"/>
        <item x="0"/>
        <item x="1"/>
        <item t="default"/>
      </items>
    </pivotField>
    <pivotField showAll="0"/>
    <pivotField name="Story Points2" dataField="1" showAll="0" defaultSubtotal="0"/>
    <pivotField showAll="0"/>
    <pivotField axis="axisRow" showAll="0">
      <items count="5">
        <item x="1"/>
        <item x="0"/>
        <item h="1" x="2"/>
        <item h="1" x="3"/>
        <item t="default"/>
      </items>
    </pivotField>
    <pivotField showAll="0" defaultSubtotal="0"/>
    <pivotField showAll="0"/>
  </pivotFields>
  <rowFields count="2">
    <field x="6"/>
    <field x="2"/>
  </rowFields>
  <rowItems count="7">
    <i>
      <x/>
    </i>
    <i r="1">
      <x v="1"/>
    </i>
    <i r="1">
      <x v="2"/>
    </i>
    <i>
      <x v="1"/>
    </i>
    <i r="1">
      <x v="1"/>
    </i>
    <i r="1">
      <x v="2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N32:O39" firstHeaderRow="1" firstDataRow="1" firstDataCol="1" rowPageCount="1" colPageCount="1"/>
  <pivotFields count="9">
    <pivotField showAll="0"/>
    <pivotField subtotalTop="0" showAll="0"/>
    <pivotField subtotalTop="0" showAll="0"/>
    <pivotField subtotalTop="0" showAll="0"/>
    <pivotField dataField="1" subtotalTop="0" showAll="0"/>
    <pivotField subtotalTop="0" showAll="0"/>
    <pivotField axis="axisRow" subtotalTop="0" showAll="0">
      <items count="5">
        <item h="1" x="2"/>
        <item x="1"/>
        <item x="0"/>
        <item h="1" x="3"/>
        <item t="default"/>
      </items>
    </pivotField>
    <pivotField axis="axisRow" subtotalTop="0" showAll="0">
      <items count="2">
        <item x="0"/>
        <item t="default"/>
      </items>
    </pivotField>
    <pivotField axis="axisPage" subtotalTop="0" showAll="0">
      <items count="2">
        <item x="0"/>
        <item t="default"/>
      </items>
    </pivotField>
  </pivotFields>
  <rowFields count="2">
    <field x="6"/>
    <field x="7"/>
  </rowFields>
  <rowItems count="7">
    <i>
      <x v="1"/>
    </i>
    <i r="1">
      <x/>
    </i>
    <i t="default">
      <x v="1"/>
    </i>
    <i>
      <x v="2"/>
    </i>
    <i r="1">
      <x/>
    </i>
    <i t="default">
      <x v="2"/>
    </i>
    <i t="grand">
      <x/>
    </i>
  </rowItems>
  <colItems count="1">
    <i/>
  </colItems>
  <pageFields count="1">
    <pageField fld="8" hier="-1"/>
  </pageFields>
  <dataFields count="1">
    <dataField name="Sum of Story Points" fld="4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dded After SS">
  <location ref="K20:L28" firstHeaderRow="1" firstDataRow="1" firstDataCol="1"/>
  <pivotFields count="9">
    <pivotField showAll="0"/>
    <pivotField showAll="0"/>
    <pivotField axis="axisRow" showAll="0">
      <items count="4">
        <item x="2"/>
        <item x="0"/>
        <item x="1"/>
        <item t="default"/>
      </items>
    </pivotField>
    <pivotField showAll="0"/>
    <pivotField name="Story Points2" dataField="1" showAll="0" defaultSubtotal="0"/>
    <pivotField showAll="0"/>
    <pivotField axis="axisRow" showAll="0">
      <items count="5">
        <item x="1"/>
        <item x="0"/>
        <item h="1" x="2"/>
        <item h="1" x="3"/>
        <item t="default"/>
      </items>
    </pivotField>
    <pivotField axis="axisRow" showAll="0">
      <items count="2">
        <item x="0"/>
        <item t="default"/>
      </items>
    </pivotField>
    <pivotField showAll="0"/>
  </pivotFields>
  <rowFields count="3">
    <field x="7"/>
    <field x="6"/>
    <field x="2"/>
  </rowFields>
  <rowItems count="8">
    <i>
      <x/>
    </i>
    <i r="1">
      <x/>
    </i>
    <i r="2">
      <x v="1"/>
    </i>
    <i r="2">
      <x v="2"/>
    </i>
    <i r="1">
      <x v="1"/>
    </i>
    <i r="2">
      <x v="1"/>
    </i>
    <i r="2">
      <x v="2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le5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N32:O41" firstHeaderRow="1" firstDataRow="1" firstDataCol="1" rowPageCount="1" colPageCount="1"/>
  <pivotFields count="9">
    <pivotField showAll="0"/>
    <pivotField subtotalTop="0" showAll="0"/>
    <pivotField subtotalTop="0" showAll="0"/>
    <pivotField subtotalTop="0" showAll="0"/>
    <pivotField dataField="1" subtotalTop="0" showAll="0"/>
    <pivotField subtotalTop="0" showAll="0"/>
    <pivotField axis="axisRow" subtotalTop="0" showAll="0">
      <items count="4">
        <item h="1" m="1" x="2"/>
        <item x="1"/>
        <item x="0"/>
        <item t="default"/>
      </items>
    </pivotField>
    <pivotField axis="axisRow" subtotalTop="0" showAll="0">
      <items count="3">
        <item x="1"/>
        <item x="0"/>
        <item t="default"/>
      </items>
    </pivotField>
    <pivotField axis="axisPage" subtotalTop="0" showAll="0">
      <items count="3">
        <item x="1"/>
        <item x="0"/>
        <item t="default"/>
      </items>
    </pivotField>
  </pivotFields>
  <rowFields count="2">
    <field x="6"/>
    <field x="7"/>
  </rowFields>
  <rowItems count="9">
    <i>
      <x v="1"/>
    </i>
    <i r="1">
      <x/>
    </i>
    <i r="1">
      <x v="1"/>
    </i>
    <i t="default">
      <x v="1"/>
    </i>
    <i>
      <x v="2"/>
    </i>
    <i r="1">
      <x/>
    </i>
    <i r="1">
      <x v="1"/>
    </i>
    <i t="default">
      <x v="2"/>
    </i>
    <i t="grand">
      <x/>
    </i>
  </rowItems>
  <colItems count="1">
    <i/>
  </colItems>
  <pageFields count="1">
    <pageField fld="8" item="1" hier="-1"/>
  </pageFields>
  <dataFields count="1">
    <dataField name="Sum of Story Points" fld="4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PivotTable1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K7:L17" firstHeaderRow="1" firstDataRow="1" firstDataCol="1"/>
  <pivotFields count="9">
    <pivotField showAll="0"/>
    <pivotField showAll="0"/>
    <pivotField axis="axisRow" showAll="0">
      <items count="6">
        <item m="1" x="4"/>
        <item x="3"/>
        <item x="1"/>
        <item x="2"/>
        <item x="0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1"/>
        <item x="0"/>
        <item h="1" m="1" x="2"/>
        <item t="default"/>
      </items>
    </pivotField>
    <pivotField showAll="0" defaultSubtotal="0"/>
    <pivotField showAll="0"/>
  </pivotFields>
  <rowFields count="2">
    <field x="6"/>
    <field x="2"/>
  </rowFields>
  <rowItems count="10">
    <i>
      <x/>
    </i>
    <i r="1">
      <x v="1"/>
    </i>
    <i r="1">
      <x v="2"/>
    </i>
    <i r="1">
      <x v="3"/>
    </i>
    <i r="1">
      <x v="4"/>
    </i>
    <i>
      <x v="1"/>
    </i>
    <i r="1">
      <x v="2"/>
    </i>
    <i r="1">
      <x v="3"/>
    </i>
    <i r="1">
      <x v="4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PivotTable2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dded After SS">
  <location ref="K20:L36" firstHeaderRow="1" firstDataRow="1" firstDataCol="1"/>
  <pivotFields count="9">
    <pivotField showAll="0"/>
    <pivotField showAll="0"/>
    <pivotField axis="axisRow" showAll="0">
      <items count="6">
        <item m="1" x="4"/>
        <item x="3"/>
        <item x="1"/>
        <item x="2"/>
        <item x="0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1"/>
        <item x="0"/>
        <item h="1" m="1" x="2"/>
        <item t="default"/>
      </items>
    </pivotField>
    <pivotField axis="axisRow" showAll="0">
      <items count="3">
        <item x="1"/>
        <item x="0"/>
        <item t="default"/>
      </items>
    </pivotField>
    <pivotField showAll="0"/>
  </pivotFields>
  <rowFields count="3">
    <field x="7"/>
    <field x="6"/>
    <field x="2"/>
  </rowFields>
  <rowItems count="16">
    <i>
      <x/>
    </i>
    <i r="1">
      <x/>
    </i>
    <i r="2">
      <x v="1"/>
    </i>
    <i r="2">
      <x v="2"/>
    </i>
    <i r="2">
      <x v="3"/>
    </i>
    <i r="2">
      <x v="4"/>
    </i>
    <i r="1">
      <x v="1"/>
    </i>
    <i r="2">
      <x v="2"/>
    </i>
    <i r="2">
      <x v="3"/>
    </i>
    <i r="2">
      <x v="4"/>
    </i>
    <i>
      <x v="1"/>
    </i>
    <i r="1">
      <x/>
    </i>
    <i r="2">
      <x v="4"/>
    </i>
    <i r="1">
      <x v="1"/>
    </i>
    <i r="2">
      <x v="4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dded After SS">
  <location ref="L20:M35" firstHeaderRow="1" firstDataRow="1" firstDataCol="1"/>
  <pivotFields count="10">
    <pivotField showAll="0"/>
    <pivotField showAll="0"/>
    <pivotField axis="axisRow" showAll="0">
      <items count="6">
        <item m="1" x="3"/>
        <item x="0"/>
        <item m="1" x="4"/>
        <item x="1"/>
        <item x="2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1"/>
        <item x="0"/>
        <item h="1" m="1" x="2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showAll="0"/>
  </pivotFields>
  <rowFields count="3">
    <field x="7"/>
    <field x="6"/>
    <field x="2"/>
  </rowFields>
  <rowItems count="15">
    <i>
      <x/>
    </i>
    <i r="1">
      <x/>
    </i>
    <i r="2">
      <x v="1"/>
    </i>
    <i r="2">
      <x v="3"/>
    </i>
    <i r="1">
      <x v="1"/>
    </i>
    <i r="2">
      <x v="1"/>
    </i>
    <i r="2">
      <x v="3"/>
    </i>
    <i r="2">
      <x v="4"/>
    </i>
    <i>
      <x v="1"/>
    </i>
    <i r="1">
      <x/>
    </i>
    <i r="2">
      <x v="3"/>
    </i>
    <i r="1">
      <x v="1"/>
    </i>
    <i r="2">
      <x v="3"/>
    </i>
    <i r="2">
      <x v="4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L7:M15" firstHeaderRow="1" firstDataRow="1" firstDataCol="1"/>
  <pivotFields count="10">
    <pivotField showAll="0"/>
    <pivotField showAll="0"/>
    <pivotField axis="axisRow" showAll="0">
      <items count="6">
        <item m="1" x="3"/>
        <item x="0"/>
        <item m="1" x="4"/>
        <item x="1"/>
        <item x="2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1"/>
        <item x="0"/>
        <item h="1" m="1" x="2"/>
        <item t="default"/>
      </items>
    </pivotField>
    <pivotField showAll="0" defaultSubtotal="0"/>
    <pivotField showAll="0"/>
    <pivotField showAll="0"/>
  </pivotFields>
  <rowFields count="2">
    <field x="6"/>
    <field x="2"/>
  </rowFields>
  <rowItems count="8">
    <i>
      <x/>
    </i>
    <i r="1">
      <x v="1"/>
    </i>
    <i r="1">
      <x v="3"/>
    </i>
    <i>
      <x v="1"/>
    </i>
    <i r="1">
      <x v="1"/>
    </i>
    <i r="1">
      <x v="3"/>
    </i>
    <i r="1">
      <x v="4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name="PivotTable5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O32:P41" firstHeaderRow="1" firstDataRow="1" firstDataCol="1" rowPageCount="1" colPageCount="1"/>
  <pivotFields count="10">
    <pivotField showAll="0"/>
    <pivotField subtotalTop="0" showAll="0"/>
    <pivotField subtotalTop="0" showAll="0"/>
    <pivotField subtotalTop="0" showAll="0"/>
    <pivotField dataField="1" subtotalTop="0" showAll="0"/>
    <pivotField subtotalTop="0" showAll="0"/>
    <pivotField axis="axisRow" subtotalTop="0" showAll="0">
      <items count="4">
        <item h="1" m="1" x="2"/>
        <item x="1"/>
        <item x="0"/>
        <item t="default"/>
      </items>
    </pivotField>
    <pivotField axis="axisRow" subtotalTop="0" showAll="0">
      <items count="3">
        <item x="0"/>
        <item x="1"/>
        <item t="default"/>
      </items>
    </pivotField>
    <pivotField axis="axisPage" subtotalTop="0" showAll="0">
      <items count="3">
        <item x="0"/>
        <item x="1"/>
        <item t="default"/>
      </items>
    </pivotField>
    <pivotField subtotalTop="0" showAll="0"/>
  </pivotFields>
  <rowFields count="2">
    <field x="6"/>
    <field x="7"/>
  </rowFields>
  <rowItems count="9">
    <i>
      <x v="1"/>
    </i>
    <i r="1">
      <x/>
    </i>
    <i r="1">
      <x v="1"/>
    </i>
    <i t="default">
      <x v="1"/>
    </i>
    <i>
      <x v="2"/>
    </i>
    <i r="1">
      <x/>
    </i>
    <i r="1">
      <x v="1"/>
    </i>
    <i t="default">
      <x v="2"/>
    </i>
    <i t="grand">
      <x/>
    </i>
  </rowItems>
  <colItems count="1">
    <i/>
  </colItems>
  <pageFields count="1">
    <pageField fld="8" item="1" hier="-1"/>
  </pageFields>
  <dataFields count="1">
    <dataField name="Sum of Story Points" fld="4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L7:M14" firstHeaderRow="1" firstDataRow="1" firstDataCol="1"/>
  <pivotFields count="10">
    <pivotField showAll="0"/>
    <pivotField showAll="0"/>
    <pivotField axis="axisRow" showAll="0">
      <items count="36">
        <item m="1" x="2"/>
        <item m="1" x="19"/>
        <item m="1" x="6"/>
        <item m="1" x="7"/>
        <item m="1" x="17"/>
        <item m="1" x="34"/>
        <item m="1" x="28"/>
        <item m="1" x="9"/>
        <item m="1" x="22"/>
        <item m="1" x="29"/>
        <item m="1" x="21"/>
        <item m="1" x="24"/>
        <item m="1" x="20"/>
        <item m="1" x="33"/>
        <item m="1" x="31"/>
        <item m="1" x="23"/>
        <item m="1" x="27"/>
        <item m="1" x="32"/>
        <item m="1" x="5"/>
        <item m="1" x="4"/>
        <item m="1" x="14"/>
        <item m="1" x="3"/>
        <item m="1" x="12"/>
        <item m="1" x="18"/>
        <item m="1" x="11"/>
        <item m="1" x="25"/>
        <item m="1" x="15"/>
        <item m="1" x="10"/>
        <item m="1" x="30"/>
        <item m="1" x="16"/>
        <item m="1" x="26"/>
        <item m="1" x="13"/>
        <item x="1"/>
        <item m="1" x="8"/>
        <item x="0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0"/>
        <item x="1"/>
        <item h="1" m="1" x="2"/>
        <item t="default"/>
      </items>
    </pivotField>
    <pivotField showAll="0" defaultSubtotal="0"/>
    <pivotField showAll="0"/>
    <pivotField showAll="0"/>
  </pivotFields>
  <rowFields count="2">
    <field x="6"/>
    <field x="2"/>
  </rowFields>
  <rowItems count="7">
    <i>
      <x/>
    </i>
    <i r="1">
      <x v="32"/>
    </i>
    <i r="1">
      <x v="34"/>
    </i>
    <i>
      <x v="1"/>
    </i>
    <i r="1">
      <x v="32"/>
    </i>
    <i r="1">
      <x v="34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By Added">
  <location ref="L18:M31" firstHeaderRow="1" firstDataRow="1" firstDataCol="1"/>
  <pivotFields count="10">
    <pivotField showAll="0"/>
    <pivotField showAll="0"/>
    <pivotField axis="axisRow" showAll="0">
      <items count="36">
        <item m="1" x="2"/>
        <item m="1" x="19"/>
        <item m="1" x="6"/>
        <item m="1" x="7"/>
        <item m="1" x="17"/>
        <item m="1" x="34"/>
        <item m="1" x="28"/>
        <item m="1" x="9"/>
        <item m="1" x="22"/>
        <item m="1" x="29"/>
        <item m="1" x="21"/>
        <item m="1" x="24"/>
        <item m="1" x="20"/>
        <item m="1" x="33"/>
        <item m="1" x="31"/>
        <item m="1" x="23"/>
        <item m="1" x="27"/>
        <item m="1" x="32"/>
        <item m="1" x="5"/>
        <item m="1" x="4"/>
        <item m="1" x="14"/>
        <item m="1" x="3"/>
        <item m="1" x="12"/>
        <item m="1" x="18"/>
        <item m="1" x="11"/>
        <item m="1" x="25"/>
        <item m="1" x="15"/>
        <item m="1" x="10"/>
        <item m="1" x="30"/>
        <item m="1" x="16"/>
        <item m="1" x="26"/>
        <item m="1" x="13"/>
        <item x="1"/>
        <item m="1" x="8"/>
        <item x="0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0"/>
        <item x="1"/>
        <item h="1" m="1" x="2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showAll="0"/>
  </pivotFields>
  <rowFields count="3">
    <field x="7"/>
    <field x="6"/>
    <field x="2"/>
  </rowFields>
  <rowItems count="13">
    <i>
      <x/>
    </i>
    <i r="1">
      <x/>
    </i>
    <i r="2">
      <x v="32"/>
    </i>
    <i r="2">
      <x v="34"/>
    </i>
    <i r="1">
      <x v="1"/>
    </i>
    <i r="2">
      <x v="32"/>
    </i>
    <i r="2">
      <x v="34"/>
    </i>
    <i>
      <x v="1"/>
    </i>
    <i r="1">
      <x/>
    </i>
    <i r="2">
      <x v="34"/>
    </i>
    <i r="1">
      <x v="1"/>
    </i>
    <i r="2">
      <x v="34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name="PivotTable5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L38:M47" firstHeaderRow="1" firstDataRow="1" firstDataCol="1" rowPageCount="1" colPageCount="1"/>
  <pivotFields count="10">
    <pivotField showAll="0"/>
    <pivotField subtotalTop="0" showAll="0"/>
    <pivotField subtotalTop="0" showAll="0"/>
    <pivotField subtotalTop="0" showAll="0"/>
    <pivotField dataField="1" subtotalTop="0" showAll="0"/>
    <pivotField subtotalTop="0" showAll="0"/>
    <pivotField axis="axisRow" subtotalTop="0" showAll="0">
      <items count="4">
        <item h="1" m="1" x="2"/>
        <item x="0"/>
        <item x="1"/>
        <item t="default"/>
      </items>
    </pivotField>
    <pivotField axis="axisRow" subtotalTop="0" showAll="0">
      <items count="3">
        <item x="0"/>
        <item x="1"/>
        <item t="default"/>
      </items>
    </pivotField>
    <pivotField axis="axisPage" subtotalTop="0" showAll="0">
      <items count="3">
        <item x="1"/>
        <item x="0"/>
        <item t="default"/>
      </items>
    </pivotField>
    <pivotField subtotalTop="0" showAll="0"/>
  </pivotFields>
  <rowFields count="2">
    <field x="6"/>
    <field x="7"/>
  </rowFields>
  <rowItems count="9">
    <i>
      <x v="1"/>
    </i>
    <i r="1">
      <x/>
    </i>
    <i r="1">
      <x v="1"/>
    </i>
    <i t="default">
      <x v="1"/>
    </i>
    <i>
      <x v="2"/>
    </i>
    <i r="1">
      <x/>
    </i>
    <i r="1">
      <x v="1"/>
    </i>
    <i t="default">
      <x v="2"/>
    </i>
    <i t="grand">
      <x/>
    </i>
  </rowItems>
  <colItems count="1">
    <i/>
  </colItems>
  <pageFields count="1">
    <pageField fld="8" item="1" hier="-1"/>
  </pageFields>
  <dataFields count="1">
    <dataField name="Sum of Story Points" fld="4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L7:M14" firstHeaderRow="1" firstDataRow="1" firstDataCol="1"/>
  <pivotFields count="10">
    <pivotField showAll="0"/>
    <pivotField showAll="0"/>
    <pivotField axis="axisRow" showAll="0">
      <items count="6">
        <item x="1"/>
        <item x="0"/>
        <item x="2"/>
        <item m="1" x="3"/>
        <item m="1" x="4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0"/>
        <item x="1"/>
        <item h="1" m="1" x="2"/>
        <item t="default"/>
      </items>
    </pivotField>
    <pivotField showAll="0" defaultSubtotal="0"/>
    <pivotField showAll="0"/>
    <pivotField showAll="0"/>
  </pivotFields>
  <rowFields count="2">
    <field x="6"/>
    <field x="2"/>
  </rowFields>
  <rowItems count="7">
    <i>
      <x/>
    </i>
    <i r="1">
      <x/>
    </i>
    <i r="1">
      <x v="1"/>
    </i>
    <i>
      <x v="1"/>
    </i>
    <i r="1">
      <x/>
    </i>
    <i r="1">
      <x v="2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L38:M47" firstHeaderRow="1" firstDataRow="1" firstDataCol="1" rowPageCount="1" colPageCount="1"/>
  <pivotFields count="10">
    <pivotField showAll="0"/>
    <pivotField subtotalTop="0" showAll="0"/>
    <pivotField subtotalTop="0" showAll="0"/>
    <pivotField subtotalTop="0" showAll="0"/>
    <pivotField dataField="1" subtotalTop="0" showAll="0"/>
    <pivotField subtotalTop="0" showAll="0"/>
    <pivotField axis="axisRow" subtotalTop="0" showAll="0">
      <items count="4">
        <item m="1" x="2"/>
        <item x="0"/>
        <item x="1"/>
        <item t="default"/>
      </items>
    </pivotField>
    <pivotField axis="axisRow" subtotalTop="0" showAll="0">
      <items count="4">
        <item m="1" x="2"/>
        <item x="1"/>
        <item x="0"/>
        <item t="default"/>
      </items>
    </pivotField>
    <pivotField axis="axisPage" subtotalTop="0" showAll="0">
      <items count="4">
        <item x="0"/>
        <item x="1"/>
        <item m="1" x="2"/>
        <item t="default"/>
      </items>
    </pivotField>
    <pivotField subtotalTop="0" showAll="0"/>
  </pivotFields>
  <rowFields count="2">
    <field x="6"/>
    <field x="7"/>
  </rowFields>
  <rowItems count="9">
    <i>
      <x v="1"/>
    </i>
    <i r="1">
      <x v="1"/>
    </i>
    <i r="1">
      <x v="2"/>
    </i>
    <i t="default">
      <x v="1"/>
    </i>
    <i>
      <x v="2"/>
    </i>
    <i r="1">
      <x v="1"/>
    </i>
    <i r="1">
      <x v="2"/>
    </i>
    <i t="default">
      <x v="2"/>
    </i>
    <i t="grand">
      <x/>
    </i>
  </rowItems>
  <colItems count="1">
    <i/>
  </colItems>
  <pageFields count="1">
    <pageField fld="8" item="1" hier="-1"/>
  </pageFields>
  <dataFields count="1">
    <dataField name="Sum of Story Points" fld="4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name="PivotTable2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By Added">
  <location ref="L18:M31" firstHeaderRow="1" firstDataRow="1" firstDataCol="1"/>
  <pivotFields count="10">
    <pivotField showAll="0"/>
    <pivotField showAll="0"/>
    <pivotField axis="axisRow" showAll="0">
      <items count="6">
        <item x="1"/>
        <item x="0"/>
        <item x="2"/>
        <item h="1" m="1" x="3"/>
        <item m="1" x="4"/>
        <item t="default"/>
      </items>
    </pivotField>
    <pivotField showAll="0"/>
    <pivotField name="Story Points2" dataField="1" showAll="0" defaultSubtotal="0"/>
    <pivotField showAll="0"/>
    <pivotField axis="axisRow" showAll="0">
      <items count="4">
        <item x="0"/>
        <item x="1"/>
        <item m="1" x="2"/>
        <item t="default"/>
      </items>
    </pivotField>
    <pivotField axis="axisRow" showAll="0">
      <items count="4">
        <item m="1" x="2"/>
        <item x="1"/>
        <item x="0"/>
        <item t="default"/>
      </items>
    </pivotField>
    <pivotField showAll="0"/>
    <pivotField showAll="0"/>
  </pivotFields>
  <rowFields count="3">
    <field x="7"/>
    <field x="6"/>
    <field x="2"/>
  </rowFields>
  <rowItems count="13">
    <i>
      <x v="1"/>
    </i>
    <i r="1">
      <x/>
    </i>
    <i r="2">
      <x/>
    </i>
    <i r="1">
      <x v="1"/>
    </i>
    <i r="2">
      <x/>
    </i>
    <i>
      <x v="2"/>
    </i>
    <i r="1">
      <x/>
    </i>
    <i r="2">
      <x/>
    </i>
    <i r="2">
      <x v="1"/>
    </i>
    <i r="1">
      <x v="1"/>
    </i>
    <i r="2">
      <x/>
    </i>
    <i r="2">
      <x v="2"/>
    </i>
    <i t="grand">
      <x/>
    </i>
  </rowItems>
  <colItems count="1">
    <i/>
  </colItems>
  <dataFields count="1">
    <dataField name="TTL SP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name="PivotTable2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By Added">
  <location ref="K22:L35" firstHeaderRow="1" firstDataRow="1" firstDataCol="1"/>
  <pivotFields count="9">
    <pivotField showAll="0"/>
    <pivotField axis="axisRow" showAll="0">
      <items count="3">
        <item x="0"/>
        <item x="1"/>
        <item t="default"/>
      </items>
    </pivotField>
    <pivotField showAll="0"/>
    <pivotField name="Story Points2" dataField="1" showAll="0" defaultSubtotal="0"/>
    <pivotField showAll="0"/>
    <pivotField axis="axisRow" showAll="0">
      <items count="3">
        <item x="0"/>
        <item x="1"/>
        <item t="default"/>
      </items>
    </pivotField>
    <pivotField axis="axisRow" showAll="0">
      <items count="3">
        <item x="1"/>
        <item x="0"/>
        <item t="default"/>
      </items>
    </pivotField>
    <pivotField showAll="0"/>
    <pivotField showAll="0"/>
  </pivotFields>
  <rowFields count="3">
    <field x="6"/>
    <field x="5"/>
    <field x="1"/>
  </rowFields>
  <rowItems count="13">
    <i>
      <x/>
    </i>
    <i r="1">
      <x/>
    </i>
    <i r="2">
      <x/>
    </i>
    <i r="1">
      <x v="1"/>
    </i>
    <i r="2">
      <x/>
    </i>
    <i>
      <x v="1"/>
    </i>
    <i r="1">
      <x/>
    </i>
    <i r="2">
      <x/>
    </i>
    <i r="2">
      <x v="1"/>
    </i>
    <i r="1">
      <x v="1"/>
    </i>
    <i r="2">
      <x/>
    </i>
    <i r="2">
      <x v="1"/>
    </i>
    <i t="grand">
      <x/>
    </i>
  </rowItems>
  <colItems count="1">
    <i/>
  </colItems>
  <dataFields count="1">
    <dataField name="TTL SP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name="PivotTable5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K42:L51" firstHeaderRow="1" firstDataRow="1" firstDataCol="1" rowPageCount="1" colPageCount="1"/>
  <pivotFields count="9">
    <pivotField subtotalTop="0" showAll="0"/>
    <pivotField subtotalTop="0" showAll="0"/>
    <pivotField subtotalTop="0" showAll="0"/>
    <pivotField dataField="1" subtotalTop="0" showAll="0"/>
    <pivotField subtotalTop="0" showAll="0"/>
    <pivotField axis="axisRow" subtotalTop="0" showAll="0">
      <items count="3">
        <item x="0"/>
        <item x="1"/>
        <item t="default"/>
      </items>
    </pivotField>
    <pivotField axis="axisRow" subtotalTop="0" showAll="0">
      <items count="3">
        <item x="1"/>
        <item x="0"/>
        <item t="default"/>
      </items>
    </pivotField>
    <pivotField axis="axisPage" subtotalTop="0" showAll="0">
      <items count="3">
        <item x="0"/>
        <item x="1"/>
        <item t="default"/>
      </items>
    </pivotField>
    <pivotField subtotalTop="0" showAll="0"/>
  </pivotFields>
  <rowFields count="2">
    <field x="5"/>
    <field x="6"/>
  </rowFields>
  <rowItems count="9">
    <i>
      <x/>
    </i>
    <i r="1">
      <x/>
    </i>
    <i r="1">
      <x v="1"/>
    </i>
    <i t="default">
      <x/>
    </i>
    <i>
      <x v="1"/>
    </i>
    <i r="1">
      <x/>
    </i>
    <i r="1">
      <x v="1"/>
    </i>
    <i t="default">
      <x v="1"/>
    </i>
    <i t="grand">
      <x/>
    </i>
  </rowItems>
  <colItems count="1">
    <i/>
  </colItems>
  <pageFields count="1">
    <pageField fld="7" item="0" hier="-1"/>
  </pageFields>
  <dataFields count="1">
    <dataField name="Sum of Story Points" fld="3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All">
  <location ref="K11:L18" firstHeaderRow="1" firstDataRow="1" firstDataCol="1"/>
  <pivotFields count="9">
    <pivotField showAll="0"/>
    <pivotField axis="axisRow" showAll="0">
      <items count="3">
        <item x="0"/>
        <item x="1"/>
        <item t="default"/>
      </items>
    </pivotField>
    <pivotField showAll="0"/>
    <pivotField name="Story Points2" dataField="1" showAll="0" defaultSubtotal="0"/>
    <pivotField showAll="0"/>
    <pivotField axis="axisRow" showAll="0">
      <items count="3">
        <item x="0"/>
        <item x="1"/>
        <item t="default"/>
      </items>
    </pivotField>
    <pivotField showAll="0" defaultSubtotal="0"/>
    <pivotField showAll="0"/>
    <pivotField showAll="0"/>
  </pivotFields>
  <rowFields count="2">
    <field x="5"/>
    <field x="1"/>
  </rowFields>
  <rowItems count="7">
    <i>
      <x/>
    </i>
    <i r="1">
      <x/>
    </i>
    <i r="1">
      <x v="1"/>
    </i>
    <i>
      <x v="1"/>
    </i>
    <i r="1">
      <x/>
    </i>
    <i r="1">
      <x v="1"/>
    </i>
    <i t="grand">
      <x/>
    </i>
  </rowItems>
  <colItems count="1">
    <i/>
  </colItems>
  <dataFields count="1">
    <dataField name="TTL SP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VelocityTable" displayName="VelocityTable" ref="F3:P6" totalsRowShown="0" headerRowDxfId="254" dataDxfId="252" headerRowBorderDxfId="253" tableBorderDxfId="251">
  <autoFilter ref="F3:P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name="10/23/17" dataDxfId="250"/>
    <tableColumn id="2" name="11/6/17" dataDxfId="249"/>
    <tableColumn id="6" name="11/20/17" dataDxfId="248">
      <calculatedColumnFormula>SUM(H5:H6)</calculatedColumnFormula>
    </tableColumn>
    <tableColumn id="3" name="12/4/17" dataDxfId="247">
      <calculatedColumnFormula>SUM(I5:I6)</calculatedColumnFormula>
    </tableColumn>
    <tableColumn id="4" name="12/18/17" dataDxfId="246">
      <calculatedColumnFormula>SUM(J5:J6)</calculatedColumnFormula>
    </tableColumn>
    <tableColumn id="5" name="1/1/18" dataDxfId="245">
      <calculatedColumnFormula>SUM(K5:K6)</calculatedColumnFormula>
    </tableColumn>
    <tableColumn id="7" name="1/15/18" dataDxfId="244">
      <calculatedColumnFormula>SUM(L5:L6)</calculatedColumnFormula>
    </tableColumn>
    <tableColumn id="8" name="1/29/18" dataDxfId="243"/>
    <tableColumn id="9" name="2/12/18" dataDxfId="242"/>
    <tableColumn id="10" name="2/26/18" dataDxfId="241"/>
    <tableColumn id="11" name="3/13/18" dataDxfId="240"/>
  </tableColumns>
  <tableStyleInfo name="TableStyleMedium16 2" showFirstColumn="0" showLastColumn="0" showRowStripes="1" showColumnStripes="0"/>
</table>
</file>

<file path=xl/tables/table2.xml><?xml version="1.0" encoding="utf-8"?>
<table xmlns="http://schemas.openxmlformats.org/spreadsheetml/2006/main" id="2" name="CV_VelocityTable" displayName="CV_VelocityTable" ref="F3:N6" totalsRowShown="0" headerRowDxfId="221" dataDxfId="219" headerRowBorderDxfId="220" tableBorderDxfId="218">
  <autoFilter ref="F3:N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name="11/20/17" dataDxfId="217"/>
    <tableColumn id="2" name="12/4/17" dataDxfId="216"/>
    <tableColumn id="6" name="12/18/17" dataDxfId="215">
      <calculatedColumnFormula>SUM(H5:H6)</calculatedColumnFormula>
    </tableColumn>
    <tableColumn id="3" name="1/1/18" dataDxfId="214">
      <calculatedColumnFormula>SUM(I5:I6)</calculatedColumnFormula>
    </tableColumn>
    <tableColumn id="4" name="1/15/18" dataDxfId="213">
      <calculatedColumnFormula>SUM(J5:J6)</calculatedColumnFormula>
    </tableColumn>
    <tableColumn id="5" name="1/29/18" dataDxfId="212">
      <calculatedColumnFormula>SUM(K5:K6)</calculatedColumnFormula>
    </tableColumn>
    <tableColumn id="7" name="2/12/18" dataDxfId="211"/>
    <tableColumn id="8" name="2/26/18" dataDxfId="210"/>
    <tableColumn id="9" name="3/13/188" dataDxfId="209"/>
  </tableColumns>
  <tableStyleInfo name="TableStyleMedium16 2" showFirstColumn="0" showLastColumn="0" showRowStripes="1" showColumnStripes="0"/>
</table>
</file>

<file path=xl/tables/table3.xml><?xml version="1.0" encoding="utf-8"?>
<table xmlns="http://schemas.openxmlformats.org/spreadsheetml/2006/main" id="38" name="T_02_12_18253239" displayName="T_02_12_18253239" ref="A1:I45" totalsRowShown="0" dataDxfId="204">
  <autoFilter ref="A1:I45"/>
  <sortState ref="A2:I45">
    <sortCondition descending="1" ref="G2:G38"/>
    <sortCondition ref="A2:A38"/>
  </sortState>
  <tableColumns count="9">
    <tableColumn id="10" name="ID" dataDxfId="203">
      <calculatedColumnFormula>MID(B2,8,3)</calculatedColumnFormula>
    </tableColumn>
    <tableColumn id="1" name="Issue key" dataDxfId="202"/>
    <tableColumn id="3" name="Status" dataDxfId="201"/>
    <tableColumn id="4" name="Summary" dataDxfId="200"/>
    <tableColumn id="5" name="Story Points" dataDxfId="199"/>
    <tableColumn id="6" name="Assignee" dataDxfId="198"/>
    <tableColumn id="7" name="Project" dataDxfId="197">
      <calculatedColumnFormula>MID(B2,4,1)</calculatedColumnFormula>
    </tableColumn>
    <tableColumn id="8" name="Added After" dataDxfId="196"/>
    <tableColumn id="9" name="Prj Cmpt" dataDxfId="195" dataCellStyle="Normal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39" name="Table219263340" displayName="Table219263340" ref="N9:R11" totalsRowShown="0">
  <autoFilter ref="N9:R11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Team"/>
    <tableColumn id="2" name="Commit"/>
    <tableColumn id="3" name="Added"/>
    <tableColumn id="5" name="Blocked" dataDxfId="194">
      <calculatedColumnFormula>GETPIVOTDATA("Story Points2",$K$7,"Status","Blocked","Project","U")</calculatedColumnFormula>
    </tableColumn>
    <tableColumn id="4" name="Total Story Points" dataDxfId="193">
      <calculatedColumnFormula>+IF(ISERR(P10),0,P10)+IF(ISERR(O10),0,O10)</calculatedColumnFormula>
    </tableColumn>
  </tableColumns>
  <tableStyleInfo name="TableStyleMedium3" showFirstColumn="1" showLastColumn="0" showRowStripes="1" showColumnStripes="0"/>
</table>
</file>

<file path=xl/tables/table5.xml><?xml version="1.0" encoding="utf-8"?>
<table xmlns="http://schemas.openxmlformats.org/spreadsheetml/2006/main" id="40" name="Table320273441" displayName="Table320273441" ref="N13:R15" totalsRowShown="0">
  <autoFilter ref="N13:R15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Done"/>
    <tableColumn id="2" name="Committed Done"/>
    <tableColumn id="3" name="Added Done"/>
    <tableColumn id="5" name=" "/>
    <tableColumn id="4" name="Total Done" dataDxfId="192">
      <calculatedColumnFormula>+IF(ISERR(P14),0,P14)+IF(ISERR(O14),0,O14)</calculatedColumnFormula>
    </tableColumn>
  </tableColumns>
  <tableStyleInfo name="TableStyleMedium6" showFirstColumn="1" showLastColumn="0" showRowStripes="1" showColumnStripes="0"/>
</table>
</file>

<file path=xl/tables/table6.xml><?xml version="1.0" encoding="utf-8"?>
<table xmlns="http://schemas.openxmlformats.org/spreadsheetml/2006/main" id="41" name="Table421283542" displayName="Table421283542" ref="N17:R19" totalsRowShown="0" dataDxfId="191" dataCellStyle="Percent">
  <autoFilter ref="N17:R19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Done"/>
    <tableColumn id="2" name="Total Done / Committed" dataDxfId="190" dataCellStyle="Percent">
      <calculatedColumnFormula>+R14/O10</calculatedColumnFormula>
    </tableColumn>
    <tableColumn id="3" name="Total Done / Overall" dataDxfId="189" dataCellStyle="Percent">
      <calculatedColumnFormula>+R14/R10</calculatedColumnFormula>
    </tableColumn>
    <tableColumn id="5" name="Committed Done" dataDxfId="188" dataCellStyle="Percent">
      <calculatedColumnFormula>+IF(ISERR(O14),0,O14)/IF(ISERR(O10),1,O10)</calculatedColumnFormula>
    </tableColumn>
    <tableColumn id="4" name="Added Done" dataDxfId="187" dataCellStyle="Percent">
      <calculatedColumnFormula>+IF(ISERR(P14),0,P14)/IF(ISERR(P10),1,P10)</calculatedColumnFormula>
    </tableColumn>
  </tableColumns>
  <tableStyleInfo name="TableStyleMedium6" showFirstColumn="1" showLastColumn="0" showRowStripes="1" showColumnStripes="0"/>
</table>
</file>

<file path=xl/tables/table7.xml><?xml version="1.0" encoding="utf-8"?>
<table xmlns="http://schemas.openxmlformats.org/spreadsheetml/2006/main" id="42" name="Table722293643" displayName="Table722293643" ref="N21:R23" totalsRowShown="0">
  <autoFilter ref="N21:R23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Prjtd"/>
    <tableColumn id="2" name="Committed Done" dataDxfId="186">
      <calculatedColumnFormula>GETPIVOTDATA("Added After",$N$32,"Project","A","Added After","Y")</calculatedColumnFormula>
    </tableColumn>
    <tableColumn id="3" name="Added Done" dataDxfId="185">
      <calculatedColumnFormula>GETPIVOTDATA("Added After",$N$32,"Project","A","Added After","N")</calculatedColumnFormula>
    </tableColumn>
    <tableColumn id="5" name="Commit Not Done" dataDxfId="184">
      <calculatedColumnFormula>+O10-IF(ISERR(Q10),0,Q10)-Table722293643[[#This Row],[Committed Done]]</calculatedColumnFormula>
    </tableColumn>
    <tableColumn id="4" name="Prj Story Points" dataDxfId="183">
      <calculatedColumnFormula>+IF(ISERR(P22),0,P22)+IF(ISERR(O22),0,O22)</calculatedColumnFormula>
    </tableColumn>
  </tableColumns>
  <tableStyleInfo name="TableStyleMedium21" showFirstColumn="0" showLastColumn="0" showRowStripes="1" showColumnStripes="0"/>
</table>
</file>

<file path=xl/tables/table8.xml><?xml version="1.0" encoding="utf-8"?>
<table xmlns="http://schemas.openxmlformats.org/spreadsheetml/2006/main" id="43" name="Table823303744" displayName="Table823303744" ref="N25:R27" totalsRowShown="0" dataDxfId="182" dataCellStyle="Percent">
  <autoFilter ref="N25:R27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Prjtd"/>
    <tableColumn id="2" name="Total Done / Committed" dataDxfId="181" dataCellStyle="Percent">
      <calculatedColumnFormula>IF(ISERR(R22),0,R22)/IF(ISERR(O10), 1,O10)</calculatedColumnFormula>
    </tableColumn>
    <tableColumn id="3" name="Total Done / Overall" dataDxfId="180" dataCellStyle="Percent">
      <calculatedColumnFormula>IF(ISERR(R22),0,R22)/IF(ISERR(R10),1,R10)</calculatedColumnFormula>
    </tableColumn>
    <tableColumn id="5" name="Committed Done" dataDxfId="179" dataCellStyle="Percent">
      <calculatedColumnFormula>+IF(ISERR(O22),0,O22)/IF(ISERR(O10),1,O10)</calculatedColumnFormula>
    </tableColumn>
    <tableColumn id="4" name="Prj Added Done" dataDxfId="178" dataCellStyle="Percent">
      <calculatedColumnFormula>+IF(ISERR(P22),0,P22)/IF(ISERR(P10),1,P10)</calculatedColumnFormula>
    </tableColumn>
  </tableColumns>
  <tableStyleInfo name="TableStyleMedium21" showFirstColumn="0" showLastColumn="0" showRowStripes="1" showColumnStripes="0"/>
</table>
</file>

<file path=xl/tables/table9.xml><?xml version="1.0" encoding="utf-8"?>
<table xmlns="http://schemas.openxmlformats.org/spreadsheetml/2006/main" id="44" name="Table924313845" displayName="Table924313845" ref="N1:W4" totalsRowShown="0">
  <autoFilter ref="N1:W4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name="Team"/>
    <tableColumn id="2" name="Committed" dataDxfId="177">
      <calculatedColumnFormula>+O10-Table924313845[[#This Row],[Blocked]]</calculatedColumnFormula>
    </tableColumn>
    <tableColumn id="3" name="Added">
      <calculatedColumnFormula>IF(ISERR(P10),0,P10)</calculatedColumnFormula>
    </tableColumn>
    <tableColumn id="4" name="Blocked" dataDxfId="176">
      <calculatedColumnFormula>IF(ISERR(Q10),0,Q10)</calculatedColumnFormula>
    </tableColumn>
    <tableColumn id="5" name="Completed" dataDxfId="175">
      <calculatedColumnFormula>+IF(ISERR(R14),0,R14)</calculatedColumnFormula>
    </tableColumn>
    <tableColumn id="6" name="Completion V _x000a_Committed" dataCellStyle="Percent">
      <calculatedColumnFormula>Table924313845[[#This Row],[Completed]]/Table924313845[[#This Row],[Committed]]</calculatedColumnFormula>
    </tableColumn>
    <tableColumn id="7" name="Overall _x000a_Completion" dataCellStyle="Percent">
      <calculatedColumnFormula>Table924313845[[#This Row],[Completed]]/(Table924313845[[#This Row],[Added]]+Table924313845[[#This Row],[Committed]])</calculatedColumnFormula>
    </tableColumn>
    <tableColumn id="8" name=" "/>
    <tableColumn id="9" name="Committed _x000a_Completed" dataDxfId="174" dataCellStyle="Percent">
      <calculatedColumnFormula>IF(ISERR(O14),0,O14) &amp; "  (" &amp;TEXT(IF(ISERR(O14),0,O14)/Table924313845[[#This Row],[Committed]],"#%") &amp; ")"</calculatedColumnFormula>
    </tableColumn>
    <tableColumn id="10" name="Added _x000a_Completed" dataDxfId="173">
      <calculatedColumnFormula>+IF(ISERR(P14),0,P14) &amp; " (" &amp; TEXT(R18, "#%") &amp; ")"</calculatedColumnFormula>
    </tableColumn>
  </tableColumns>
  <tableStyleInfo name="TableStyleMedium16 2" showFirstColumn="0" showLastColumn="0" showRowStripes="1" showColumnStripes="0"/>
</table>
</file>

<file path=xl/tables/table10.xml><?xml version="1.0" encoding="utf-8"?>
<table xmlns="http://schemas.openxmlformats.org/spreadsheetml/2006/main" id="31" name="T_02_12_182532" displayName="T_02_12_182532" ref="A1:I46" totalsRowShown="0" dataDxfId="168">
  <autoFilter ref="A1:I46"/>
  <sortState ref="A2:I46">
    <sortCondition descending="1" ref="G2:G38"/>
    <sortCondition ref="A2:A38"/>
  </sortState>
  <tableColumns count="9">
    <tableColumn id="10" name="ID" dataDxfId="167">
      <calculatedColumnFormula>MID(B2,8,3)</calculatedColumnFormula>
    </tableColumn>
    <tableColumn id="1" name="Issue key" dataDxfId="166"/>
    <tableColumn id="3" name="Status" dataDxfId="165"/>
    <tableColumn id="4" name="Summary" dataDxfId="164"/>
    <tableColumn id="5" name="Story Points" dataDxfId="163"/>
    <tableColumn id="6" name="Assignee" dataDxfId="162"/>
    <tableColumn id="7" name="Project" dataDxfId="161">
      <calculatedColumnFormula>MID(B2,4,1)</calculatedColumnFormula>
    </tableColumn>
    <tableColumn id="8" name="Added After" dataDxfId="160"/>
    <tableColumn id="9" name="Prj Cmpt" dataDxfId="159" dataCellStyle="Normal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id="32" name="Table2192633" displayName="Table2192633" ref="N9:R11" totalsRowShown="0">
  <autoFilter ref="N9:R11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Team"/>
    <tableColumn id="2" name="Commit"/>
    <tableColumn id="3" name="Added"/>
    <tableColumn id="5" name="Blocked" dataDxfId="158">
      <calculatedColumnFormula>GETPIVOTDATA("Story Points2",$K$7,"Status","Blocked","Project","U")</calculatedColumnFormula>
    </tableColumn>
    <tableColumn id="4" name="Total Story Points" dataDxfId="157">
      <calculatedColumnFormula>+IF(ISERR(P10),0,P10)+IF(ISERR(O10),0,O10)</calculatedColumnFormula>
    </tableColumn>
  </tableColumns>
  <tableStyleInfo name="TableStyleMedium3" showFirstColumn="1" showLastColumn="0" showRowStripes="1" showColumnStripes="0"/>
</table>
</file>

<file path=xl/tables/table12.xml><?xml version="1.0" encoding="utf-8"?>
<table xmlns="http://schemas.openxmlformats.org/spreadsheetml/2006/main" id="33" name="Table3202734" displayName="Table3202734" ref="N13:R15" totalsRowShown="0">
  <autoFilter ref="N13:R15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Done"/>
    <tableColumn id="2" name="Committed Done"/>
    <tableColumn id="3" name="Added Done"/>
    <tableColumn id="5" name=" "/>
    <tableColumn id="4" name="Total Done" dataDxfId="156">
      <calculatedColumnFormula>+IF(ISERR(P14),0,P14)+IF(ISERR(O14),0,O14)</calculatedColumnFormula>
    </tableColumn>
  </tableColumns>
  <tableStyleInfo name="TableStyleMedium6" showFirstColumn="1" showLastColumn="0" showRowStripes="1" showColumnStripes="0"/>
</table>
</file>

<file path=xl/tables/table13.xml><?xml version="1.0" encoding="utf-8"?>
<table xmlns="http://schemas.openxmlformats.org/spreadsheetml/2006/main" id="34" name="Table4212835" displayName="Table4212835" ref="N17:R19" totalsRowShown="0" dataDxfId="155" dataCellStyle="Percent">
  <autoFilter ref="N17:R19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Done"/>
    <tableColumn id="2" name="Total Done / Committed" dataDxfId="154" dataCellStyle="Percent">
      <calculatedColumnFormula>+R14/O10</calculatedColumnFormula>
    </tableColumn>
    <tableColumn id="3" name="Total Done / Overall" dataDxfId="153" dataCellStyle="Percent">
      <calculatedColumnFormula>+R14/R10</calculatedColumnFormula>
    </tableColumn>
    <tableColumn id="5" name="Committed Done" dataDxfId="152" dataCellStyle="Percent">
      <calculatedColumnFormula>+IF(ISERR(O14),0,O14)/IF(ISERR(O10),1,O10)</calculatedColumnFormula>
    </tableColumn>
    <tableColumn id="4" name="Added Done" dataDxfId="151" dataCellStyle="Percent">
      <calculatedColumnFormula>+IF(ISERR(P14),0,P14)/IF(ISERR(P10),1,P10)</calculatedColumnFormula>
    </tableColumn>
  </tableColumns>
  <tableStyleInfo name="TableStyleMedium6" showFirstColumn="1" showLastColumn="0" showRowStripes="1" showColumnStripes="0"/>
</table>
</file>

<file path=xl/tables/table14.xml><?xml version="1.0" encoding="utf-8"?>
<table xmlns="http://schemas.openxmlformats.org/spreadsheetml/2006/main" id="35" name="Table7222936" displayName="Table7222936" ref="N21:R23" totalsRowShown="0">
  <autoFilter ref="N21:R23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Prjtd"/>
    <tableColumn id="2" name="Committed Done" dataDxfId="150">
      <calculatedColumnFormula>GETPIVOTDATA("Added After",$N$32,"Project","A","Added After","Y")</calculatedColumnFormula>
    </tableColumn>
    <tableColumn id="3" name="Added Done" dataDxfId="149">
      <calculatedColumnFormula>GETPIVOTDATA("Added After",$N$32,"Project","A","Added After","N")</calculatedColumnFormula>
    </tableColumn>
    <tableColumn id="5" name="Commit Not Done" dataDxfId="148">
      <calculatedColumnFormula>+O10-IF(ISERR(Q10),0,Q10)-Table7222936[[#This Row],[Committed Done]]</calculatedColumnFormula>
    </tableColumn>
    <tableColumn id="4" name="Prj Story Points" dataDxfId="147">
      <calculatedColumnFormula>+IF(ISERR(P22),0,P22)+IF(ISERR(O22),0,O22)</calculatedColumnFormula>
    </tableColumn>
  </tableColumns>
  <tableStyleInfo name="TableStyleMedium21" showFirstColumn="0" showLastColumn="0" showRowStripes="1" showColumnStripes="0"/>
</table>
</file>

<file path=xl/tables/table15.xml><?xml version="1.0" encoding="utf-8"?>
<table xmlns="http://schemas.openxmlformats.org/spreadsheetml/2006/main" id="36" name="Table8233037" displayName="Table8233037" ref="N25:R27" totalsRowShown="0" dataDxfId="146" dataCellStyle="Percent">
  <autoFilter ref="N25:R27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Prjtd"/>
    <tableColumn id="2" name="Total Done / Committed" dataDxfId="145" dataCellStyle="Percent">
      <calculatedColumnFormula>IF(ISERR(R22),0,R22)/IF(ISERR(O10), 1,O10)</calculatedColumnFormula>
    </tableColumn>
    <tableColumn id="3" name="Total Done / Overall" dataDxfId="144" dataCellStyle="Percent">
      <calculatedColumnFormula>IF(ISERR(R22),0,R22)/IF(ISERR(R10),1,R10)</calculatedColumnFormula>
    </tableColumn>
    <tableColumn id="5" name="Committed Done" dataDxfId="143" dataCellStyle="Percent">
      <calculatedColumnFormula>+IF(ISERR(O22),0,O22)/IF(ISERR(O10),1,O10)</calculatedColumnFormula>
    </tableColumn>
    <tableColumn id="4" name="Prj Added Done" dataDxfId="142" dataCellStyle="Percent">
      <calculatedColumnFormula>+IF(ISERR(P22),0,P22)/IF(ISERR(P10),1,P10)</calculatedColumnFormula>
    </tableColumn>
  </tableColumns>
  <tableStyleInfo name="TableStyleMedium21" showFirstColumn="0" showLastColumn="0" showRowStripes="1" showColumnStripes="0"/>
</table>
</file>

<file path=xl/tables/table16.xml><?xml version="1.0" encoding="utf-8"?>
<table xmlns="http://schemas.openxmlformats.org/spreadsheetml/2006/main" id="37" name="Table9243138" displayName="Table9243138" ref="N1:W4" totalsRowShown="0">
  <autoFilter ref="N1:W4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name="Team"/>
    <tableColumn id="2" name="Committed" dataDxfId="141">
      <calculatedColumnFormula>+O10-Table9243138[[#This Row],[Blocked]]</calculatedColumnFormula>
    </tableColumn>
    <tableColumn id="3" name="Added">
      <calculatedColumnFormula>IF(ISERR(P10),0,P10)</calculatedColumnFormula>
    </tableColumn>
    <tableColumn id="4" name="Blocked" dataDxfId="140">
      <calculatedColumnFormula>IF(ISERR(Q10),0,Q10)</calculatedColumnFormula>
    </tableColumn>
    <tableColumn id="5" name="Completed" dataDxfId="139">
      <calculatedColumnFormula>+IF(ISERR(R14),0,R14)</calculatedColumnFormula>
    </tableColumn>
    <tableColumn id="6" name="Completion V _x000a_Committed" dataCellStyle="Percent">
      <calculatedColumnFormula>Table9243138[[#This Row],[Completed]]/Table9243138[[#This Row],[Committed]]</calculatedColumnFormula>
    </tableColumn>
    <tableColumn id="7" name="Overall _x000a_Completion" dataCellStyle="Percent">
      <calculatedColumnFormula>Table9243138[[#This Row],[Completed]]/(Table9243138[[#This Row],[Added]]+Table9243138[[#This Row],[Committed]])</calculatedColumnFormula>
    </tableColumn>
    <tableColumn id="8" name=" "/>
    <tableColumn id="9" name="Committed _x000a_Completed" dataDxfId="138" dataCellStyle="Percent">
      <calculatedColumnFormula>IF(ISERR(O14),0,O14) &amp; "  (" &amp;TEXT(IF(ISERR(O14),0,O14)/Table9243138[[#This Row],[Committed]],"#%") &amp; ")"</calculatedColumnFormula>
    </tableColumn>
    <tableColumn id="10" name="Added _x000a_Completed" dataDxfId="137">
      <calculatedColumnFormula>+IF(ISERR(P14),0,P14) &amp; " (" &amp; TEXT(R18, "#%") &amp; ")"</calculatedColumnFormula>
    </tableColumn>
  </tableColumns>
  <tableStyleInfo name="TableStyleMedium16 2" showFirstColumn="0" showLastColumn="0" showRowStripes="1" showColumnStripes="0"/>
</table>
</file>

<file path=xl/tables/table17.xml><?xml version="1.0" encoding="utf-8"?>
<table xmlns="http://schemas.openxmlformats.org/spreadsheetml/2006/main" id="24" name="T_02_12_1825" displayName="T_02_12_1825" ref="A1:J41" totalsRowShown="0" dataDxfId="134">
  <autoFilter ref="A1:J41"/>
  <sortState ref="A2:J41">
    <sortCondition descending="1" ref="G2:G39"/>
    <sortCondition ref="A2:A39"/>
  </sortState>
  <tableColumns count="10">
    <tableColumn id="10" name="ID" dataDxfId="133">
      <calculatedColumnFormula>MID(B2,8,3)</calculatedColumnFormula>
    </tableColumn>
    <tableColumn id="1" name="Issue key" dataDxfId="132"/>
    <tableColumn id="3" name="Status" dataDxfId="131"/>
    <tableColumn id="4" name="Summary" dataDxfId="130"/>
    <tableColumn id="5" name="Story Points" dataDxfId="129"/>
    <tableColumn id="6" name="Assignee" dataDxfId="128"/>
    <tableColumn id="7" name="Project" dataDxfId="127">
      <calculatedColumnFormula>MID(B2,4,1)</calculatedColumnFormula>
    </tableColumn>
    <tableColumn id="8" name="Added After" dataDxfId="126"/>
    <tableColumn id="9" name="Prj Cmpt" dataDxfId="125" dataCellStyle="Normal"/>
    <tableColumn id="2" name=" " dataDxfId="124">
      <calculatedColumnFormula>IF(C2="Done", IF(I2&lt;&gt;"Y", "ERR",""),"")</calculatedColumnFormula>
    </tableColumn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id="25" name="Table21926" displayName="Table21926" ref="O9:S11" totalsRowShown="0">
  <autoFilter ref="O9:S11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Team"/>
    <tableColumn id="2" name="Commit"/>
    <tableColumn id="3" name="Added"/>
    <tableColumn id="5" name="Blocked" dataDxfId="123">
      <calculatedColumnFormula>GETPIVOTDATA("Story Points2",$L$7,"Status","Blocked","Project","U")</calculatedColumnFormula>
    </tableColumn>
    <tableColumn id="4" name="Total Story Points" dataDxfId="122">
      <calculatedColumnFormula>+IF(ISERR(Q10),0,Q10)+IF(ISERR(P10),0,P10)</calculatedColumnFormula>
    </tableColumn>
  </tableColumns>
  <tableStyleInfo name="TableStyleMedium3" showFirstColumn="1" showLastColumn="0" showRowStripes="1" showColumnStripes="0"/>
</table>
</file>

<file path=xl/tables/table19.xml><?xml version="1.0" encoding="utf-8"?>
<table xmlns="http://schemas.openxmlformats.org/spreadsheetml/2006/main" id="26" name="Table32027" displayName="Table32027" ref="O13:S15" totalsRowShown="0">
  <autoFilter ref="O13:S15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Done"/>
    <tableColumn id="2" name="Committed Done"/>
    <tableColumn id="3" name="Added Done"/>
    <tableColumn id="5" name=" "/>
    <tableColumn id="4" name="Total Done" dataDxfId="121">
      <calculatedColumnFormula>+IF(ISERR(Q14),0,Q14)+IF(ISERR(P14),0,P14)</calculatedColumnFormula>
    </tableColumn>
  </tableColumns>
  <tableStyleInfo name="TableStyleMedium6" showFirstColumn="1" showLastColumn="0" showRowStripes="1" showColumnStripes="0"/>
</table>
</file>

<file path=xl/tables/table20.xml><?xml version="1.0" encoding="utf-8"?>
<table xmlns="http://schemas.openxmlformats.org/spreadsheetml/2006/main" id="27" name="Table42128" displayName="Table42128" ref="O17:S19" totalsRowShown="0" dataDxfId="120" dataCellStyle="Percent">
  <autoFilter ref="O17:S19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Done"/>
    <tableColumn id="2" name="Total Done / Committed" dataDxfId="119" dataCellStyle="Percent">
      <calculatedColumnFormula>+S14/P10</calculatedColumnFormula>
    </tableColumn>
    <tableColumn id="3" name="Total Done / Overall" dataDxfId="118" dataCellStyle="Percent">
      <calculatedColumnFormula>+S14/S10</calculatedColumnFormula>
    </tableColumn>
    <tableColumn id="5" name="Committed Done" dataDxfId="117" dataCellStyle="Percent">
      <calculatedColumnFormula>+IF(ISERR(P14),0,P14)/IF(ISERR(P10),1,P10)</calculatedColumnFormula>
    </tableColumn>
    <tableColumn id="4" name="Added Done" dataDxfId="116" dataCellStyle="Percent">
      <calculatedColumnFormula>+IF(ISERR(Q14),0,Q14)/IF(ISERR(Q10),1,Q10)</calculatedColumnFormula>
    </tableColumn>
  </tableColumns>
  <tableStyleInfo name="TableStyleMedium6" showFirstColumn="1" showLastColumn="0" showRowStripes="1" showColumnStripes="0"/>
</table>
</file>

<file path=xl/tables/table21.xml><?xml version="1.0" encoding="utf-8"?>
<table xmlns="http://schemas.openxmlformats.org/spreadsheetml/2006/main" id="28" name="Table72229" displayName="Table72229" ref="O21:S23" totalsRowShown="0">
  <autoFilter ref="O21:S23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Prjtd"/>
    <tableColumn id="2" name="Committed Done" dataDxfId="115">
      <calculatedColumnFormula>GETPIVOTDATA("Added After",$O$32,"Project","A","Added After","Y")</calculatedColumnFormula>
    </tableColumn>
    <tableColumn id="3" name="Added Done" dataDxfId="114">
      <calculatedColumnFormula>GETPIVOTDATA("Added After",$O$32,"Project","A","Added After","N")</calculatedColumnFormula>
    </tableColumn>
    <tableColumn id="5" name="Commit Not Done" dataDxfId="113"/>
    <tableColumn id="4" name="Prj Story Points" dataDxfId="112">
      <calculatedColumnFormula>+IF(ISERR(Q22),0,Q22)+IF(ISERR(P22),0,P22)</calculatedColumnFormula>
    </tableColumn>
  </tableColumns>
  <tableStyleInfo name="TableStyleMedium21" showFirstColumn="0" showLastColumn="0" showRowStripes="1" showColumnStripes="0"/>
</table>
</file>

<file path=xl/tables/table22.xml><?xml version="1.0" encoding="utf-8"?>
<table xmlns="http://schemas.openxmlformats.org/spreadsheetml/2006/main" id="29" name="Table82330" displayName="Table82330" ref="O25:S27" totalsRowShown="0" dataDxfId="111" dataCellStyle="Percent">
  <autoFilter ref="O25:S27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Prjtd"/>
    <tableColumn id="2" name="Total Done / Committed" dataDxfId="110" dataCellStyle="Percent">
      <calculatedColumnFormula>IF(ISERR(S22),0,S22)/IF(ISERR(P10), 1,P10)</calculatedColumnFormula>
    </tableColumn>
    <tableColumn id="3" name="Total Done / Overall" dataDxfId="109" dataCellStyle="Percent">
      <calculatedColumnFormula>IF(ISERR(S22),0,S22)/IF(ISERR(S10),1,S10)</calculatedColumnFormula>
    </tableColumn>
    <tableColumn id="5" name="Committed Done" dataDxfId="108" dataCellStyle="Percent">
      <calculatedColumnFormula>+IF(ISERR(P22),0,P22)/IF(ISERR(P10),1,P10)</calculatedColumnFormula>
    </tableColumn>
    <tableColumn id="4" name="Prj Added Done" dataDxfId="107" dataCellStyle="Percent">
      <calculatedColumnFormula>+IF(ISERR(Q22),0,Q22)/IF(ISERR(Q10),1,Q10)</calculatedColumnFormula>
    </tableColumn>
  </tableColumns>
  <tableStyleInfo name="TableStyleMedium21" showFirstColumn="0" showLastColumn="0" showRowStripes="1" showColumnStripes="0"/>
</table>
</file>

<file path=xl/tables/table23.xml><?xml version="1.0" encoding="utf-8"?>
<table xmlns="http://schemas.openxmlformats.org/spreadsheetml/2006/main" id="30" name="Table92431" displayName="Table92431" ref="O1:X4" totalsRowShown="0">
  <autoFilter ref="O1:X4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name="Team"/>
    <tableColumn id="2" name="Committed" dataDxfId="106">
      <calculatedColumnFormula>+P10-Table92431[[#This Row],[Blocked]]</calculatedColumnFormula>
    </tableColumn>
    <tableColumn id="3" name="Added">
      <calculatedColumnFormula>IF(ISERR(Q10),0,Q10)</calculatedColumnFormula>
    </tableColumn>
    <tableColumn id="4" name="Blocked" dataDxfId="105">
      <calculatedColumnFormula>IF(ISERR(R10),0,R10)</calculatedColumnFormula>
    </tableColumn>
    <tableColumn id="5" name="Completed" dataDxfId="104">
      <calculatedColumnFormula>+IF(ISERR(S14),0,S14)</calculatedColumnFormula>
    </tableColumn>
    <tableColumn id="6" name="Completion V _x000a_Committed" dataCellStyle="Percent">
      <calculatedColumnFormula>Table92431[[#This Row],[Completed]]/Table92431[[#This Row],[Committed]]</calculatedColumnFormula>
    </tableColumn>
    <tableColumn id="7" name="Overall _x000a_Completion" dataCellStyle="Percent">
      <calculatedColumnFormula>Table92431[[#This Row],[Completed]]/(Table92431[[#This Row],[Added]]+Table92431[[#This Row],[Committed]])</calculatedColumnFormula>
    </tableColumn>
    <tableColumn id="8" name=" "/>
    <tableColumn id="9" name="Committed _x000a_Completed" dataDxfId="103" dataCellStyle="Percent">
      <calculatedColumnFormula>IF(ISERR(P14),0,P14) &amp; "  (" &amp;TEXT(IF(ISERR(P14),0,P14)/Table92431[[#This Row],[Committed]],"#%") &amp; ")"</calculatedColumnFormula>
    </tableColumn>
    <tableColumn id="10" name="Added _x000a_Completed" dataDxfId="102">
      <calculatedColumnFormula>+IF(ISERR(Q14),0,Q14) &amp; " (" &amp; TEXT(S18, "#%") &amp; ")"</calculatedColumnFormula>
    </tableColumn>
  </tableColumns>
  <tableStyleInfo name="TableStyleMedium16 2" showFirstColumn="0" showLastColumn="0" showRowStripes="1" showColumnStripes="0"/>
</table>
</file>

<file path=xl/tables/table24.xml><?xml version="1.0" encoding="utf-8"?>
<table xmlns="http://schemas.openxmlformats.org/spreadsheetml/2006/main" id="17" name="T_02_12_18" displayName="T_02_12_18" ref="A1:J40" totalsRowShown="0" dataDxfId="99">
  <autoFilter ref="A1:J40"/>
  <sortState ref="A2:J37">
    <sortCondition ref="G2:G37"/>
    <sortCondition ref="A2:A37"/>
  </sortState>
  <tableColumns count="10">
    <tableColumn id="10" name="ID" dataDxfId="98">
      <calculatedColumnFormula>MID(B2,8,3)</calculatedColumnFormula>
    </tableColumn>
    <tableColumn id="1" name="Issue key" dataDxfId="97"/>
    <tableColumn id="3" name="Status" dataDxfId="96"/>
    <tableColumn id="4" name="Summary" dataDxfId="95"/>
    <tableColumn id="5" name="Story Points" dataDxfId="94"/>
    <tableColumn id="6" name="Assignee" dataDxfId="93"/>
    <tableColumn id="7" name="Project" dataDxfId="92">
      <calculatedColumnFormula>MID(B2,4,1)</calculatedColumnFormula>
    </tableColumn>
    <tableColumn id="8" name="Added After" dataDxfId="91"/>
    <tableColumn id="9" name="Prj Cmpt" dataDxfId="90" dataCellStyle="Normal"/>
    <tableColumn id="2" name=" " dataDxfId="89">
      <calculatedColumnFormula>IF(C2="Done", IF(I2&lt;&gt;"Y", "ERR",""),"")</calculatedColumnFormula>
    </tableColumn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id="18" name="Table219" displayName="Table219" ref="O9:S11" totalsRowShown="0">
  <autoFilter ref="O9:S11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Team"/>
    <tableColumn id="2" name="Commit"/>
    <tableColumn id="3" name="Added"/>
    <tableColumn id="5" name="Blocked" dataDxfId="88">
      <calculatedColumnFormula>GETPIVOTDATA("Story Points2",$L$7,"Status","Blocked","Project","U")</calculatedColumnFormula>
    </tableColumn>
    <tableColumn id="4" name="Total Story Points" dataDxfId="87">
      <calculatedColumnFormula>+IF(ISERR(Q10),0,Q10)+IF(ISERR(P10),0,P10)</calculatedColumnFormula>
    </tableColumn>
  </tableColumns>
  <tableStyleInfo name="TableStyleMedium3" showFirstColumn="1" showLastColumn="0" showRowStripes="1" showColumnStripes="0"/>
</table>
</file>

<file path=xl/tables/table26.xml><?xml version="1.0" encoding="utf-8"?>
<table xmlns="http://schemas.openxmlformats.org/spreadsheetml/2006/main" id="19" name="Table320" displayName="Table320" ref="O13:S15" totalsRowShown="0">
  <autoFilter ref="O13:S15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Done"/>
    <tableColumn id="2" name="Committed Done"/>
    <tableColumn id="3" name="Added Done"/>
    <tableColumn id="5" name=" "/>
    <tableColumn id="4" name="Total Done" dataDxfId="86">
      <calculatedColumnFormula>+IF(ISERR(Q14),0,Q14)+IF(ISERR(P14),0,P14)</calculatedColumnFormula>
    </tableColumn>
  </tableColumns>
  <tableStyleInfo name="TableStyleMedium6" showFirstColumn="1" showLastColumn="0" showRowStripes="1" showColumnStripes="0"/>
</table>
</file>

<file path=xl/tables/table27.xml><?xml version="1.0" encoding="utf-8"?>
<table xmlns="http://schemas.openxmlformats.org/spreadsheetml/2006/main" id="20" name="Table421" displayName="Table421" ref="O17:S19" totalsRowShown="0" dataDxfId="85" dataCellStyle="Percent">
  <autoFilter ref="O17:S19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Done"/>
    <tableColumn id="2" name="Total Done / Committed" dataDxfId="84" dataCellStyle="Percent">
      <calculatedColumnFormula>+S14/P10</calculatedColumnFormula>
    </tableColumn>
    <tableColumn id="3" name="Total Done / Overall" dataDxfId="83" dataCellStyle="Percent">
      <calculatedColumnFormula>+S14/S10</calculatedColumnFormula>
    </tableColumn>
    <tableColumn id="5" name="Committed Done" dataDxfId="82" dataCellStyle="Percent">
      <calculatedColumnFormula>+IF(ISERR(P14),0,P14)/IF(ISERR(P10),1,P10)</calculatedColumnFormula>
    </tableColumn>
    <tableColumn id="4" name="Added Done" dataDxfId="81" dataCellStyle="Percent">
      <calculatedColumnFormula>+IF(ISERR(Q14),0,Q14)/IF(ISERR(Q10),1,Q10)</calculatedColumnFormula>
    </tableColumn>
  </tableColumns>
  <tableStyleInfo name="TableStyleMedium6" showFirstColumn="1" showLastColumn="0" showRowStripes="1" showColumnStripes="0"/>
</table>
</file>

<file path=xl/tables/table28.xml><?xml version="1.0" encoding="utf-8"?>
<table xmlns="http://schemas.openxmlformats.org/spreadsheetml/2006/main" id="21" name="Table722" displayName="Table722" ref="O21:S23" totalsRowShown="0">
  <autoFilter ref="O21:S23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Prjtd"/>
    <tableColumn id="2" name="Committed Done" dataDxfId="80">
      <calculatedColumnFormula>GETPIVOTDATA("Added After",$L$38,"Project","A","Added After","Y")</calculatedColumnFormula>
    </tableColumn>
    <tableColumn id="3" name="Added Done" dataDxfId="79">
      <calculatedColumnFormula>GETPIVOTDATA("Added After",$L$38,"Project","A","Added After","N")</calculatedColumnFormula>
    </tableColumn>
    <tableColumn id="5" name="Commit Not Done" dataDxfId="78"/>
    <tableColumn id="4" name="Prj Story Points" dataDxfId="77">
      <calculatedColumnFormula>+IF(ISERR(Q22),0,Q22)+IF(ISERR(P22),0,P22)</calculatedColumnFormula>
    </tableColumn>
  </tableColumns>
  <tableStyleInfo name="TableStyleMedium21" showFirstColumn="0" showLastColumn="0" showRowStripes="1" showColumnStripes="0"/>
</table>
</file>

<file path=xl/tables/table29.xml><?xml version="1.0" encoding="utf-8"?>
<table xmlns="http://schemas.openxmlformats.org/spreadsheetml/2006/main" id="22" name="Table823" displayName="Table823" ref="O25:S27" totalsRowShown="0" dataDxfId="76" dataCellStyle="Percent">
  <autoFilter ref="O25:S27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Prjtd"/>
    <tableColumn id="2" name="Total Done / Committed" dataDxfId="75" dataCellStyle="Percent">
      <calculatedColumnFormula>IF(ISERR(S22),0,S22)/IF(ISERR(P10), 1,P10)</calculatedColumnFormula>
    </tableColumn>
    <tableColumn id="3" name="Total Done / Overall" dataDxfId="74" dataCellStyle="Percent">
      <calculatedColumnFormula>IF(ISERR(S22),0,S22)/IF(ISERR(S10),1,S10)</calculatedColumnFormula>
    </tableColumn>
    <tableColumn id="5" name="Committed Done" dataDxfId="73" dataCellStyle="Percent">
      <calculatedColumnFormula>+IF(ISERR(P22),0,P22)/IF(ISERR(P10),1,P10)</calculatedColumnFormula>
    </tableColumn>
    <tableColumn id="4" name="Prj Added Done" dataDxfId="72" dataCellStyle="Percent">
      <calculatedColumnFormula>+IF(ISERR(Q22),0,Q22)/IF(ISERR(Q10),1,Q10)</calculatedColumnFormula>
    </tableColumn>
  </tableColumns>
  <tableStyleInfo name="TableStyleMedium21" showFirstColumn="0" showLastColumn="0" showRowStripes="1" showColumnStripes="0"/>
</table>
</file>

<file path=xl/tables/table30.xml><?xml version="1.0" encoding="utf-8"?>
<table xmlns="http://schemas.openxmlformats.org/spreadsheetml/2006/main" id="23" name="Table924" displayName="Table924" ref="O1:X4" totalsRowShown="0">
  <autoFilter ref="O1:X4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name="Team"/>
    <tableColumn id="2" name="Committed" dataDxfId="71">
      <calculatedColumnFormula>+P10-Table924[[#This Row],[Blocked]]</calculatedColumnFormula>
    </tableColumn>
    <tableColumn id="3" name="Added">
      <calculatedColumnFormula>IF(ISERR(Q10),0,Q10)</calculatedColumnFormula>
    </tableColumn>
    <tableColumn id="4" name="Blocked" dataDxfId="70">
      <calculatedColumnFormula>IF(ISERR(R10),0,R10)</calculatedColumnFormula>
    </tableColumn>
    <tableColumn id="5" name="Completed" dataDxfId="69">
      <calculatedColumnFormula>+IF(ISERR(S14),0,S14)</calculatedColumnFormula>
    </tableColumn>
    <tableColumn id="6" name="Completion V _x000a_Committed" dataCellStyle="Percent">
      <calculatedColumnFormula>Table924[[#This Row],[Completed]]/Table924[[#This Row],[Committed]]</calculatedColumnFormula>
    </tableColumn>
    <tableColumn id="7" name="Overall _x000a_Completion" dataCellStyle="Percent">
      <calculatedColumnFormula>Table924[[#This Row],[Completed]]/(Table924[[#This Row],[Added]]+Table924[[#This Row],[Committed]])</calculatedColumnFormula>
    </tableColumn>
    <tableColumn id="8" name=" "/>
    <tableColumn id="9" name="Committed _x000a_Completed" dataDxfId="68" dataCellStyle="Percent">
      <calculatedColumnFormula>IF(ISERR(P14),0,P14) &amp; "  (" &amp;TEXT(IF(ISERR(P14),0,P14)/Table924[[#This Row],[Committed]],"#%") &amp; ")"</calculatedColumnFormula>
    </tableColumn>
    <tableColumn id="10" name="Added _x000a_Completed" dataDxfId="67">
      <calculatedColumnFormula>+IF(ISERR(Q14),0,Q14) &amp; " (" &amp; TEXT(S18, "#%") &amp; ")"</calculatedColumnFormula>
    </tableColumn>
  </tableColumns>
  <tableStyleInfo name="TableStyleMedium16 2" showFirstColumn="0" showLastColumn="0" showRowStripes="1" showColumnStripes="0"/>
</table>
</file>

<file path=xl/tables/table31.xml><?xml version="1.0" encoding="utf-8"?>
<table xmlns="http://schemas.openxmlformats.org/spreadsheetml/2006/main" id="3" name="Table1" displayName="Table1" ref="A1:J35" totalsRowShown="0" dataDxfId="64">
  <autoFilter ref="A1:J35"/>
  <sortState ref="A2:J34">
    <sortCondition ref="G2:G34"/>
    <sortCondition ref="A2:A34"/>
  </sortState>
  <tableColumns count="10">
    <tableColumn id="10" name="ID" dataDxfId="63">
      <calculatedColumnFormula>MID(B2,8,3)</calculatedColumnFormula>
    </tableColumn>
    <tableColumn id="1" name="Issue key" dataDxfId="62"/>
    <tableColumn id="3" name="Status" dataDxfId="61"/>
    <tableColumn id="4" name="Summary" dataDxfId="60"/>
    <tableColumn id="5" name="Story Points" dataDxfId="59"/>
    <tableColumn id="6" name="Assignee" dataDxfId="58"/>
    <tableColumn id="7" name="Project" dataDxfId="57">
      <calculatedColumnFormula>MID(B2,4,1)</calculatedColumnFormula>
    </tableColumn>
    <tableColumn id="8" name="Added After" dataDxfId="56"/>
    <tableColumn id="9" name="Prj Cmpt" dataDxfId="55"/>
    <tableColumn id="2" name=" " dataDxfId="54">
      <calculatedColumnFormula>IF(C2="Done", IF(I2&lt;&gt;"Y", "ERR",""),"")</calculatedColumnFormula>
    </tableColumn>
  </tableColumns>
  <tableStyleInfo name="TableStyleLight1" showFirstColumn="0" showLastColumn="0" showRowStripes="1" showColumnStripes="0"/>
</table>
</file>

<file path=xl/tables/table32.xml><?xml version="1.0" encoding="utf-8"?>
<table xmlns="http://schemas.openxmlformats.org/spreadsheetml/2006/main" id="4" name="Table2" displayName="Table2" ref="O8:S10" totalsRowShown="0">
  <autoFilter ref="O8:S10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Team"/>
    <tableColumn id="2" name="Commit"/>
    <tableColumn id="3" name="Added"/>
    <tableColumn id="5" name="Blocked" dataDxfId="53">
      <calculatedColumnFormula>GETPIVOTDATA("Story Points2",$L$7,"Status","Blocked","Project","U")</calculatedColumnFormula>
    </tableColumn>
    <tableColumn id="4" name="Total Story Points" dataDxfId="52">
      <calculatedColumnFormula>+IF(ISERR(Q9),0,Q9)+IF(ISERR(P9),0,P9)</calculatedColumnFormula>
    </tableColumn>
  </tableColumns>
  <tableStyleInfo name="TableStyleMedium3" showFirstColumn="1" showLastColumn="0" showRowStripes="1" showColumnStripes="0"/>
</table>
</file>

<file path=xl/tables/table33.xml><?xml version="1.0" encoding="utf-8"?>
<table xmlns="http://schemas.openxmlformats.org/spreadsheetml/2006/main" id="5" name="Table3" displayName="Table3" ref="O12:S14" totalsRowShown="0">
  <autoFilter ref="O12:S14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Done"/>
    <tableColumn id="2" name="Committed Done"/>
    <tableColumn id="3" name="Added Done"/>
    <tableColumn id="5" name=" "/>
    <tableColumn id="4" name="Total Done" dataDxfId="51">
      <calculatedColumnFormula>+IF(ISERR(Q13),0,Q13)+IF(ISERR(P13),0,P13)</calculatedColumnFormula>
    </tableColumn>
  </tableColumns>
  <tableStyleInfo name="TableStyleMedium6" showFirstColumn="1" showLastColumn="0" showRowStripes="1" showColumnStripes="0"/>
</table>
</file>

<file path=xl/tables/table34.xml><?xml version="1.0" encoding="utf-8"?>
<table xmlns="http://schemas.openxmlformats.org/spreadsheetml/2006/main" id="6" name="Table4" displayName="Table4" ref="O16:S18" totalsRowShown="0" dataDxfId="50" dataCellStyle="Percent">
  <autoFilter ref="O16:S18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Done"/>
    <tableColumn id="2" name="Total Done / Committed" dataDxfId="49" dataCellStyle="Percent">
      <calculatedColumnFormula>+S13/P9</calculatedColumnFormula>
    </tableColumn>
    <tableColumn id="3" name="Total Done / Overall" dataDxfId="48" dataCellStyle="Percent">
      <calculatedColumnFormula>+S13/S9</calculatedColumnFormula>
    </tableColumn>
    <tableColumn id="5" name="Committed Done" dataDxfId="47" dataCellStyle="Percent">
      <calculatedColumnFormula>+IF(ISERR(P13),0,P13)/IF(ISERR(P9),1,P9)</calculatedColumnFormula>
    </tableColumn>
    <tableColumn id="4" name="Added Done" dataDxfId="46" dataCellStyle="Percent">
      <calculatedColumnFormula>+IF(ISERR(Q13),0,Q13)/IF(ISERR(Q9),1,Q9)</calculatedColumnFormula>
    </tableColumn>
  </tableColumns>
  <tableStyleInfo name="TableStyleMedium6" showFirstColumn="1" showLastColumn="0" showRowStripes="1" showColumnStripes="0"/>
</table>
</file>

<file path=xl/tables/table35.xml><?xml version="1.0" encoding="utf-8"?>
<table xmlns="http://schemas.openxmlformats.org/spreadsheetml/2006/main" id="7" name="Table7" displayName="Table7" ref="O20:S22" totalsRowShown="0">
  <autoFilter ref="O20:S22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Prjtd"/>
    <tableColumn id="2" name="Committed Done" dataDxfId="45">
      <calculatedColumnFormula>GETPIVOTDATA("Added After",$L$38,"Project","A","Added After","Y")</calculatedColumnFormula>
    </tableColumn>
    <tableColumn id="3" name="Added Done" dataDxfId="44">
      <calculatedColumnFormula>GETPIVOTDATA("Added After",$L$38,"Project","A","Added After","N")</calculatedColumnFormula>
    </tableColumn>
    <tableColumn id="5" name="Commit Not Done" dataDxfId="43"/>
    <tableColumn id="4" name="Prj Story Points" dataDxfId="42">
      <calculatedColumnFormula>+IF(ISERR(Q21),0,Q21)+IF(ISERR(P21),0,P21)</calculatedColumnFormula>
    </tableColumn>
  </tableColumns>
  <tableStyleInfo name="TableStyleMedium21" showFirstColumn="0" showLastColumn="0" showRowStripes="1" showColumnStripes="0"/>
</table>
</file>

<file path=xl/tables/table36.xml><?xml version="1.0" encoding="utf-8"?>
<table xmlns="http://schemas.openxmlformats.org/spreadsheetml/2006/main" id="8" name="Table8" displayName="Table8" ref="O24:S26" totalsRowShown="0" dataDxfId="41" dataCellStyle="Percent">
  <autoFilter ref="O24:S26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Prjtd"/>
    <tableColumn id="2" name="Total Done / Committed" dataDxfId="40" dataCellStyle="Percent">
      <calculatedColumnFormula>IF(ISERR(S21),0,S21)/IF(ISERR(P9), 1,P9)</calculatedColumnFormula>
    </tableColumn>
    <tableColumn id="3" name="Total Done / Overall" dataDxfId="39" dataCellStyle="Percent">
      <calculatedColumnFormula>IF(ISERR(S21),0,S21)/IF(ISERR(S9),1,S9)</calculatedColumnFormula>
    </tableColumn>
    <tableColumn id="5" name="Committed Done" dataDxfId="38" dataCellStyle="Percent">
      <calculatedColumnFormula>+IF(ISERR(P21),0,P21)/IF(ISERR(P9),1,P9)</calculatedColumnFormula>
    </tableColumn>
    <tableColumn id="4" name="Prj Added Done" dataDxfId="37" dataCellStyle="Percent">
      <calculatedColumnFormula>+IF(ISERR(Q21),0,Q21)/IF(ISERR(Q9),1,Q9)</calculatedColumnFormula>
    </tableColumn>
  </tableColumns>
  <tableStyleInfo name="TableStyleMedium21" showFirstColumn="0" showLastColumn="0" showRowStripes="1" showColumnStripes="0"/>
</table>
</file>

<file path=xl/tables/table37.xml><?xml version="1.0" encoding="utf-8"?>
<table xmlns="http://schemas.openxmlformats.org/spreadsheetml/2006/main" id="9" name="Table9" displayName="Table9" ref="O1:X3" totalsRowShown="0">
  <autoFilter ref="O1:X3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name="Team"/>
    <tableColumn id="2" name="Committed" dataDxfId="36">
      <calculatedColumnFormula>+P9-Table9[[#This Row],[Blocked]]</calculatedColumnFormula>
    </tableColumn>
    <tableColumn id="3" name="Added">
      <calculatedColumnFormula>IF(ISERR(Q9),0,Q9)</calculatedColumnFormula>
    </tableColumn>
    <tableColumn id="4" name="Blocked" dataDxfId="35">
      <calculatedColumnFormula>IF(ISERR(R9),0,R9)</calculatedColumnFormula>
    </tableColumn>
    <tableColumn id="5" name="Completed" dataDxfId="34">
      <calculatedColumnFormula>+IF(ISERR(S13),0,S13)</calculatedColumnFormula>
    </tableColumn>
    <tableColumn id="6" name="Completion V _x000a_Committed" dataCellStyle="Percent">
      <calculatedColumnFormula>Table9[[#This Row],[Completed]]/Table9[[#This Row],[Committed]]</calculatedColumnFormula>
    </tableColumn>
    <tableColumn id="7" name="Overall _x000a_Completion" dataCellStyle="Percent">
      <calculatedColumnFormula>Table9[[#This Row],[Completed]]/(Table9[[#This Row],[Added]]+Table9[[#This Row],[Committed]])</calculatedColumnFormula>
    </tableColumn>
    <tableColumn id="8" name=" "/>
    <tableColumn id="9" name="Committed _x000a_Completed" dataDxfId="33" dataCellStyle="Percent">
      <calculatedColumnFormula>IF(ISERR(P13),0,P13) &amp; "  (" &amp;TEXT(IF(ISERR(P13),0,P13)/Table9[[#This Row],[Committed]],"#%") &amp; ")"</calculatedColumnFormula>
    </tableColumn>
    <tableColumn id="10" name="Added _x000a_Completed" dataDxfId="32">
      <calculatedColumnFormula>+IF(ISERR(Q13),0,Q13) &amp; " (" &amp; TEXT(S17, "#%") &amp; ")"</calculatedColumnFormula>
    </tableColumn>
  </tableColumns>
  <tableStyleInfo name="TableStyleMedium16 2" showFirstColumn="0" showLastColumn="0" showRowStripes="1" showColumnStripes="0"/>
</table>
</file>

<file path=xl/tables/table38.xml><?xml version="1.0" encoding="utf-8"?>
<table xmlns="http://schemas.openxmlformats.org/spreadsheetml/2006/main" id="10" name="Table111" displayName="Table111" ref="A1:I34" totalsRowShown="0" dataDxfId="31">
  <autoFilter ref="A1:I34"/>
  <sortState ref="A2:I34">
    <sortCondition ref="A1:A34"/>
  </sortState>
  <tableColumns count="9">
    <tableColumn id="1" name="Issue key" dataDxfId="30"/>
    <tableColumn id="3" name="Status" dataDxfId="29"/>
    <tableColumn id="4" name="Summary" dataDxfId="28"/>
    <tableColumn id="5" name="Story Points" dataDxfId="27"/>
    <tableColumn id="6" name="Assignee" dataDxfId="26"/>
    <tableColumn id="7" name="Project" dataDxfId="25">
      <calculatedColumnFormula>MID(A2,4,1)</calculatedColumnFormula>
    </tableColumn>
    <tableColumn id="8" name="Added After" dataDxfId="24"/>
    <tableColumn id="9" name="Prj Cmpt" dataDxfId="23"/>
    <tableColumn id="2" name=" " dataDxfId="22">
      <calculatedColumnFormula>IF(B2="Done", IF(H2&lt;&gt;"Y", "ERR",""),"")</calculatedColumnFormula>
    </tableColumn>
  </tableColumns>
  <tableStyleInfo name="TableStyleLight1" showFirstColumn="0" showLastColumn="0" showRowStripes="1" showColumnStripes="0"/>
</table>
</file>

<file path=xl/tables/table39.xml><?xml version="1.0" encoding="utf-8"?>
<table xmlns="http://schemas.openxmlformats.org/spreadsheetml/2006/main" id="11" name="Table212" displayName="Table212" ref="N12:R14" totalsRowShown="0">
  <autoFilter ref="N12:R14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Team"/>
    <tableColumn id="2" name="Commit"/>
    <tableColumn id="3" name="Added"/>
    <tableColumn id="5" name="Blocked" dataDxfId="21">
      <calculatedColumnFormula>GETPIVOTDATA("Story Points2",$K$11,"Status","Blocked","Project","U")</calculatedColumnFormula>
    </tableColumn>
    <tableColumn id="4" name="Total Story Points" dataDxfId="20">
      <calculatedColumnFormula>+IF(ISERR(P13),0,P13)+IF(ISERR(O13),0,O13)</calculatedColumnFormula>
    </tableColumn>
  </tableColumns>
  <tableStyleInfo name="TableStyleMedium3" showFirstColumn="1" showLastColumn="0" showRowStripes="1" showColumnStripes="0"/>
</table>
</file>

<file path=xl/tables/table40.xml><?xml version="1.0" encoding="utf-8"?>
<table xmlns="http://schemas.openxmlformats.org/spreadsheetml/2006/main" id="12" name="Table313" displayName="Table313" ref="N16:R18" totalsRowShown="0">
  <autoFilter ref="N16:R18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Done"/>
    <tableColumn id="2" name="Committed Done"/>
    <tableColumn id="3" name="Added Done"/>
    <tableColumn id="5" name=" "/>
    <tableColumn id="4" name="Total Done" dataDxfId="19">
      <calculatedColumnFormula>+IF(ISERR(P17),0,P17)+IF(ISERR(O17),0,O17)</calculatedColumnFormula>
    </tableColumn>
  </tableColumns>
  <tableStyleInfo name="TableStyleMedium6" showFirstColumn="1" showLastColumn="0" showRowStripes="1" showColumnStripes="0"/>
</table>
</file>

<file path=xl/tables/table41.xml><?xml version="1.0" encoding="utf-8"?>
<table xmlns="http://schemas.openxmlformats.org/spreadsheetml/2006/main" id="13" name="Table414" displayName="Table414" ref="N20:R22" totalsRowShown="0" dataDxfId="18" dataCellStyle="Percent">
  <autoFilter ref="N20:R22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Done"/>
    <tableColumn id="2" name="Total Done / Committed" dataDxfId="17" dataCellStyle="Percent">
      <calculatedColumnFormula>+R17/O13</calculatedColumnFormula>
    </tableColumn>
    <tableColumn id="3" name="Total Done / Overall" dataDxfId="16" dataCellStyle="Percent">
      <calculatedColumnFormula>+IF(ISERR(R17),0,R17)/IF(ISERR(R13),1,R13)</calculatedColumnFormula>
    </tableColumn>
    <tableColumn id="5" name="Committed Done" dataDxfId="15" dataCellStyle="Percent">
      <calculatedColumnFormula>+IF(ISERR(O17),0,O17)/IF(ISERR(O13),1,O13)</calculatedColumnFormula>
    </tableColumn>
    <tableColumn id="4" name="Added Done" dataDxfId="14" dataCellStyle="Percent">
      <calculatedColumnFormula>+IF(ISERR(P17),0,P17)/IF(ISERR(P13),1,P13)</calculatedColumnFormula>
    </tableColumn>
  </tableColumns>
  <tableStyleInfo name="TableStyleMedium6" showFirstColumn="1" showLastColumn="0" showRowStripes="1" showColumnStripes="0"/>
</table>
</file>

<file path=xl/tables/table42.xml><?xml version="1.0" encoding="utf-8"?>
<table xmlns="http://schemas.openxmlformats.org/spreadsheetml/2006/main" id="14" name="Table715" displayName="Table715" ref="N24:R26" totalsRowShown="0">
  <autoFilter ref="N24:R26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Prjtd"/>
    <tableColumn id="2" name="Committed Done" dataDxfId="13">
      <calculatedColumnFormula>GETPIVOTDATA("Added After",$K$42,"Project","A","Added After","Y")</calculatedColumnFormula>
    </tableColumn>
    <tableColumn id="3" name="Added Done" dataDxfId="12">
      <calculatedColumnFormula>GETPIVOTDATA("Added After",$K$42,"Project","A","Added After","N")</calculatedColumnFormula>
    </tableColumn>
    <tableColumn id="5" name=" " dataDxfId="11"/>
    <tableColumn id="4" name="Prj Story Points" dataDxfId="10">
      <calculatedColumnFormula>+IF(ISERR(P25),0,P25)+IF(ISERR(O25),0,O25)</calculatedColumnFormula>
    </tableColumn>
  </tableColumns>
  <tableStyleInfo name="TableStyleMedium21" showFirstColumn="0" showLastColumn="0" showRowStripes="1" showColumnStripes="0"/>
</table>
</file>

<file path=xl/tables/table43.xml><?xml version="1.0" encoding="utf-8"?>
<table xmlns="http://schemas.openxmlformats.org/spreadsheetml/2006/main" id="15" name="Table816" displayName="Table816" ref="N28:R30" totalsRowShown="0" dataDxfId="9" dataCellStyle="Percent">
  <autoFilter ref="N28:R30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Prjtd"/>
    <tableColumn id="2" name="Total Done / Committed" dataDxfId="8" dataCellStyle="Percent">
      <calculatedColumnFormula>IF(ISERR(R25),0,R25)/IF(ISERR(O13), 1,O13)</calculatedColumnFormula>
    </tableColumn>
    <tableColumn id="3" name="Total Done / Overall" dataDxfId="7" dataCellStyle="Percent">
      <calculatedColumnFormula>IF(ISERR(R25),0,R25)/IF(ISERR(R13),1,R13)</calculatedColumnFormula>
    </tableColumn>
    <tableColumn id="5" name="Committed Done" dataDxfId="6" dataCellStyle="Percent">
      <calculatedColumnFormula>+IF(ISERR(O25),0,O25)/IF(ISERR(O13),1,O13)</calculatedColumnFormula>
    </tableColumn>
    <tableColumn id="4" name="Prj Added Done" dataDxfId="5" dataCellStyle="Percent">
      <calculatedColumnFormula>+IF(ISERR(P25),0,P25)/IF(ISERR(P13),1,P13)</calculatedColumnFormula>
    </tableColumn>
  </tableColumns>
  <tableStyleInfo name="TableStyleMedium21" showFirstColumn="0" showLastColumn="0" showRowStripes="1" showColumnStripes="0"/>
</table>
</file>

<file path=xl/tables/table44.xml><?xml version="1.0" encoding="utf-8"?>
<table xmlns="http://schemas.openxmlformats.org/spreadsheetml/2006/main" id="16" name="Table917" displayName="Table917" ref="N1:W3" totalsRowShown="0">
  <autoFilter ref="N1:W3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name="Team"/>
    <tableColumn id="2" name="Committed" dataDxfId="4">
      <calculatedColumnFormula>+O13-Table917[[#This Row],[Blocked]]</calculatedColumnFormula>
    </tableColumn>
    <tableColumn id="3" name="Added">
      <calculatedColumnFormula>IF(ISERR(P13),0,P13)</calculatedColumnFormula>
    </tableColumn>
    <tableColumn id="4" name="Blocked" dataDxfId="3">
      <calculatedColumnFormula>IF(ISERR(Q13),0,Q13)</calculatedColumnFormula>
    </tableColumn>
    <tableColumn id="5" name="Completed" dataDxfId="2">
      <calculatedColumnFormula>+IF(ISERR(R17),0,R17)</calculatedColumnFormula>
    </tableColumn>
    <tableColumn id="6" name="Completion V _x000a_Committed" dataCellStyle="Percent">
      <calculatedColumnFormula>Table917[[#This Row],[Completed]]/Table917[[#This Row],[Committed]]</calculatedColumnFormula>
    </tableColumn>
    <tableColumn id="7" name="Overall _x000a_Completion" dataCellStyle="Percent">
      <calculatedColumnFormula>Table917[[#This Row],[Completed]]/(Table917[[#This Row],[Added]]+Table917[[#This Row],[Committed]])</calculatedColumnFormula>
    </tableColumn>
    <tableColumn id="8" name=" "/>
    <tableColumn id="9" name="Committed _x000a_Completed" dataDxfId="1" dataCellStyle="Percent">
      <calculatedColumnFormula>IF(ISERR(O17),0,O17) &amp; "  (" &amp;TEXT(IF(ISERR(O17),0,O17)/Table917[[#This Row],[Committed]],"#%") &amp; ")"</calculatedColumnFormula>
    </tableColumn>
    <tableColumn id="10" name="Added _x000a_Completed" dataDxfId="0">
      <calculatedColumnFormula>+IF(ISERR(P17),0,P17) &amp; " (" &amp; TEXT(R21, "#%") &amp; ")"</calculatedColumnFormula>
    </tableColumn>
  </tableColumns>
  <tableStyleInfo name="TableStyleMedium16 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13" Type="http://schemas.openxmlformats.org/officeDocument/2006/relationships/table" Target="../tables/table8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7.xml"/><Relationship Id="rId12" Type="http://schemas.openxmlformats.org/officeDocument/2006/relationships/table" Target="../tables/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3.vml"/><Relationship Id="rId11" Type="http://schemas.openxmlformats.org/officeDocument/2006/relationships/table" Target="../tables/table6.xml"/><Relationship Id="rId5" Type="http://schemas.openxmlformats.org/officeDocument/2006/relationships/drawing" Target="../drawings/drawing3.xml"/><Relationship Id="rId10" Type="http://schemas.openxmlformats.org/officeDocument/2006/relationships/table" Target="../tables/table5.xml"/><Relationship Id="rId4" Type="http://schemas.openxmlformats.org/officeDocument/2006/relationships/printerSettings" Target="../printerSettings/printerSettings3.bin"/><Relationship Id="rId9" Type="http://schemas.openxmlformats.org/officeDocument/2006/relationships/table" Target="../tables/table4.xml"/><Relationship Id="rId14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13" Type="http://schemas.openxmlformats.org/officeDocument/2006/relationships/table" Target="../tables/table15.xml"/><Relationship Id="rId3" Type="http://schemas.openxmlformats.org/officeDocument/2006/relationships/pivotTable" Target="../pivotTables/pivotTable6.xml"/><Relationship Id="rId7" Type="http://schemas.openxmlformats.org/officeDocument/2006/relationships/ctrlProp" Target="../ctrlProps/ctrlProp8.xml"/><Relationship Id="rId12" Type="http://schemas.openxmlformats.org/officeDocument/2006/relationships/table" Target="../tables/table14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6" Type="http://schemas.openxmlformats.org/officeDocument/2006/relationships/vmlDrawing" Target="../drawings/vmlDrawing4.vml"/><Relationship Id="rId11" Type="http://schemas.openxmlformats.org/officeDocument/2006/relationships/table" Target="../tables/table13.xml"/><Relationship Id="rId5" Type="http://schemas.openxmlformats.org/officeDocument/2006/relationships/drawing" Target="../drawings/drawing4.xml"/><Relationship Id="rId10" Type="http://schemas.openxmlformats.org/officeDocument/2006/relationships/table" Target="../tables/table12.xml"/><Relationship Id="rId4" Type="http://schemas.openxmlformats.org/officeDocument/2006/relationships/printerSettings" Target="../printerSettings/printerSettings4.bin"/><Relationship Id="rId9" Type="http://schemas.openxmlformats.org/officeDocument/2006/relationships/table" Target="../tables/table11.xml"/><Relationship Id="rId14" Type="http://schemas.openxmlformats.org/officeDocument/2006/relationships/table" Target="../tables/table1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13" Type="http://schemas.openxmlformats.org/officeDocument/2006/relationships/table" Target="../tables/table22.xml"/><Relationship Id="rId3" Type="http://schemas.openxmlformats.org/officeDocument/2006/relationships/pivotTable" Target="../pivotTables/pivotTable9.xml"/><Relationship Id="rId7" Type="http://schemas.openxmlformats.org/officeDocument/2006/relationships/ctrlProp" Target="../ctrlProps/ctrlProp9.xml"/><Relationship Id="rId12" Type="http://schemas.openxmlformats.org/officeDocument/2006/relationships/table" Target="../tables/table21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6" Type="http://schemas.openxmlformats.org/officeDocument/2006/relationships/vmlDrawing" Target="../drawings/vmlDrawing5.vml"/><Relationship Id="rId11" Type="http://schemas.openxmlformats.org/officeDocument/2006/relationships/table" Target="../tables/table20.xml"/><Relationship Id="rId5" Type="http://schemas.openxmlformats.org/officeDocument/2006/relationships/drawing" Target="../drawings/drawing5.xml"/><Relationship Id="rId10" Type="http://schemas.openxmlformats.org/officeDocument/2006/relationships/table" Target="../tables/table19.xml"/><Relationship Id="rId4" Type="http://schemas.openxmlformats.org/officeDocument/2006/relationships/printerSettings" Target="../printerSettings/printerSettings5.bin"/><Relationship Id="rId9" Type="http://schemas.openxmlformats.org/officeDocument/2006/relationships/table" Target="../tables/table18.xml"/><Relationship Id="rId14" Type="http://schemas.openxmlformats.org/officeDocument/2006/relationships/table" Target="../tables/table2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4.xml"/><Relationship Id="rId13" Type="http://schemas.openxmlformats.org/officeDocument/2006/relationships/table" Target="../tables/table29.xml"/><Relationship Id="rId3" Type="http://schemas.openxmlformats.org/officeDocument/2006/relationships/pivotTable" Target="../pivotTables/pivotTable12.xml"/><Relationship Id="rId7" Type="http://schemas.openxmlformats.org/officeDocument/2006/relationships/ctrlProp" Target="../ctrlProps/ctrlProp10.xml"/><Relationship Id="rId12" Type="http://schemas.openxmlformats.org/officeDocument/2006/relationships/table" Target="../tables/table28.xml"/><Relationship Id="rId2" Type="http://schemas.openxmlformats.org/officeDocument/2006/relationships/pivotTable" Target="../pivotTables/pivotTable11.xml"/><Relationship Id="rId1" Type="http://schemas.openxmlformats.org/officeDocument/2006/relationships/pivotTable" Target="../pivotTables/pivotTable10.xml"/><Relationship Id="rId6" Type="http://schemas.openxmlformats.org/officeDocument/2006/relationships/vmlDrawing" Target="../drawings/vmlDrawing6.vml"/><Relationship Id="rId11" Type="http://schemas.openxmlformats.org/officeDocument/2006/relationships/table" Target="../tables/table27.xml"/><Relationship Id="rId5" Type="http://schemas.openxmlformats.org/officeDocument/2006/relationships/drawing" Target="../drawings/drawing6.xml"/><Relationship Id="rId10" Type="http://schemas.openxmlformats.org/officeDocument/2006/relationships/table" Target="../tables/table26.xml"/><Relationship Id="rId4" Type="http://schemas.openxmlformats.org/officeDocument/2006/relationships/printerSettings" Target="../printerSettings/printerSettings6.bin"/><Relationship Id="rId9" Type="http://schemas.openxmlformats.org/officeDocument/2006/relationships/table" Target="../tables/table25.xml"/><Relationship Id="rId14" Type="http://schemas.openxmlformats.org/officeDocument/2006/relationships/table" Target="../tables/table3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1.xml"/><Relationship Id="rId13" Type="http://schemas.openxmlformats.org/officeDocument/2006/relationships/table" Target="../tables/table36.xml"/><Relationship Id="rId3" Type="http://schemas.openxmlformats.org/officeDocument/2006/relationships/pivotTable" Target="../pivotTables/pivotTable15.xml"/><Relationship Id="rId7" Type="http://schemas.openxmlformats.org/officeDocument/2006/relationships/ctrlProp" Target="../ctrlProps/ctrlProp11.xml"/><Relationship Id="rId12" Type="http://schemas.openxmlformats.org/officeDocument/2006/relationships/table" Target="../tables/table35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Relationship Id="rId6" Type="http://schemas.openxmlformats.org/officeDocument/2006/relationships/vmlDrawing" Target="../drawings/vmlDrawing7.vml"/><Relationship Id="rId11" Type="http://schemas.openxmlformats.org/officeDocument/2006/relationships/table" Target="../tables/table34.xml"/><Relationship Id="rId5" Type="http://schemas.openxmlformats.org/officeDocument/2006/relationships/drawing" Target="../drawings/drawing7.xml"/><Relationship Id="rId10" Type="http://schemas.openxmlformats.org/officeDocument/2006/relationships/table" Target="../tables/table33.xml"/><Relationship Id="rId4" Type="http://schemas.openxmlformats.org/officeDocument/2006/relationships/printerSettings" Target="../printerSettings/printerSettings7.bin"/><Relationship Id="rId9" Type="http://schemas.openxmlformats.org/officeDocument/2006/relationships/table" Target="../tables/table32.xml"/><Relationship Id="rId14" Type="http://schemas.openxmlformats.org/officeDocument/2006/relationships/table" Target="../tables/table3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8.xml"/><Relationship Id="rId13" Type="http://schemas.openxmlformats.org/officeDocument/2006/relationships/table" Target="../tables/table43.xml"/><Relationship Id="rId3" Type="http://schemas.openxmlformats.org/officeDocument/2006/relationships/pivotTable" Target="../pivotTables/pivotTable18.xml"/><Relationship Id="rId7" Type="http://schemas.openxmlformats.org/officeDocument/2006/relationships/ctrlProp" Target="../ctrlProps/ctrlProp12.xml"/><Relationship Id="rId12" Type="http://schemas.openxmlformats.org/officeDocument/2006/relationships/table" Target="../tables/table42.xml"/><Relationship Id="rId2" Type="http://schemas.openxmlformats.org/officeDocument/2006/relationships/pivotTable" Target="../pivotTables/pivotTable17.xml"/><Relationship Id="rId1" Type="http://schemas.openxmlformats.org/officeDocument/2006/relationships/pivotTable" Target="../pivotTables/pivotTable16.xml"/><Relationship Id="rId6" Type="http://schemas.openxmlformats.org/officeDocument/2006/relationships/vmlDrawing" Target="../drawings/vmlDrawing8.vml"/><Relationship Id="rId11" Type="http://schemas.openxmlformats.org/officeDocument/2006/relationships/table" Target="../tables/table41.xml"/><Relationship Id="rId5" Type="http://schemas.openxmlformats.org/officeDocument/2006/relationships/drawing" Target="../drawings/drawing8.xml"/><Relationship Id="rId10" Type="http://schemas.openxmlformats.org/officeDocument/2006/relationships/table" Target="../tables/table40.xml"/><Relationship Id="rId4" Type="http://schemas.openxmlformats.org/officeDocument/2006/relationships/printerSettings" Target="../printerSettings/printerSettings8.bin"/><Relationship Id="rId9" Type="http://schemas.openxmlformats.org/officeDocument/2006/relationships/table" Target="../tables/table39.xml"/><Relationship Id="rId14" Type="http://schemas.openxmlformats.org/officeDocument/2006/relationships/table" Target="../tables/table4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36"/>
  <sheetViews>
    <sheetView zoomScale="90" zoomScaleNormal="90" workbookViewId="0">
      <selection activeCell="F5" sqref="F5"/>
    </sheetView>
  </sheetViews>
  <sheetFormatPr defaultRowHeight="15" x14ac:dyDescent="0.25"/>
  <cols>
    <col min="2" max="2" width="9.7109375" bestFit="1" customWidth="1"/>
    <col min="5" max="5" width="10" customWidth="1"/>
    <col min="6" max="6" width="11.42578125" customWidth="1"/>
    <col min="7" max="7" width="10" customWidth="1"/>
    <col min="8" max="8" width="10.28515625" bestFit="1" customWidth="1"/>
    <col min="9" max="9" width="11" customWidth="1"/>
  </cols>
  <sheetData>
    <row r="1" spans="1:26" ht="16.5" thickTop="1" thickBot="1" x14ac:dyDescent="0.3">
      <c r="F1" s="138" t="s">
        <v>13</v>
      </c>
      <c r="G1" s="139"/>
      <c r="H1" s="140"/>
      <c r="L1" s="13"/>
      <c r="M1" s="13"/>
      <c r="N1" s="13"/>
      <c r="O1" s="13"/>
      <c r="P1" s="13"/>
      <c r="Q1" s="13"/>
      <c r="R1" s="13"/>
      <c r="S1" s="13"/>
      <c r="T1" s="13"/>
    </row>
    <row r="2" spans="1:26" ht="15" customHeight="1" thickBot="1" x14ac:dyDescent="0.3">
      <c r="C2" s="133" t="s">
        <v>10</v>
      </c>
      <c r="D2" s="134"/>
      <c r="E2" s="135"/>
      <c r="F2" s="136" t="s">
        <v>0</v>
      </c>
      <c r="G2" s="137"/>
      <c r="H2" s="137"/>
      <c r="I2" s="137"/>
      <c r="J2" s="137"/>
      <c r="L2" s="13"/>
      <c r="M2" s="13"/>
      <c r="N2" s="32"/>
      <c r="O2" s="32"/>
      <c r="P2" s="32">
        <v>1.1818181818181819</v>
      </c>
      <c r="Q2" s="32"/>
      <c r="R2" s="32"/>
      <c r="S2" s="13"/>
      <c r="T2" s="13"/>
    </row>
    <row r="3" spans="1:26" ht="15.75" thickBot="1" x14ac:dyDescent="0.3">
      <c r="B3" s="5"/>
      <c r="C3" s="61" t="str">
        <f>Entirety_Label</f>
        <v>Beginning</v>
      </c>
      <c r="D3" s="62" t="str">
        <f>Last3Period_Label</f>
        <v>Last 3</v>
      </c>
      <c r="E3" s="63" t="str">
        <f>Last6Period_Label</f>
        <v>Last 6</v>
      </c>
      <c r="F3" s="82" t="s">
        <v>146</v>
      </c>
      <c r="G3" s="83" t="s">
        <v>147</v>
      </c>
      <c r="H3" s="83" t="s">
        <v>55</v>
      </c>
      <c r="I3" s="83" t="s">
        <v>51</v>
      </c>
      <c r="J3" s="101" t="s">
        <v>52</v>
      </c>
      <c r="K3" s="101" t="s">
        <v>53</v>
      </c>
      <c r="L3" s="101" t="s">
        <v>54</v>
      </c>
      <c r="M3" s="107" t="s">
        <v>238</v>
      </c>
      <c r="N3" s="101" t="s">
        <v>312</v>
      </c>
      <c r="O3" s="129" t="s">
        <v>372</v>
      </c>
      <c r="P3" s="101" t="s">
        <v>534</v>
      </c>
      <c r="S3" s="13"/>
      <c r="T3" s="32"/>
      <c r="U3" s="32"/>
      <c r="V3" s="32"/>
      <c r="W3" s="32"/>
      <c r="X3" s="32"/>
      <c r="Y3" s="13"/>
      <c r="Z3" s="13"/>
    </row>
    <row r="4" spans="1:26" s="3" customFormat="1" ht="12.6" customHeight="1" thickTop="1" thickBot="1" x14ac:dyDescent="0.3">
      <c r="A4" s="3" t="s">
        <v>14</v>
      </c>
      <c r="B4" s="6" t="s">
        <v>1</v>
      </c>
      <c r="C4" s="7">
        <f>C12</f>
        <v>93.454545454545453</v>
      </c>
      <c r="D4" s="4">
        <f>C17</f>
        <v>106.66666666666667</v>
      </c>
      <c r="E4" s="4">
        <f>C22</f>
        <v>101.5</v>
      </c>
      <c r="F4" s="66">
        <f>SUM(F5:F6)</f>
        <v>105</v>
      </c>
      <c r="G4" s="67">
        <f>SUM(G5:G6)</f>
        <v>77</v>
      </c>
      <c r="H4" s="67">
        <f>SUM(H5:H6)</f>
        <v>88</v>
      </c>
      <c r="I4" s="68">
        <f>SUM(I5:I6)</f>
        <v>72</v>
      </c>
      <c r="J4" s="68">
        <f t="shared" ref="J4" si="0">SUM(J5:J6)</f>
        <v>77</v>
      </c>
      <c r="K4" s="68">
        <f t="shared" ref="K4" si="1">SUM(K5:K6)</f>
        <v>91</v>
      </c>
      <c r="L4" s="68">
        <f t="shared" ref="L4:P4" si="2">SUM(L5:L6)</f>
        <v>120</v>
      </c>
      <c r="M4" s="68">
        <f t="shared" si="2"/>
        <v>78</v>
      </c>
      <c r="N4" s="68">
        <f t="shared" si="2"/>
        <v>110</v>
      </c>
      <c r="O4" s="68">
        <f t="shared" si="2"/>
        <v>103</v>
      </c>
      <c r="P4" s="68">
        <f t="shared" si="2"/>
        <v>107</v>
      </c>
      <c r="S4" s="39"/>
      <c r="T4" s="32"/>
      <c r="U4" s="32"/>
      <c r="V4" s="32"/>
      <c r="W4" s="32"/>
      <c r="X4" s="32"/>
      <c r="Y4" s="39"/>
      <c r="Z4" s="39"/>
    </row>
    <row r="5" spans="1:26" s="3" customFormat="1" ht="12.75" thickBot="1" x14ac:dyDescent="0.3">
      <c r="B5" s="6" t="s">
        <v>2</v>
      </c>
      <c r="C5" s="7">
        <f>C13</f>
        <v>40</v>
      </c>
      <c r="D5" s="4">
        <f>C18</f>
        <v>50.666666666666664</v>
      </c>
      <c r="E5" s="4">
        <f>C23</f>
        <v>47</v>
      </c>
      <c r="F5" s="64">
        <v>33</v>
      </c>
      <c r="G5" s="36">
        <v>37</v>
      </c>
      <c r="H5" s="36">
        <v>39</v>
      </c>
      <c r="I5" s="59">
        <v>26</v>
      </c>
      <c r="J5" s="70">
        <v>23</v>
      </c>
      <c r="K5" s="70">
        <v>48</v>
      </c>
      <c r="L5" s="70">
        <v>48</v>
      </c>
      <c r="M5" s="105">
        <v>34</v>
      </c>
      <c r="N5" s="70">
        <v>51</v>
      </c>
      <c r="O5" s="127">
        <v>49</v>
      </c>
      <c r="P5" s="70">
        <v>52</v>
      </c>
      <c r="S5" s="39"/>
      <c r="T5" s="39"/>
      <c r="U5" s="39"/>
      <c r="V5" s="39"/>
      <c r="W5" s="39"/>
      <c r="X5" s="39"/>
      <c r="Y5" s="39"/>
      <c r="Z5" s="39"/>
    </row>
    <row r="6" spans="1:26" s="3" customFormat="1" ht="12.75" thickBot="1" x14ac:dyDescent="0.3">
      <c r="B6" s="30" t="s">
        <v>3</v>
      </c>
      <c r="C6" s="8">
        <f>C14</f>
        <v>53.454545454545453</v>
      </c>
      <c r="D6" s="9">
        <f>C19</f>
        <v>56</v>
      </c>
      <c r="E6" s="9">
        <f>C24</f>
        <v>54.5</v>
      </c>
      <c r="F6" s="65">
        <v>72</v>
      </c>
      <c r="G6" s="37">
        <v>40</v>
      </c>
      <c r="H6" s="38">
        <v>49</v>
      </c>
      <c r="I6" s="60">
        <v>46</v>
      </c>
      <c r="J6" s="71">
        <v>54</v>
      </c>
      <c r="K6" s="71">
        <v>43</v>
      </c>
      <c r="L6" s="71">
        <v>72</v>
      </c>
      <c r="M6" s="106">
        <v>44</v>
      </c>
      <c r="N6" s="71">
        <v>59</v>
      </c>
      <c r="O6" s="128">
        <v>54</v>
      </c>
      <c r="P6" s="71">
        <v>55</v>
      </c>
      <c r="S6" s="39"/>
      <c r="T6" s="39"/>
      <c r="U6" s="39"/>
      <c r="V6" s="39"/>
      <c r="W6" s="39"/>
      <c r="X6" s="39"/>
      <c r="Y6" s="39"/>
      <c r="Z6" s="39"/>
    </row>
    <row r="7" spans="1:26" ht="15.75" thickBot="1" x14ac:dyDescent="0.3">
      <c r="B7" s="2"/>
      <c r="C7" s="141" t="s">
        <v>15</v>
      </c>
      <c r="D7" s="142"/>
      <c r="E7" s="143"/>
      <c r="F7" t="s">
        <v>11</v>
      </c>
    </row>
    <row r="8" spans="1:26" x14ac:dyDescent="0.25">
      <c r="B8" s="2"/>
      <c r="C8" s="2"/>
    </row>
    <row r="9" spans="1:26" ht="14.45" customHeight="1" x14ac:dyDescent="0.25"/>
    <row r="10" spans="1:26" ht="15.75" thickBot="1" x14ac:dyDescent="0.3"/>
    <row r="11" spans="1:26" ht="15.75" thickTop="1" x14ac:dyDescent="0.25">
      <c r="B11" s="28" t="s">
        <v>24</v>
      </c>
      <c r="C11" s="14" t="s">
        <v>5</v>
      </c>
      <c r="D11" s="14" t="s">
        <v>6</v>
      </c>
      <c r="E11" s="15" t="s">
        <v>4</v>
      </c>
      <c r="F11" s="15" t="s">
        <v>7</v>
      </c>
      <c r="G11" s="15"/>
      <c r="H11" s="15"/>
      <c r="I11" s="16"/>
    </row>
    <row r="12" spans="1:26" x14ac:dyDescent="0.25">
      <c r="B12" s="17" t="s">
        <v>1</v>
      </c>
      <c r="C12" s="10">
        <f>AVERAGE(Overall_Overall)</f>
        <v>93.454545454545453</v>
      </c>
      <c r="D12" s="10">
        <f>MEDIAN(Overall_Overall)</f>
        <v>91</v>
      </c>
      <c r="E12" s="11">
        <f>_xlfn.STDEV.P(Overall_Overall)</f>
        <v>15.558474080142929</v>
      </c>
      <c r="F12" s="12">
        <f>E12/SQRT(COUNT(Overall_Overall))</f>
        <v>4.6910564394821783</v>
      </c>
      <c r="G12" s="13"/>
      <c r="H12" s="13"/>
      <c r="I12" s="18"/>
    </row>
    <row r="13" spans="1:26" x14ac:dyDescent="0.25">
      <c r="A13" s="31"/>
      <c r="B13" s="17" t="s">
        <v>2</v>
      </c>
      <c r="C13" s="10">
        <f>AVERAGE(Overall_AIX)</f>
        <v>40</v>
      </c>
      <c r="D13" s="10">
        <f>MEDIAN(Overall_AIX)</f>
        <v>39</v>
      </c>
      <c r="E13" s="11">
        <f>_xlfn.STDEV.P(Overall_AIX)</f>
        <v>9.7886762035620425</v>
      </c>
      <c r="F13" s="12">
        <f>E13/SQRT(COUNT(Overall_AIX))</f>
        <v>2.9513969237723501</v>
      </c>
      <c r="G13" s="13"/>
      <c r="H13" s="13"/>
      <c r="I13" s="18"/>
    </row>
    <row r="14" spans="1:26" x14ac:dyDescent="0.25">
      <c r="A14" s="31"/>
      <c r="B14" s="17" t="s">
        <v>3</v>
      </c>
      <c r="C14" s="10">
        <f>AVERAGE(Overall_LINUX)</f>
        <v>53.454545454545453</v>
      </c>
      <c r="D14" s="10">
        <f>MEDIAN(Overall_LINUX)</f>
        <v>54</v>
      </c>
      <c r="E14" s="11">
        <f>_xlfn.STDEV.P(Overall_LINUX)</f>
        <v>10.342881929693013</v>
      </c>
      <c r="F14" s="12">
        <f>E14/SQRT(COUNT(Overall_LINUX))</f>
        <v>3.1184962374307945</v>
      </c>
      <c r="G14" s="13"/>
      <c r="H14" s="13"/>
      <c r="I14" s="18"/>
      <c r="J14" s="1"/>
    </row>
    <row r="15" spans="1:26" x14ac:dyDescent="0.25">
      <c r="A15" s="31"/>
      <c r="B15" s="23"/>
      <c r="C15" s="24"/>
      <c r="D15" s="24"/>
      <c r="E15" s="25"/>
      <c r="F15" s="26"/>
      <c r="G15" s="26"/>
      <c r="H15" s="26"/>
      <c r="I15" s="27"/>
    </row>
    <row r="16" spans="1:26" x14ac:dyDescent="0.25">
      <c r="A16" s="31"/>
      <c r="B16" s="29" t="str">
        <f xml:space="preserve"> "Last " &amp; COUNT(Period_3_AIX)</f>
        <v>Last 3</v>
      </c>
      <c r="C16" s="12" t="s">
        <v>5</v>
      </c>
      <c r="D16" s="12" t="s">
        <v>6</v>
      </c>
      <c r="E16" s="13" t="s">
        <v>4</v>
      </c>
      <c r="F16" s="13" t="s">
        <v>8</v>
      </c>
      <c r="G16" s="13" t="s">
        <v>9</v>
      </c>
      <c r="H16" s="13" t="s">
        <v>12</v>
      </c>
      <c r="I16" s="18"/>
      <c r="M16">
        <f>COUNT(Period_6_OverAll)</f>
        <v>6</v>
      </c>
    </row>
    <row r="17" spans="1:16" x14ac:dyDescent="0.25">
      <c r="B17" s="17" t="s">
        <v>1</v>
      </c>
      <c r="C17" s="10">
        <f>AVERAGE(Period_3_Overall)</f>
        <v>106.66666666666667</v>
      </c>
      <c r="D17" s="10">
        <f>MEDIAN(Period_3_Overall)</f>
        <v>107</v>
      </c>
      <c r="E17" s="11">
        <f>_xlfn.STDEV.P(Period_3_Overall)</f>
        <v>2.8674417556808756</v>
      </c>
      <c r="F17" s="12">
        <f t="shared" ref="F17:F19" si="3">ROUNDDOWN(D17-E17,0)</f>
        <v>104</v>
      </c>
      <c r="G17" s="12">
        <f>ROUNDUP(D17+E17,0)</f>
        <v>110</v>
      </c>
      <c r="H17" s="73">
        <f>(1-E17/D17)</f>
        <v>0.97320147891887032</v>
      </c>
      <c r="I17" s="18" t="str">
        <f>IF(H17&gt;=0.9,"High", IF(H17&gt;=0.75, "Medium", IF(H17&gt;=0.6, "Low","None")))</f>
        <v>High</v>
      </c>
    </row>
    <row r="18" spans="1:16" x14ac:dyDescent="0.25">
      <c r="A18" s="31"/>
      <c r="B18" s="17" t="s">
        <v>2</v>
      </c>
      <c r="C18" s="10">
        <f>AVERAGE(Period_3_AIX)</f>
        <v>50.666666666666664</v>
      </c>
      <c r="D18" s="10">
        <f>MEDIAN(Period_3_AIX)</f>
        <v>51</v>
      </c>
      <c r="E18" s="11">
        <f>_xlfn.STDEV.P(Period_3_AIX)</f>
        <v>1.247219128924647</v>
      </c>
      <c r="F18" s="12">
        <f t="shared" si="3"/>
        <v>49</v>
      </c>
      <c r="G18" s="12">
        <f t="shared" ref="G18:G19" si="4">ROUNDUP(D18+E18,0)</f>
        <v>53</v>
      </c>
      <c r="H18" s="73">
        <f t="shared" ref="H18:H19" si="5">(1-E18/D18)</f>
        <v>0.9755447229622618</v>
      </c>
      <c r="I18" s="18" t="str">
        <f>IF(H18&gt;=0.9,"High", IF(H18&gt;=0.75, "Medium", IF(H18&gt;=0.6, "Low","None")))</f>
        <v>High</v>
      </c>
    </row>
    <row r="19" spans="1:16" x14ac:dyDescent="0.25">
      <c r="A19" s="31"/>
      <c r="B19" s="17" t="s">
        <v>3</v>
      </c>
      <c r="C19" s="10">
        <f>AVERAGE(Period_3_LINUX)</f>
        <v>56</v>
      </c>
      <c r="D19" s="10">
        <f>MEDIAN(Period_3_LINUX)</f>
        <v>55</v>
      </c>
      <c r="E19" s="11">
        <f>_xlfn.STDEV.P(Period_3_LINUX)</f>
        <v>2.1602468994692869</v>
      </c>
      <c r="F19" s="12">
        <f t="shared" si="3"/>
        <v>52</v>
      </c>
      <c r="G19" s="12">
        <f t="shared" si="4"/>
        <v>58</v>
      </c>
      <c r="H19" s="73">
        <f t="shared" si="5"/>
        <v>0.96072278364601293</v>
      </c>
      <c r="I19" s="18" t="str">
        <f>IF(H19&gt;=0.9,"High", IF(H19&gt;=0.75, "Medium", IF(H19&gt;=0.6, "Low","None")))</f>
        <v>High</v>
      </c>
    </row>
    <row r="20" spans="1:16" x14ac:dyDescent="0.25">
      <c r="A20" s="31"/>
      <c r="B20" s="23"/>
      <c r="C20" s="26"/>
      <c r="D20" s="26"/>
      <c r="E20" s="26"/>
      <c r="F20" s="26"/>
      <c r="G20" s="26"/>
      <c r="H20" s="26"/>
      <c r="I20" s="27"/>
      <c r="L20" t="s">
        <v>28</v>
      </c>
      <c r="M20" t="s">
        <v>29</v>
      </c>
      <c r="N20" t="s">
        <v>30</v>
      </c>
    </row>
    <row r="21" spans="1:16" x14ac:dyDescent="0.25">
      <c r="A21" s="31"/>
      <c r="B21" s="29" t="str">
        <f>"Last " &amp; COUNT(Period_6_AIX)</f>
        <v>Last 6</v>
      </c>
      <c r="C21" s="12" t="s">
        <v>5</v>
      </c>
      <c r="D21" s="12" t="s">
        <v>6</v>
      </c>
      <c r="E21" s="13" t="s">
        <v>4</v>
      </c>
      <c r="F21" s="13" t="s">
        <v>8</v>
      </c>
      <c r="G21" s="13" t="s">
        <v>9</v>
      </c>
      <c r="H21" s="13" t="s">
        <v>12</v>
      </c>
      <c r="I21" s="18"/>
    </row>
    <row r="22" spans="1:16" x14ac:dyDescent="0.25">
      <c r="B22" s="17" t="s">
        <v>1</v>
      </c>
      <c r="C22" s="10">
        <f>AVERAGE(Period_6_OverAll)</f>
        <v>101.5</v>
      </c>
      <c r="D22" s="10">
        <f>MEDIAN(Period_6_OverAll)</f>
        <v>105</v>
      </c>
      <c r="E22" s="11">
        <f>_xlfn.STDEV.P(Period_6_OverAll)</f>
        <v>13.598406769422169</v>
      </c>
      <c r="F22" s="12">
        <f>ROUNDDOWN(D22-E22,0)</f>
        <v>91</v>
      </c>
      <c r="G22" s="12">
        <f t="shared" ref="G22:G24" si="6">ROUNDUP(D22+E22,0)</f>
        <v>119</v>
      </c>
      <c r="H22" s="73">
        <f t="shared" ref="H22:H23" si="7">(1-E22/D22)</f>
        <v>0.87049136410074124</v>
      </c>
      <c r="I22" s="18" t="str">
        <f>IF(H22&gt;=0.9,"High", IF(H22&gt;=0.75, "Medium", IF(H22&gt;=0.6, "Low","None")))</f>
        <v>Medium</v>
      </c>
      <c r="L22">
        <f>(1-E22/D22)</f>
        <v>0.87049136410074124</v>
      </c>
      <c r="M22">
        <f>E22/(SQRT(COUNT(Period_6_OverAll)))</f>
        <v>5.5515263166488236</v>
      </c>
      <c r="N22" s="1">
        <f>1-(M22/D22)</f>
        <v>0.9471283207938207</v>
      </c>
    </row>
    <row r="23" spans="1:16" x14ac:dyDescent="0.25">
      <c r="A23" s="31"/>
      <c r="B23" s="17" t="s">
        <v>2</v>
      </c>
      <c r="C23" s="10">
        <f>AVERAGE(Period_6_AIX)</f>
        <v>47</v>
      </c>
      <c r="D23" s="10">
        <f>MEDIAN(Period_6_AIX)</f>
        <v>48.5</v>
      </c>
      <c r="E23" s="11">
        <f>_xlfn.STDEV.P(Period_6_AIX)</f>
        <v>6</v>
      </c>
      <c r="F23" s="12">
        <f t="shared" ref="F23:F24" si="8">ROUNDDOWN(D23-E23,0)</f>
        <v>42</v>
      </c>
      <c r="G23" s="12">
        <f t="shared" si="6"/>
        <v>55</v>
      </c>
      <c r="H23" s="73">
        <f t="shared" si="7"/>
        <v>0.87628865979381443</v>
      </c>
      <c r="I23" s="18" t="str">
        <f>IF(H23&gt;=0.9,"High", IF(H23&gt;=0.75, "Medium", IF(H23&gt;=0.6, "Low","None")))</f>
        <v>Medium</v>
      </c>
      <c r="L23">
        <f t="shared" ref="L23:L24" si="9">(1-E23/D23)</f>
        <v>0.87628865979381443</v>
      </c>
      <c r="M23">
        <f>E23/(SQRT(COUNT(Period_6_OverAll)))</f>
        <v>2.4494897427831783</v>
      </c>
      <c r="N23" s="1">
        <f>1-(M23/D23)</f>
        <v>0.94949505684983138</v>
      </c>
    </row>
    <row r="24" spans="1:16" ht="15.75" thickBot="1" x14ac:dyDescent="0.3">
      <c r="A24" s="31"/>
      <c r="B24" s="19" t="s">
        <v>3</v>
      </c>
      <c r="C24" s="20">
        <f>AVERAGE(Period_6_LINUX)</f>
        <v>54.5</v>
      </c>
      <c r="D24" s="20">
        <f>MEDIAN(Period_6_LINUX)</f>
        <v>54.5</v>
      </c>
      <c r="E24" s="21">
        <f>_xlfn.STDEV.P(Period_6_LINUX)</f>
        <v>9.742518497116988</v>
      </c>
      <c r="F24" s="22">
        <f t="shared" si="8"/>
        <v>44</v>
      </c>
      <c r="G24" s="22">
        <f t="shared" si="6"/>
        <v>65</v>
      </c>
      <c r="H24" s="74">
        <f>(1-E24/D24)</f>
        <v>0.82123819271344978</v>
      </c>
      <c r="I24" s="75" t="str">
        <f>IF(H24&gt;=0.9,"High", IF(H24&gt;=0.75, "Medium", IF(H24&gt;=0.6, "Low","None")))</f>
        <v>Medium</v>
      </c>
      <c r="L24">
        <f t="shared" si="9"/>
        <v>0.82123819271344978</v>
      </c>
      <c r="M24">
        <f>E24/(SQRT(COUNT(Period_6_OverAll)))</f>
        <v>3.9773665212605747</v>
      </c>
      <c r="N24" s="1">
        <f>1-(M24/D24)</f>
        <v>0.92702079777503532</v>
      </c>
    </row>
    <row r="25" spans="1:16" ht="16.5" thickTop="1" thickBot="1" x14ac:dyDescent="0.3">
      <c r="A25" s="31"/>
      <c r="B25" s="13"/>
      <c r="C25" s="10"/>
      <c r="D25" s="10"/>
      <c r="E25" s="11"/>
      <c r="F25" s="10"/>
      <c r="G25" s="12"/>
      <c r="H25" s="12"/>
      <c r="I25" s="73"/>
    </row>
    <row r="26" spans="1:16" ht="16.5" thickTop="1" thickBot="1" x14ac:dyDescent="0.3">
      <c r="A26" s="31"/>
      <c r="B26" s="144" t="s">
        <v>25</v>
      </c>
      <c r="C26" s="145"/>
      <c r="D26" s="145"/>
      <c r="E26" s="145"/>
      <c r="F26" s="145"/>
      <c r="G26" s="145"/>
      <c r="H26" s="145"/>
      <c r="I26" s="146"/>
    </row>
    <row r="27" spans="1:16" ht="16.5" thickTop="1" thickBot="1" x14ac:dyDescent="0.3">
      <c r="B27" s="33"/>
      <c r="C27" s="34" t="s">
        <v>16</v>
      </c>
      <c r="D27" s="58" t="s">
        <v>20</v>
      </c>
      <c r="E27" s="34" t="s">
        <v>17</v>
      </c>
      <c r="F27" s="58" t="s">
        <v>20</v>
      </c>
      <c r="G27" s="34" t="s">
        <v>18</v>
      </c>
      <c r="H27" s="47" t="s">
        <v>21</v>
      </c>
      <c r="I27" s="48" t="s">
        <v>22</v>
      </c>
    </row>
    <row r="28" spans="1:16" ht="15.75" thickTop="1" x14ac:dyDescent="0.25">
      <c r="B28" s="35" t="s">
        <v>2</v>
      </c>
      <c r="C28" s="40">
        <v>0</v>
      </c>
      <c r="D28" s="41">
        <f>IF(C28=0,0,IF(C23-MOD(C28,$C23)&lt;=E28,C23-MOD(C28,$C23),E28))</f>
        <v>0</v>
      </c>
      <c r="E28" s="40">
        <v>198</v>
      </c>
      <c r="F28" s="41">
        <f>IF(E28=0,0,IF(C23-MOD(E28-D28,$C23)&lt;=G28,C23-MOD(E28-D28,$C23),G28))</f>
        <v>0</v>
      </c>
      <c r="G28" s="40">
        <v>0</v>
      </c>
      <c r="H28" s="50">
        <f>SUM(G29,E29,C29)</f>
        <v>5</v>
      </c>
      <c r="I28" s="49">
        <f>IF(G28=F28=0,0,IF( G28&gt;0,C23-MOD(G28-F28,C23),IF(E28&gt;0,C23-MOD(E28-D28,C23),C23-MOD(C28,C23))))</f>
        <v>37</v>
      </c>
      <c r="L28" s="72"/>
      <c r="M28" s="72"/>
      <c r="N28" s="72"/>
      <c r="O28" s="72"/>
      <c r="P28" s="72"/>
    </row>
    <row r="29" spans="1:16" x14ac:dyDescent="0.25">
      <c r="B29" s="55" t="s">
        <v>19</v>
      </c>
      <c r="C29" s="43">
        <f>_xlfn.CEILING.MATH(C28/$C23,1,0)</f>
        <v>0</v>
      </c>
      <c r="D29" s="44"/>
      <c r="E29" s="43">
        <f>_xlfn.CEILING.MATH((E28-D28)/$C23,1,0)</f>
        <v>5</v>
      </c>
      <c r="F29" s="44"/>
      <c r="G29" s="43">
        <f>_xlfn.CEILING.MATH((G28-F28)/$C23,1,0)</f>
        <v>0</v>
      </c>
      <c r="H29" s="51"/>
      <c r="I29" s="52"/>
      <c r="L29" s="72"/>
      <c r="M29" s="72"/>
      <c r="N29" s="72"/>
      <c r="O29" s="72"/>
      <c r="P29" s="72"/>
    </row>
    <row r="30" spans="1:16" x14ac:dyDescent="0.25">
      <c r="B30" s="35" t="s">
        <v>3</v>
      </c>
      <c r="C30" s="40">
        <v>0</v>
      </c>
      <c r="D30" s="41">
        <f>IF(C30=0,0,IF(C24-MOD(C30,$C24)&lt;=E30,C24-MOD(C30,$C24),E30))</f>
        <v>0</v>
      </c>
      <c r="E30" s="40">
        <v>104</v>
      </c>
      <c r="F30" s="41">
        <f>IF(E30=0,0,IF(C24-MOD(E30-D30,$C24)&lt;=G30,C24-MOD(E30-D30,$C24),G30))</f>
        <v>0</v>
      </c>
      <c r="G30" s="40">
        <v>0</v>
      </c>
      <c r="H30" s="50">
        <f>SUM(G31,E31,C31)</f>
        <v>2</v>
      </c>
      <c r="I30" s="42">
        <f>IF(G30=F30=0,0,IF( G30&gt;0,C24-MOD(G30-F30,C24),IF(E30&gt;0,C24-MOD(E30-D30,C24),C24-MOD(C30,C24))))</f>
        <v>5</v>
      </c>
      <c r="L30" s="72"/>
      <c r="M30" s="72"/>
      <c r="N30" s="72"/>
      <c r="O30" s="72"/>
      <c r="P30" s="72"/>
    </row>
    <row r="31" spans="1:16" ht="15.75" thickBot="1" x14ac:dyDescent="0.3">
      <c r="B31" s="56" t="s">
        <v>19</v>
      </c>
      <c r="C31" s="45">
        <f>_xlfn.CEILING.MATH(C30/$C24,1,0)</f>
        <v>0</v>
      </c>
      <c r="D31" s="46"/>
      <c r="E31" s="45">
        <f>_xlfn.CEILING.MATH((E30-D30)/$C24,1,0)</f>
        <v>2</v>
      </c>
      <c r="F31" s="46"/>
      <c r="G31" s="45">
        <f>_xlfn.CEILING.MATH((G30-F30)/$C24,1,0)</f>
        <v>0</v>
      </c>
      <c r="H31" s="53"/>
      <c r="I31" s="54"/>
      <c r="L31" s="72"/>
    </row>
    <row r="32" spans="1:16" ht="15.75" thickTop="1" x14ac:dyDescent="0.25">
      <c r="D32" s="57" t="s">
        <v>23</v>
      </c>
      <c r="F32" s="57" t="s">
        <v>23</v>
      </c>
    </row>
    <row r="36" spans="6:6" x14ac:dyDescent="0.25">
      <c r="F36" s="2"/>
    </row>
  </sheetData>
  <sheetProtection sheet="1" objects="1" scenarios="1" selectLockedCells="1"/>
  <dataConsolidate/>
  <mergeCells count="5">
    <mergeCell ref="C2:E2"/>
    <mergeCell ref="F2:J2"/>
    <mergeCell ref="F1:H1"/>
    <mergeCell ref="C7:E7"/>
    <mergeCell ref="B26:I26"/>
  </mergeCells>
  <conditionalFormatting sqref="I25">
    <cfRule type="expression" dxfId="275" priority="39" stopIfTrue="1">
      <formula>IF(I25&gt;=0.9,TRUE, FALSE)</formula>
    </cfRule>
    <cfRule type="expression" dxfId="274" priority="40" stopIfTrue="1">
      <formula>IF(I25&gt;0.75,TRUE,FALSE)</formula>
    </cfRule>
    <cfRule type="expression" dxfId="273" priority="41">
      <formula>IF(I25&gt;0.6, TRUE, FALSE)</formula>
    </cfRule>
  </conditionalFormatting>
  <conditionalFormatting sqref="H17:H19">
    <cfRule type="expression" dxfId="272" priority="36" stopIfTrue="1">
      <formula>IF(H17&gt;=0.9,TRUE, FALSE)</formula>
    </cfRule>
    <cfRule type="expression" dxfId="271" priority="37" stopIfTrue="1">
      <formula>IF(H17&gt;0.75,TRUE,FALSE)</formula>
    </cfRule>
    <cfRule type="expression" dxfId="270" priority="38">
      <formula>IF(H17&gt;0.6, TRUE, FALSE)</formula>
    </cfRule>
  </conditionalFormatting>
  <conditionalFormatting sqref="H24">
    <cfRule type="expression" dxfId="269" priority="31" stopIfTrue="1">
      <formula>IF(H24&gt;=0.9,TRUE, FALSE)</formula>
    </cfRule>
    <cfRule type="expression" dxfId="268" priority="32" stopIfTrue="1">
      <formula>IF(H24&gt;0.75,TRUE,FALSE)</formula>
    </cfRule>
    <cfRule type="expression" dxfId="267" priority="33">
      <formula>IF(H24&gt;0.6, TRUE, FALSE)</formula>
    </cfRule>
  </conditionalFormatting>
  <conditionalFormatting sqref="I28 I30">
    <cfRule type="expression" dxfId="266" priority="51">
      <formula>$I$28=$C$23</formula>
    </cfRule>
  </conditionalFormatting>
  <conditionalFormatting sqref="F12">
    <cfRule type="expression" dxfId="265" priority="10" stopIfTrue="1">
      <formula>F12/C12 &gt;0.3</formula>
    </cfRule>
    <cfRule type="expression" dxfId="264" priority="15" stopIfTrue="1">
      <formula>F12/C12&lt;=0.1</formula>
    </cfRule>
    <cfRule type="expression" dxfId="263" priority="16">
      <formula>F12/C12&lt;=0.2</formula>
    </cfRule>
  </conditionalFormatting>
  <conditionalFormatting sqref="F13:F14">
    <cfRule type="expression" dxfId="262" priority="4" stopIfTrue="1">
      <formula>F13/C13 &gt;0.3</formula>
    </cfRule>
    <cfRule type="expression" dxfId="261" priority="5" stopIfTrue="1">
      <formula>F13/C13&lt;=0.1</formula>
    </cfRule>
    <cfRule type="expression" dxfId="260" priority="6">
      <formula>F13/C13&lt;=0.2</formula>
    </cfRule>
  </conditionalFormatting>
  <conditionalFormatting sqref="F4:P6">
    <cfRule type="expression" dxfId="259" priority="52">
      <formula>IF(F4 &gt;$G17, TRUE, FALSE)</formula>
    </cfRule>
    <cfRule type="expression" dxfId="258" priority="53">
      <formula>IF(F4&lt;$F17, TRUE, FALSE)</formula>
    </cfRule>
  </conditionalFormatting>
  <conditionalFormatting sqref="H22:H23">
    <cfRule type="expression" dxfId="257" priority="1" stopIfTrue="1">
      <formula>IF(H22&gt;=0.9,TRUE, FALSE)</formula>
    </cfRule>
    <cfRule type="expression" dxfId="256" priority="2" stopIfTrue="1">
      <formula>IF(H22&gt;0.75,TRUE,FALSE)</formula>
    </cfRule>
    <cfRule type="expression" dxfId="255" priority="3">
      <formula>IF(H22&gt;0.6, TRUE, FALSE)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nsertColumn">
                <anchor moveWithCells="1" sizeWithCells="1">
                  <from>
                    <xdr:col>1</xdr:col>
                    <xdr:colOff>581025</xdr:colOff>
                    <xdr:row>7</xdr:row>
                    <xdr:rowOff>66675</xdr:rowOff>
                  </from>
                  <to>
                    <xdr:col>4</xdr:col>
                    <xdr:colOff>561975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resetAverageData">
                <anchor moveWithCells="1" sizeWithCells="1">
                  <from>
                    <xdr:col>7</xdr:col>
                    <xdr:colOff>38100</xdr:colOff>
                    <xdr:row>10</xdr:row>
                    <xdr:rowOff>171450</xdr:rowOff>
                  </from>
                  <to>
                    <xdr:col>8</xdr:col>
                    <xdr:colOff>685800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eleteLastColumn">
                <anchor moveWithCells="1" sizeWithCells="1">
                  <from>
                    <xdr:col>6</xdr:col>
                    <xdr:colOff>219075</xdr:colOff>
                    <xdr:row>7</xdr:row>
                    <xdr:rowOff>66675</xdr:rowOff>
                  </from>
                  <to>
                    <xdr:col>8</xdr:col>
                    <xdr:colOff>714375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36"/>
  <sheetViews>
    <sheetView zoomScale="90" zoomScaleNormal="90" workbookViewId="0">
      <selection activeCell="N6" sqref="N6"/>
    </sheetView>
  </sheetViews>
  <sheetFormatPr defaultRowHeight="15" x14ac:dyDescent="0.25"/>
  <cols>
    <col min="2" max="2" width="9.7109375" bestFit="1" customWidth="1"/>
    <col min="5" max="5" width="10" customWidth="1"/>
    <col min="6" max="6" width="9.28515625" customWidth="1"/>
    <col min="7" max="7" width="10" customWidth="1"/>
    <col min="8" max="8" width="10.28515625" bestFit="1" customWidth="1"/>
    <col min="9" max="9" width="11" customWidth="1"/>
    <col min="11" max="11" width="9.140625" customWidth="1"/>
  </cols>
  <sheetData>
    <row r="1" spans="1:30" ht="16.5" thickTop="1" thickBot="1" x14ac:dyDescent="0.3">
      <c r="F1" s="138" t="s">
        <v>13</v>
      </c>
      <c r="G1" s="139"/>
      <c r="H1" s="140"/>
      <c r="L1" s="13"/>
      <c r="M1" s="13"/>
      <c r="N1" s="13"/>
      <c r="O1" s="13"/>
      <c r="P1" s="13"/>
      <c r="Q1" s="13"/>
      <c r="R1" s="13"/>
      <c r="S1" s="13"/>
      <c r="T1" s="13"/>
    </row>
    <row r="2" spans="1:30" ht="15" customHeight="1" thickBot="1" x14ac:dyDescent="0.3">
      <c r="C2" s="133" t="s">
        <v>10</v>
      </c>
      <c r="D2" s="134"/>
      <c r="E2" s="135"/>
      <c r="F2" s="136" t="s">
        <v>0</v>
      </c>
      <c r="G2" s="137"/>
      <c r="H2" s="137"/>
      <c r="I2" s="137"/>
      <c r="J2" s="137"/>
      <c r="L2" s="13"/>
      <c r="M2" s="13"/>
      <c r="N2" s="32"/>
      <c r="O2" s="32"/>
      <c r="P2" s="32"/>
      <c r="Q2" s="32"/>
      <c r="R2" s="32"/>
      <c r="S2" s="13"/>
      <c r="T2" s="13"/>
    </row>
    <row r="3" spans="1:30" ht="15.75" thickBot="1" x14ac:dyDescent="0.3">
      <c r="B3" s="5"/>
      <c r="C3" s="61" t="str">
        <f>CV_Entirety_Label</f>
        <v>Beginning</v>
      </c>
      <c r="D3" s="62" t="str">
        <f>CV_Last3Period_Label</f>
        <v>Last 3</v>
      </c>
      <c r="E3" s="63" t="str">
        <f>CV_Last6Period_Label</f>
        <v>Last 6</v>
      </c>
      <c r="F3" s="87" t="s">
        <v>55</v>
      </c>
      <c r="G3" s="83" t="s">
        <v>51</v>
      </c>
      <c r="H3" s="83" t="s">
        <v>52</v>
      </c>
      <c r="I3" s="83" t="s">
        <v>53</v>
      </c>
      <c r="J3" s="90" t="s">
        <v>54</v>
      </c>
      <c r="K3" s="90" t="s">
        <v>238</v>
      </c>
      <c r="L3" s="124" t="s">
        <v>312</v>
      </c>
      <c r="M3" s="124" t="s">
        <v>372</v>
      </c>
      <c r="N3" s="124" t="s">
        <v>535</v>
      </c>
      <c r="Q3" s="13"/>
      <c r="R3" s="32"/>
      <c r="S3" s="32"/>
      <c r="T3" s="32"/>
      <c r="U3" s="32"/>
      <c r="V3" s="32"/>
      <c r="W3" s="13"/>
      <c r="X3" s="13"/>
      <c r="Y3" s="13"/>
    </row>
    <row r="4" spans="1:30" s="3" customFormat="1" ht="12.6" customHeight="1" thickTop="1" thickBot="1" x14ac:dyDescent="0.3">
      <c r="A4" s="3" t="s">
        <v>14</v>
      </c>
      <c r="B4" s="6" t="s">
        <v>1</v>
      </c>
      <c r="C4" s="7">
        <f>C12</f>
        <v>78.888888888888886</v>
      </c>
      <c r="D4" s="4">
        <f>C17</f>
        <v>92.666666666666671</v>
      </c>
      <c r="E4" s="4">
        <f>C22</f>
        <v>86.166666666666671</v>
      </c>
      <c r="F4" s="84">
        <f>SUM(F5:F6)</f>
        <v>64</v>
      </c>
      <c r="G4" s="67">
        <f>SUM(G5:G6)</f>
        <v>54</v>
      </c>
      <c r="H4" s="67">
        <f>SUM(H5:H6)</f>
        <v>75</v>
      </c>
      <c r="I4" s="68">
        <f>SUM(I5:I6)</f>
        <v>79</v>
      </c>
      <c r="J4" s="68">
        <f t="shared" ref="J4" si="0">SUM(J5:J6)</f>
        <v>104</v>
      </c>
      <c r="K4" s="68">
        <f t="shared" ref="K4:N4" si="1">SUM(K5:K6)</f>
        <v>56</v>
      </c>
      <c r="L4" s="68">
        <f t="shared" si="1"/>
        <v>85</v>
      </c>
      <c r="M4" s="68">
        <f t="shared" si="1"/>
        <v>94</v>
      </c>
      <c r="N4" s="68">
        <f t="shared" si="1"/>
        <v>99</v>
      </c>
      <c r="Q4" s="39"/>
      <c r="R4" s="32"/>
      <c r="S4" s="32"/>
      <c r="T4" s="32"/>
      <c r="U4" s="32"/>
      <c r="V4" s="32"/>
      <c r="W4" s="39"/>
      <c r="X4" s="39"/>
      <c r="Y4" s="39"/>
      <c r="AB4" s="112"/>
      <c r="AC4" s="31" t="s">
        <v>242</v>
      </c>
      <c r="AD4" s="31"/>
    </row>
    <row r="5" spans="1:30" s="3" customFormat="1" ht="12.75" thickBot="1" x14ac:dyDescent="0.3">
      <c r="B5" s="6" t="s">
        <v>2</v>
      </c>
      <c r="C5" s="7">
        <f>C13</f>
        <v>35.777777777777779</v>
      </c>
      <c r="D5" s="4">
        <f>C18</f>
        <v>45.333333333333336</v>
      </c>
      <c r="E5" s="4">
        <f>C23</f>
        <v>40.666666666666664</v>
      </c>
      <c r="F5" s="85">
        <v>34</v>
      </c>
      <c r="G5" s="36">
        <v>21</v>
      </c>
      <c r="H5" s="36">
        <v>23</v>
      </c>
      <c r="I5" s="59">
        <v>40</v>
      </c>
      <c r="J5" s="88">
        <v>47</v>
      </c>
      <c r="K5" s="88">
        <v>21</v>
      </c>
      <c r="L5" s="88">
        <v>38</v>
      </c>
      <c r="M5" s="88">
        <v>43</v>
      </c>
      <c r="N5" s="88">
        <v>55</v>
      </c>
      <c r="Q5" s="39"/>
      <c r="R5" s="39"/>
      <c r="S5" s="39"/>
      <c r="T5" s="39"/>
      <c r="U5" s="39"/>
      <c r="V5" s="39"/>
      <c r="W5" s="39"/>
      <c r="X5" s="39"/>
      <c r="Y5" s="39"/>
      <c r="AB5" s="39"/>
    </row>
    <row r="6" spans="1:30" s="3" customFormat="1" ht="12.75" thickBot="1" x14ac:dyDescent="0.3">
      <c r="B6" s="30" t="s">
        <v>3</v>
      </c>
      <c r="C6" s="8">
        <f>C14</f>
        <v>43.111111111111114</v>
      </c>
      <c r="D6" s="9">
        <f>C19</f>
        <v>47.333333333333336</v>
      </c>
      <c r="E6" s="9">
        <f>C24</f>
        <v>45.5</v>
      </c>
      <c r="F6" s="86">
        <v>30</v>
      </c>
      <c r="G6" s="37">
        <v>33</v>
      </c>
      <c r="H6" s="38">
        <v>52</v>
      </c>
      <c r="I6" s="60">
        <v>39</v>
      </c>
      <c r="J6" s="89">
        <v>57</v>
      </c>
      <c r="K6" s="89">
        <v>35</v>
      </c>
      <c r="L6" s="89">
        <v>47</v>
      </c>
      <c r="M6" s="89">
        <v>51</v>
      </c>
      <c r="N6" s="89">
        <v>44</v>
      </c>
      <c r="Q6" s="39"/>
      <c r="R6" s="39"/>
      <c r="S6" s="39"/>
      <c r="T6" s="39"/>
      <c r="U6" s="39"/>
      <c r="V6" s="39"/>
      <c r="W6" s="39"/>
      <c r="X6" s="39"/>
      <c r="Y6" s="39"/>
      <c r="AB6" s="39"/>
      <c r="AC6" s="3" t="s">
        <v>2</v>
      </c>
      <c r="AD6" s="3" t="s">
        <v>3</v>
      </c>
    </row>
    <row r="7" spans="1:30" ht="15.75" thickBot="1" x14ac:dyDescent="0.3">
      <c r="B7" s="2"/>
      <c r="C7" s="141" t="s">
        <v>15</v>
      </c>
      <c r="D7" s="142"/>
      <c r="E7" s="143"/>
      <c r="F7" t="s">
        <v>11</v>
      </c>
      <c r="Y7" s="114" t="s">
        <v>243</v>
      </c>
      <c r="Z7" s="115">
        <v>142</v>
      </c>
      <c r="AA7" s="115">
        <v>88</v>
      </c>
      <c r="AB7" s="31"/>
      <c r="AC7" s="31"/>
      <c r="AD7" s="31"/>
    </row>
    <row r="8" spans="1:30" x14ac:dyDescent="0.25">
      <c r="B8" s="2"/>
      <c r="C8" s="2"/>
      <c r="Y8" s="31" t="s">
        <v>136</v>
      </c>
      <c r="Z8" s="117">
        <v>42</v>
      </c>
      <c r="AA8" s="117">
        <v>41</v>
      </c>
      <c r="AB8" s="31"/>
      <c r="AC8" s="31"/>
      <c r="AD8" s="31"/>
    </row>
    <row r="9" spans="1:30" ht="14.45" customHeight="1" x14ac:dyDescent="0.25">
      <c r="Y9" s="113" t="s">
        <v>41</v>
      </c>
      <c r="Z9" s="113">
        <f>+Z10-Z7+Z8</f>
        <v>30</v>
      </c>
      <c r="AA9" s="113">
        <f>+AA10-AA7+AA8</f>
        <v>73</v>
      </c>
      <c r="AB9" s="31"/>
      <c r="AC9" s="31"/>
      <c r="AD9" s="31"/>
    </row>
    <row r="10" spans="1:30" ht="15.75" thickBot="1" x14ac:dyDescent="0.3">
      <c r="Y10" s="116" t="s">
        <v>244</v>
      </c>
      <c r="Z10" s="118">
        <v>130</v>
      </c>
      <c r="AA10" s="118">
        <v>120</v>
      </c>
      <c r="AB10" s="31"/>
      <c r="AC10" s="31"/>
      <c r="AD10" s="31"/>
    </row>
    <row r="11" spans="1:30" ht="15.75" thickTop="1" x14ac:dyDescent="0.25">
      <c r="B11" s="28" t="s">
        <v>24</v>
      </c>
      <c r="C11" s="14" t="s">
        <v>5</v>
      </c>
      <c r="D11" s="14" t="s">
        <v>6</v>
      </c>
      <c r="E11" s="15" t="s">
        <v>4</v>
      </c>
      <c r="F11" s="15" t="s">
        <v>7</v>
      </c>
      <c r="G11" s="15"/>
      <c r="H11" s="15"/>
      <c r="I11" s="16"/>
      <c r="Y11" s="31"/>
      <c r="Z11" s="31"/>
      <c r="AA11" s="31"/>
      <c r="AB11" s="31"/>
      <c r="AC11" s="31"/>
      <c r="AD11" s="31"/>
    </row>
    <row r="12" spans="1:30" x14ac:dyDescent="0.25">
      <c r="B12" s="17" t="s">
        <v>1</v>
      </c>
      <c r="C12" s="10">
        <f>AVERAGE(CV_Overall_Overall)</f>
        <v>78.888888888888886</v>
      </c>
      <c r="D12" s="10">
        <f>MEDIAN(CV_Overall_Overall)</f>
        <v>79</v>
      </c>
      <c r="E12" s="11">
        <f>_xlfn.STDEV.P(CV_Overall_Overall)</f>
        <v>17.259100301286754</v>
      </c>
      <c r="F12" s="12">
        <f>E12/SQRT(COUNT(CV_Overall_Overall))</f>
        <v>5.7530334337622513</v>
      </c>
      <c r="G12" s="13"/>
      <c r="H12" s="13"/>
      <c r="I12" s="18"/>
      <c r="Y12" s="31"/>
      <c r="Z12" s="31"/>
      <c r="AA12" s="31"/>
      <c r="AB12" s="31"/>
      <c r="AC12" s="31"/>
      <c r="AD12" s="31"/>
    </row>
    <row r="13" spans="1:30" x14ac:dyDescent="0.25">
      <c r="A13" s="31"/>
      <c r="B13" s="17" t="s">
        <v>2</v>
      </c>
      <c r="C13" s="10">
        <f>AVERAGE(CV_Overall_AIX)</f>
        <v>35.777777777777779</v>
      </c>
      <c r="D13" s="10">
        <f>MEDIAN(CV_Overall_AIX)</f>
        <v>38</v>
      </c>
      <c r="E13" s="11">
        <f>_xlfn.STDEV.P(CV_Overall_AIX)</f>
        <v>11.419065711711928</v>
      </c>
      <c r="F13" s="12">
        <f>E13/SQRT(COUNT(CV_Overall_AIX))</f>
        <v>3.8063552372373093</v>
      </c>
      <c r="G13" s="13"/>
      <c r="H13" s="13"/>
      <c r="I13" s="18"/>
      <c r="Y13" s="31"/>
      <c r="Z13" s="31"/>
      <c r="AA13" s="31"/>
      <c r="AB13" s="31"/>
      <c r="AC13" s="31"/>
      <c r="AD13" s="31"/>
    </row>
    <row r="14" spans="1:30" x14ac:dyDescent="0.25">
      <c r="A14" s="31"/>
      <c r="B14" s="17" t="s">
        <v>3</v>
      </c>
      <c r="C14" s="10">
        <f>AVERAGE(CV_Overall_LINUX)</f>
        <v>43.111111111111114</v>
      </c>
      <c r="D14" s="10">
        <f>MEDIAN(CV_Overall_LINUX)</f>
        <v>44</v>
      </c>
      <c r="E14" s="11">
        <f>_xlfn.STDEV.P(CV_Overall_LINUX)</f>
        <v>8.8624607122707868</v>
      </c>
      <c r="F14" s="12">
        <f>E14/SQRT(COUNT(CV_Overall_LINUX))</f>
        <v>2.9541535707569291</v>
      </c>
      <c r="G14" s="13"/>
      <c r="H14" s="13"/>
      <c r="I14" s="18"/>
      <c r="J14" s="1"/>
      <c r="Y14" s="31"/>
      <c r="Z14" s="31"/>
      <c r="AA14" s="31"/>
      <c r="AB14" s="31"/>
      <c r="AC14" s="31"/>
      <c r="AD14" s="31"/>
    </row>
    <row r="15" spans="1:30" x14ac:dyDescent="0.25">
      <c r="A15" s="31"/>
      <c r="B15" s="23"/>
      <c r="C15" s="24"/>
      <c r="D15" s="24"/>
      <c r="E15" s="25"/>
      <c r="F15" s="26"/>
      <c r="G15" s="26"/>
      <c r="H15" s="26"/>
      <c r="I15" s="27"/>
      <c r="Y15" s="31"/>
      <c r="Z15" s="31"/>
      <c r="AA15" s="31"/>
      <c r="AB15" s="31"/>
      <c r="AC15" s="31"/>
      <c r="AD15" s="31"/>
    </row>
    <row r="16" spans="1:30" x14ac:dyDescent="0.25">
      <c r="A16" s="31"/>
      <c r="B16" s="29" t="str">
        <f xml:space="preserve"> "Last " &amp; COUNT(CV_Period_3_AIX)</f>
        <v>Last 3</v>
      </c>
      <c r="C16" s="12" t="s">
        <v>5</v>
      </c>
      <c r="D16" s="12" t="s">
        <v>6</v>
      </c>
      <c r="E16" s="13" t="s">
        <v>4</v>
      </c>
      <c r="F16" s="13" t="s">
        <v>8</v>
      </c>
      <c r="G16" s="13" t="s">
        <v>9</v>
      </c>
      <c r="H16" s="13" t="s">
        <v>26</v>
      </c>
      <c r="I16" s="18"/>
      <c r="Y16" s="31"/>
      <c r="Z16" s="31"/>
      <c r="AA16" s="31"/>
      <c r="AB16" s="31"/>
      <c r="AC16" s="31"/>
      <c r="AD16" s="31"/>
    </row>
    <row r="17" spans="1:9" x14ac:dyDescent="0.25">
      <c r="B17" s="17" t="s">
        <v>1</v>
      </c>
      <c r="C17" s="10">
        <f>AVERAGE(CV_Period_3_Overall)</f>
        <v>92.666666666666671</v>
      </c>
      <c r="D17" s="10">
        <f>MEDIAN(CV_Period_3_Overall)</f>
        <v>94</v>
      </c>
      <c r="E17" s="11">
        <f>_xlfn.STDEV.P(CV_Period_3_Overall)</f>
        <v>5.7927157323275882</v>
      </c>
      <c r="F17" s="12">
        <f t="shared" ref="F17:F19" si="2">ROUNDDOWN(D17-E17,0)</f>
        <v>88</v>
      </c>
      <c r="G17" s="12">
        <f>ROUNDUP(D17+E17,0)</f>
        <v>100</v>
      </c>
      <c r="H17" s="73">
        <f>(1-E17/D17)</f>
        <v>0.93837536454970649</v>
      </c>
      <c r="I17" s="18"/>
    </row>
    <row r="18" spans="1:9" x14ac:dyDescent="0.25">
      <c r="A18" s="31"/>
      <c r="B18" s="17" t="s">
        <v>2</v>
      </c>
      <c r="C18" s="10">
        <f>AVERAGE(CV_Period_3_AIX)</f>
        <v>45.333333333333336</v>
      </c>
      <c r="D18" s="10">
        <f>MEDIAN(CV_Period_3_AIX)</f>
        <v>43</v>
      </c>
      <c r="E18" s="11">
        <f>_xlfn.STDEV.P(CV_Period_3_AIX)</f>
        <v>7.1336448530108987</v>
      </c>
      <c r="F18" s="12">
        <f t="shared" si="2"/>
        <v>35</v>
      </c>
      <c r="G18" s="12">
        <f>ROUNDUP(D18+E18,0)</f>
        <v>51</v>
      </c>
      <c r="H18" s="73">
        <f>(1-E18/D18)</f>
        <v>0.83410128248811866</v>
      </c>
      <c r="I18" s="18"/>
    </row>
    <row r="19" spans="1:9" x14ac:dyDescent="0.25">
      <c r="A19" s="31"/>
      <c r="B19" s="17" t="s">
        <v>3</v>
      </c>
      <c r="C19" s="10">
        <f>AVERAGE(CV_Period_3_LINUX)</f>
        <v>47.333333333333336</v>
      </c>
      <c r="D19" s="10">
        <f>MEDIAN(CV_Period_3_LINUX)</f>
        <v>47</v>
      </c>
      <c r="E19" s="11">
        <f>_xlfn.STDEV.P(CV_Period_3_LINUX)</f>
        <v>2.8674417556808756</v>
      </c>
      <c r="F19" s="12">
        <f t="shared" si="2"/>
        <v>44</v>
      </c>
      <c r="G19" s="12">
        <f>ROUNDUP(D19+E19,0)</f>
        <v>50</v>
      </c>
      <c r="H19" s="73">
        <f>(1-E19/D19)</f>
        <v>0.93899060094296005</v>
      </c>
      <c r="I19" s="18"/>
    </row>
    <row r="20" spans="1:9" x14ac:dyDescent="0.25">
      <c r="A20" s="31"/>
      <c r="B20" s="23"/>
      <c r="C20" s="26"/>
      <c r="D20" s="26"/>
      <c r="E20" s="26"/>
      <c r="F20" s="26"/>
      <c r="G20" s="26"/>
      <c r="H20" s="26"/>
      <c r="I20" s="27"/>
    </row>
    <row r="21" spans="1:9" x14ac:dyDescent="0.25">
      <c r="A21" s="31"/>
      <c r="B21" s="29" t="str">
        <f>"Last " &amp; COUNT(CV_Period_6_AIX)</f>
        <v>Last 6</v>
      </c>
      <c r="C21" s="12" t="s">
        <v>5</v>
      </c>
      <c r="D21" s="12" t="s">
        <v>6</v>
      </c>
      <c r="E21" s="13" t="s">
        <v>4</v>
      </c>
      <c r="F21" s="13" t="s">
        <v>8</v>
      </c>
      <c r="G21" s="13" t="s">
        <v>9</v>
      </c>
      <c r="H21" s="13" t="s">
        <v>26</v>
      </c>
      <c r="I21" s="18"/>
    </row>
    <row r="22" spans="1:9" x14ac:dyDescent="0.25">
      <c r="B22" s="17" t="s">
        <v>1</v>
      </c>
      <c r="C22" s="10">
        <f>AVERAGE(CV_Period_6_OverAll)</f>
        <v>86.166666666666671</v>
      </c>
      <c r="D22" s="10">
        <f>MEDIAN(CV_Period_6_OverAll)</f>
        <v>89.5</v>
      </c>
      <c r="E22" s="11">
        <f>_xlfn.STDEV.P(CV_Period_6_OverAll)</f>
        <v>15.847362206023085</v>
      </c>
      <c r="F22" s="12">
        <f t="shared" ref="F22:F24" si="3">ROUNDDOWN(D22-E22,0)</f>
        <v>73</v>
      </c>
      <c r="G22" s="12">
        <f>ROUNDUP(D22+E22,0)</f>
        <v>106</v>
      </c>
      <c r="H22" s="73">
        <f>(1-E22/D22)</f>
        <v>0.82293450049136219</v>
      </c>
      <c r="I22" s="18"/>
    </row>
    <row r="23" spans="1:9" x14ac:dyDescent="0.25">
      <c r="A23" s="31"/>
      <c r="B23" s="17" t="s">
        <v>2</v>
      </c>
      <c r="C23" s="10">
        <f>AVERAGE(CV_Period_6_AIX)</f>
        <v>40.666666666666664</v>
      </c>
      <c r="D23" s="10">
        <f>MEDIAN(CV_Period_6_AIX)</f>
        <v>41.5</v>
      </c>
      <c r="E23" s="11">
        <f>_xlfn.STDEV.P(CV_Period_6_AIX)</f>
        <v>10.370899457402697</v>
      </c>
      <c r="F23" s="10">
        <f t="shared" si="3"/>
        <v>31</v>
      </c>
      <c r="G23" s="12">
        <f>ROUNDUP(D23+E23,0)</f>
        <v>52</v>
      </c>
      <c r="H23" s="73">
        <f>(1-E23/D23)</f>
        <v>0.75009880825535669</v>
      </c>
      <c r="I23" s="18"/>
    </row>
    <row r="24" spans="1:9" ht="15.75" thickBot="1" x14ac:dyDescent="0.3">
      <c r="A24" s="31"/>
      <c r="B24" s="19" t="s">
        <v>3</v>
      </c>
      <c r="C24" s="20">
        <f>AVERAGE(CV_Period_6_LINUX)</f>
        <v>45.5</v>
      </c>
      <c r="D24" s="20">
        <f>MEDIAN(CV_Period_6_LINUX)</f>
        <v>45.5</v>
      </c>
      <c r="E24" s="21">
        <f>_xlfn.STDEV.P(CV_Period_6_LINUX)</f>
        <v>7.2972597596632118</v>
      </c>
      <c r="F24" s="20">
        <f t="shared" si="3"/>
        <v>38</v>
      </c>
      <c r="G24" s="22">
        <f>ROUNDUP(D24+E24,0)</f>
        <v>53</v>
      </c>
      <c r="H24" s="74">
        <f>(1-E24/D24)</f>
        <v>0.83962066462278662</v>
      </c>
      <c r="I24" s="75"/>
    </row>
    <row r="25" spans="1:9" ht="16.5" thickTop="1" thickBot="1" x14ac:dyDescent="0.3">
      <c r="A25" s="31"/>
      <c r="B25" s="13"/>
      <c r="C25" s="10"/>
      <c r="D25" s="10"/>
      <c r="E25" s="11"/>
      <c r="F25" s="10"/>
      <c r="G25" s="12"/>
      <c r="H25" s="12"/>
      <c r="I25" s="73"/>
    </row>
    <row r="26" spans="1:9" ht="16.5" thickTop="1" thickBot="1" x14ac:dyDescent="0.3">
      <c r="A26" s="31"/>
      <c r="B26" s="144" t="s">
        <v>27</v>
      </c>
      <c r="C26" s="145"/>
      <c r="D26" s="145"/>
      <c r="E26" s="145"/>
      <c r="F26" s="145"/>
      <c r="G26" s="145"/>
      <c r="H26" s="145"/>
      <c r="I26" s="146"/>
    </row>
    <row r="27" spans="1:9" ht="16.5" thickTop="1" thickBot="1" x14ac:dyDescent="0.3">
      <c r="B27" s="33"/>
      <c r="C27" s="34" t="s">
        <v>16</v>
      </c>
      <c r="D27" s="58" t="s">
        <v>20</v>
      </c>
      <c r="E27" s="34" t="s">
        <v>17</v>
      </c>
      <c r="F27" s="58" t="s">
        <v>20</v>
      </c>
      <c r="G27" s="34" t="s">
        <v>18</v>
      </c>
      <c r="H27" s="47" t="s">
        <v>21</v>
      </c>
      <c r="I27" s="48" t="s">
        <v>22</v>
      </c>
    </row>
    <row r="28" spans="1:9" ht="15.75" thickTop="1" x14ac:dyDescent="0.25">
      <c r="B28" s="35" t="s">
        <v>2</v>
      </c>
      <c r="C28" s="69">
        <f>Velocity!C$28</f>
        <v>0</v>
      </c>
      <c r="D28" s="41">
        <f>IF(C28=0,0,IF(C23-MOD(C28,$C23)&lt;=E28,C23-MOD(C28,$C23),E28))</f>
        <v>0</v>
      </c>
      <c r="E28" s="69">
        <f>Velocity!E$28</f>
        <v>198</v>
      </c>
      <c r="F28" s="41">
        <f>IF(E28=0,0,IF(C23-MOD(E28-D28,$C23)&lt;=G28,C23-MOD(E28-D28,$C23),G28))</f>
        <v>0</v>
      </c>
      <c r="G28" s="69">
        <f>Velocity!G$28</f>
        <v>0</v>
      </c>
      <c r="H28" s="50">
        <f>SUM(G29,E29,C29)</f>
        <v>5</v>
      </c>
      <c r="I28" s="49">
        <f>IF(G28=F28=0,0,IF( G28&gt;0,C23-MOD(G28-F28,C23),IF(E28&gt;0,C23-MOD(E28-D28,C23),C23-MOD(C28,C23))))</f>
        <v>5.3333333333333215</v>
      </c>
    </row>
    <row r="29" spans="1:9" x14ac:dyDescent="0.25">
      <c r="B29" s="55" t="s">
        <v>19</v>
      </c>
      <c r="C29" s="43">
        <f>_xlfn.CEILING.MATH(C28/$C23,1,0)</f>
        <v>0</v>
      </c>
      <c r="D29" s="44"/>
      <c r="E29" s="43">
        <f>_xlfn.CEILING.MATH((E28-D28)/$C23,1,0)</f>
        <v>5</v>
      </c>
      <c r="F29" s="44"/>
      <c r="G29" s="43">
        <f>_xlfn.CEILING.MATH((G28-F28)/$C23,1,0)</f>
        <v>0</v>
      </c>
      <c r="H29" s="51"/>
      <c r="I29" s="52"/>
    </row>
    <row r="30" spans="1:9" x14ac:dyDescent="0.25">
      <c r="B30" s="35" t="s">
        <v>3</v>
      </c>
      <c r="C30" s="69">
        <f>Velocity!C$30</f>
        <v>0</v>
      </c>
      <c r="D30" s="41">
        <f>IF(C30=0,0,IF(C24-MOD(C30,$C24)&lt;=E30,C24-MOD(C30,$C24),E30))</f>
        <v>0</v>
      </c>
      <c r="E30" s="69">
        <f>Velocity!E$30</f>
        <v>104</v>
      </c>
      <c r="F30" s="41">
        <f>IF(E30=0,0,IF(C24-MOD(E30-D30,$C24)&lt;=G30,C24-MOD(E30-D30,$C24),G30))</f>
        <v>0</v>
      </c>
      <c r="G30" s="69">
        <f>Velocity!G$30</f>
        <v>0</v>
      </c>
      <c r="H30" s="50">
        <f>SUM(G31,E31,C31)</f>
        <v>3</v>
      </c>
      <c r="I30" s="42">
        <f>IF(G30=F30=0,0,IF( G30&gt;0,C24-MOD(G30-F30,C24),IF(E30&gt;0,C24-MOD(E30-D30,C24),C24-MOD(C30,C24))))</f>
        <v>32.5</v>
      </c>
    </row>
    <row r="31" spans="1:9" ht="15.75" thickBot="1" x14ac:dyDescent="0.3">
      <c r="B31" s="56" t="s">
        <v>19</v>
      </c>
      <c r="C31" s="45">
        <f>_xlfn.CEILING.MATH(C30/$C24,1,0)</f>
        <v>0</v>
      </c>
      <c r="D31" s="46"/>
      <c r="E31" s="45">
        <f>_xlfn.CEILING.MATH((E30-D30)/$C24,1,0)</f>
        <v>3</v>
      </c>
      <c r="F31" s="46"/>
      <c r="G31" s="45">
        <f>_xlfn.CEILING.MATH((G30-F30)/$C24,1,0)</f>
        <v>0</v>
      </c>
      <c r="H31" s="53"/>
      <c r="I31" s="54"/>
    </row>
    <row r="32" spans="1:9" ht="15.75" thickTop="1" x14ac:dyDescent="0.25">
      <c r="D32" s="57" t="s">
        <v>23</v>
      </c>
      <c r="F32" s="57" t="s">
        <v>23</v>
      </c>
    </row>
    <row r="36" spans="6:6" x14ac:dyDescent="0.25">
      <c r="F36" s="2"/>
    </row>
  </sheetData>
  <sheetProtection sheet="1" objects="1" scenarios="1" selectLockedCells="1"/>
  <dataConsolidate/>
  <mergeCells count="5">
    <mergeCell ref="F1:H1"/>
    <mergeCell ref="C2:E2"/>
    <mergeCell ref="F2:J2"/>
    <mergeCell ref="C7:E7"/>
    <mergeCell ref="B26:I26"/>
  </mergeCells>
  <conditionalFormatting sqref="I25">
    <cfRule type="expression" dxfId="239" priority="24" stopIfTrue="1">
      <formula>IF(I25&gt;=0.9,TRUE, FALSE)</formula>
    </cfRule>
    <cfRule type="expression" dxfId="238" priority="25" stopIfTrue="1">
      <formula>IF(I25&gt;0.75,TRUE,FALSE)</formula>
    </cfRule>
    <cfRule type="expression" dxfId="237" priority="26">
      <formula>IF(I25&gt;0.6, TRUE, FALSE)</formula>
    </cfRule>
  </conditionalFormatting>
  <conditionalFormatting sqref="I28 I30">
    <cfRule type="expression" dxfId="236" priority="29">
      <formula>$I$28=$C$23</formula>
    </cfRule>
  </conditionalFormatting>
  <conditionalFormatting sqref="F12">
    <cfRule type="expression" dxfId="235" priority="12" stopIfTrue="1">
      <formula>F12/C12 &gt;0.3</formula>
    </cfRule>
    <cfRule type="expression" dxfId="234" priority="13" stopIfTrue="1">
      <formula>F12/C12&lt;=0.1</formula>
    </cfRule>
    <cfRule type="expression" dxfId="233" priority="14">
      <formula>F12/C12&lt;=0.2</formula>
    </cfRule>
  </conditionalFormatting>
  <conditionalFormatting sqref="F13:F14">
    <cfRule type="expression" dxfId="232" priority="9" stopIfTrue="1">
      <formula>F13/C13 &gt;0.3</formula>
    </cfRule>
    <cfRule type="expression" dxfId="231" priority="10" stopIfTrue="1">
      <formula>F13/C13&lt;=0.1</formula>
    </cfRule>
    <cfRule type="expression" dxfId="230" priority="11">
      <formula>F13/C13&lt;=0.2</formula>
    </cfRule>
  </conditionalFormatting>
  <conditionalFormatting sqref="F4:N6">
    <cfRule type="expression" dxfId="229" priority="60">
      <formula>IF(F4 &gt;#REF!, TRUE, FALSE)</formula>
    </cfRule>
    <cfRule type="expression" dxfId="228" priority="61">
      <formula>IF(F4&lt;$G17, TRUE, FALSE)</formula>
    </cfRule>
  </conditionalFormatting>
  <conditionalFormatting sqref="H17:H19">
    <cfRule type="expression" dxfId="227" priority="4" stopIfTrue="1">
      <formula>IF(H17&gt;=0.9,TRUE, FALSE)</formula>
    </cfRule>
    <cfRule type="expression" dxfId="226" priority="5" stopIfTrue="1">
      <formula>IF(H17&gt;0.75,TRUE,FALSE)</formula>
    </cfRule>
    <cfRule type="expression" dxfId="225" priority="6">
      <formula>IF(H17&gt;0.6, TRUE, FALSE)</formula>
    </cfRule>
  </conditionalFormatting>
  <conditionalFormatting sqref="H22:H24">
    <cfRule type="expression" dxfId="224" priority="1" stopIfTrue="1">
      <formula>IF(H22&gt;=0.9,TRUE, FALSE)</formula>
    </cfRule>
    <cfRule type="expression" dxfId="223" priority="2" stopIfTrue="1">
      <formula>IF(H22&gt;0.75,TRUE,FALSE)</formula>
    </cfRule>
    <cfRule type="expression" dxfId="222" priority="3">
      <formula>IF(H22&gt;0.6, TRUE, FALSE)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sertColumn_Committed">
                <anchor moveWithCells="1" sizeWithCells="1">
                  <from>
                    <xdr:col>1</xdr:col>
                    <xdr:colOff>581025</xdr:colOff>
                    <xdr:row>7</xdr:row>
                    <xdr:rowOff>66675</xdr:rowOff>
                  </from>
                  <to>
                    <xdr:col>4</xdr:col>
                    <xdr:colOff>561975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setAverageData_Committed">
                <anchor moveWithCells="1" sizeWithCells="1">
                  <from>
                    <xdr:col>7</xdr:col>
                    <xdr:colOff>38100</xdr:colOff>
                    <xdr:row>10</xdr:row>
                    <xdr:rowOff>171450</xdr:rowOff>
                  </from>
                  <to>
                    <xdr:col>8</xdr:col>
                    <xdr:colOff>685800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DeleteLastColumn_Committed">
                <anchor moveWithCells="1" sizeWithCells="1">
                  <from>
                    <xdr:col>6</xdr:col>
                    <xdr:colOff>219075</xdr:colOff>
                    <xdr:row>7</xdr:row>
                    <xdr:rowOff>66675</xdr:rowOff>
                  </from>
                  <to>
                    <xdr:col>8</xdr:col>
                    <xdr:colOff>714375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W58"/>
  <sheetViews>
    <sheetView tabSelected="1" topLeftCell="E1" workbookViewId="0">
      <selection activeCell="N30" sqref="N30"/>
      <pivotSelection pane="bottomRight" activeRow="29" activeCol="13" click="1" r:id="rId2">
        <pivotArea field="8" type="button" dataOnly="0" labelOnly="1" outline="0" axis="axisPage" fieldPosition="0"/>
      </pivotSelection>
    </sheetView>
  </sheetViews>
  <sheetFormatPr defaultRowHeight="15" x14ac:dyDescent="0.25"/>
  <cols>
    <col min="2" max="2" width="12.28515625" customWidth="1"/>
    <col min="3" max="3" width="11" style="120" customWidth="1"/>
    <col min="4" max="4" width="89.42578125" customWidth="1"/>
    <col min="5" max="5" width="8.85546875" customWidth="1"/>
    <col min="6" max="6" width="13.140625" customWidth="1"/>
    <col min="7" max="7" width="9.5703125" customWidth="1"/>
    <col min="8" max="8" width="11.5703125" style="120" customWidth="1"/>
    <col min="9" max="9" width="10.85546875" style="120" customWidth="1"/>
    <col min="10" max="10" width="4.28515625" customWidth="1"/>
    <col min="11" max="11" width="14.42578125" bestFit="1" customWidth="1"/>
    <col min="12" max="12" width="6.42578125" bestFit="1" customWidth="1"/>
    <col min="13" max="13" width="6.42578125" customWidth="1"/>
    <col min="14" max="14" width="13.140625" bestFit="1" customWidth="1"/>
    <col min="15" max="15" width="18.42578125" bestFit="1" customWidth="1"/>
    <col min="16" max="16" width="19" customWidth="1"/>
    <col min="17" max="17" width="16.28515625" customWidth="1"/>
    <col min="18" max="18" width="16.5703125" customWidth="1"/>
    <col min="19" max="19" width="14.5703125" customWidth="1"/>
    <col min="20" max="20" width="13.42578125" customWidth="1"/>
    <col min="21" max="21" width="9.140625" customWidth="1"/>
    <col min="22" max="22" width="11" customWidth="1"/>
    <col min="23" max="23" width="10.85546875" bestFit="1" customWidth="1"/>
    <col min="25" max="25" width="11.5703125" customWidth="1"/>
  </cols>
  <sheetData>
    <row r="1" spans="1:23" ht="30.75" customHeight="1" x14ac:dyDescent="0.25">
      <c r="A1" t="s">
        <v>231</v>
      </c>
      <c r="B1" t="s">
        <v>48</v>
      </c>
      <c r="C1" s="120" t="s">
        <v>47</v>
      </c>
      <c r="D1" t="s">
        <v>46</v>
      </c>
      <c r="E1" t="s">
        <v>38</v>
      </c>
      <c r="F1" t="s">
        <v>45</v>
      </c>
      <c r="G1" t="s">
        <v>44</v>
      </c>
      <c r="H1" s="120" t="s">
        <v>43</v>
      </c>
      <c r="I1" s="120" t="s">
        <v>144</v>
      </c>
      <c r="N1" t="s">
        <v>133</v>
      </c>
      <c r="O1" t="s">
        <v>134</v>
      </c>
      <c r="P1" t="s">
        <v>41</v>
      </c>
      <c r="Q1" t="s">
        <v>135</v>
      </c>
      <c r="R1" t="s">
        <v>136</v>
      </c>
      <c r="S1" s="98" t="s">
        <v>143</v>
      </c>
      <c r="T1" s="98" t="s">
        <v>141</v>
      </c>
      <c r="U1" s="92" t="s">
        <v>40</v>
      </c>
      <c r="V1" s="98" t="s">
        <v>142</v>
      </c>
      <c r="W1" s="98" t="s">
        <v>145</v>
      </c>
    </row>
    <row r="2" spans="1:23" x14ac:dyDescent="0.25">
      <c r="A2" s="102" t="str">
        <f t="shared" ref="A2:A45" si="0">MID(B2,8,3)</f>
        <v>923</v>
      </c>
      <c r="B2" s="120" t="s">
        <v>479</v>
      </c>
      <c r="C2" s="120" t="s">
        <v>32</v>
      </c>
      <c r="D2" s="120" t="s">
        <v>480</v>
      </c>
      <c r="E2" s="120">
        <v>2</v>
      </c>
      <c r="F2" s="120" t="s">
        <v>158</v>
      </c>
      <c r="G2" s="102" t="str">
        <f t="shared" ref="G2:G45" si="1">MID(B2,4,1)</f>
        <v>U</v>
      </c>
      <c r="H2" s="119"/>
      <c r="I2" s="123"/>
      <c r="N2" t="s">
        <v>2</v>
      </c>
      <c r="O2">
        <f>+O10-Table924313845[[#This Row],[Blocked]]</f>
        <v>47</v>
      </c>
      <c r="P2">
        <f>IF(ISERR(P10),0,P10)</f>
        <v>0</v>
      </c>
      <c r="Q2">
        <f>IF(ISERR(Q10),0,Q10)</f>
        <v>0</v>
      </c>
      <c r="R2">
        <f>+IF(ISERR(R14),0,R14)</f>
        <v>0</v>
      </c>
      <c r="S2" s="100">
        <f>Table924313845[[#This Row],[Completed]]/Table924313845[[#This Row],[Committed]]</f>
        <v>0</v>
      </c>
      <c r="T2" s="95">
        <f>Table924313845[[#This Row],[Completed]]/(Table924313845[[#This Row],[Added]]+Table924313845[[#This Row],[Committed]])</f>
        <v>0</v>
      </c>
      <c r="V2" s="96" t="str">
        <f>IF(ISERR(O14),0,O14) &amp; "  (" &amp;TEXT(IF(ISERR(O14),0,O14)/Table924313845[[#This Row],[Committed]],"#%") &amp; ")"</f>
        <v>0  (%)</v>
      </c>
      <c r="W2" s="97" t="str">
        <f>+IF(ISERR(P14),0,P14) &amp; " (" &amp; TEXT(R18, "#%") &amp; ")"</f>
        <v>0 (%)</v>
      </c>
    </row>
    <row r="3" spans="1:23" x14ac:dyDescent="0.25">
      <c r="A3" s="81" t="str">
        <f t="shared" si="0"/>
        <v>922</v>
      </c>
      <c r="B3" s="120" t="s">
        <v>481</v>
      </c>
      <c r="C3" s="120" t="s">
        <v>32</v>
      </c>
      <c r="D3" s="120" t="s">
        <v>482</v>
      </c>
      <c r="E3" s="120">
        <v>3</v>
      </c>
      <c r="F3" s="120" t="s">
        <v>158</v>
      </c>
      <c r="G3" t="str">
        <f t="shared" si="1"/>
        <v>U</v>
      </c>
      <c r="I3" s="123"/>
      <c r="N3" t="s">
        <v>3</v>
      </c>
      <c r="O3">
        <f>+O11-Table924313845[[#This Row],[Blocked]]</f>
        <v>43</v>
      </c>
      <c r="P3">
        <f>IF(ISERR(P11),0,P11)</f>
        <v>0</v>
      </c>
      <c r="Q3">
        <f>IF(ISERR(Q11),0,Q11)</f>
        <v>0</v>
      </c>
      <c r="R3">
        <f>+IF(ISERR(R15),0,R15)</f>
        <v>0</v>
      </c>
      <c r="S3" s="95">
        <f>Table924313845[[#This Row],[Completed]]/Table924313845[[#This Row],[Committed]]</f>
        <v>0</v>
      </c>
      <c r="T3" s="95">
        <f>Table924313845[[#This Row],[Completed]]/(Table924313845[[#This Row],[Added]]+Table924313845[[#This Row],[Committed]])</f>
        <v>0</v>
      </c>
      <c r="V3" s="96" t="str">
        <f>IF(ISERR(O15),0,O15) &amp; "  (" &amp;TEXT(IF(ISERR(O15),0,O15)/Table924313845[[#This Row],[Committed]],"#%") &amp; ")"</f>
        <v>0  (%)</v>
      </c>
      <c r="W3" s="97" t="str">
        <f>+IF(ISERR(P15),0,P15) &amp; " (" &amp; TEXT(R19, "#%") &amp; ")"</f>
        <v>0 (%)</v>
      </c>
    </row>
    <row r="4" spans="1:23" x14ac:dyDescent="0.25">
      <c r="A4" s="81" t="str">
        <f t="shared" si="0"/>
        <v>920</v>
      </c>
      <c r="B4" s="120" t="s">
        <v>483</v>
      </c>
      <c r="C4" s="120" t="s">
        <v>32</v>
      </c>
      <c r="D4" s="120" t="s">
        <v>484</v>
      </c>
      <c r="E4" s="120">
        <v>1</v>
      </c>
      <c r="F4" s="120" t="s">
        <v>158</v>
      </c>
      <c r="G4" t="str">
        <f t="shared" si="1"/>
        <v>U</v>
      </c>
      <c r="I4" s="123"/>
      <c r="N4" t="s">
        <v>303</v>
      </c>
      <c r="O4" s="76">
        <f>SUM(O2:O3)</f>
        <v>90</v>
      </c>
      <c r="P4">
        <f>SUM(P2:P3)</f>
        <v>0</v>
      </c>
      <c r="Q4" s="76">
        <f>SUM(Q2:Q3)</f>
        <v>0</v>
      </c>
      <c r="R4" s="76">
        <f>SUM(R2:R3)</f>
        <v>0</v>
      </c>
      <c r="S4" s="95">
        <f>Table924313845[[#This Row],[Completed]]/Table924313845[[#This Row],[Committed]]</f>
        <v>0</v>
      </c>
      <c r="T4" s="95">
        <f>Table924313845[[#This Row],[Completed]]/(Table924313845[[#This Row],[Added]]+Table924313845[[#This Row],[Committed]])</f>
        <v>0</v>
      </c>
      <c r="V4" s="122" t="e">
        <f>IF(ISERR(SUM(O14:O15)),0,SUM(O14:O15)) &amp;"  ("&amp;TEXT(SUM(O14:O15)/O4,"#%") &amp;")"</f>
        <v>#REF!</v>
      </c>
      <c r="W4" s="97" t="e">
        <f>R4-SUM(O14:O15)&amp;" ("&amp;TEXT((R4-SUM(O14:O15))/IF(P4=0,1,P4),"#%")&amp;")"</f>
        <v>#REF!</v>
      </c>
    </row>
    <row r="5" spans="1:23" x14ac:dyDescent="0.25">
      <c r="A5" s="81" t="str">
        <f t="shared" si="0"/>
        <v>919</v>
      </c>
      <c r="B5" s="120" t="s">
        <v>485</v>
      </c>
      <c r="C5" s="120" t="s">
        <v>32</v>
      </c>
      <c r="D5" s="120" t="s">
        <v>486</v>
      </c>
      <c r="E5" s="120">
        <v>3</v>
      </c>
      <c r="F5" s="120" t="s">
        <v>158</v>
      </c>
      <c r="G5" t="str">
        <f t="shared" si="1"/>
        <v>U</v>
      </c>
      <c r="I5" s="123"/>
      <c r="O5" t="s">
        <v>140</v>
      </c>
      <c r="S5" t="s">
        <v>220</v>
      </c>
    </row>
    <row r="6" spans="1:23" x14ac:dyDescent="0.25">
      <c r="A6" s="102" t="str">
        <f t="shared" si="0"/>
        <v>918</v>
      </c>
      <c r="B6" s="120" t="s">
        <v>487</v>
      </c>
      <c r="C6" s="120" t="s">
        <v>32</v>
      </c>
      <c r="D6" s="120" t="s">
        <v>374</v>
      </c>
      <c r="E6" s="120">
        <v>2</v>
      </c>
      <c r="F6" s="120" t="s">
        <v>184</v>
      </c>
      <c r="G6" t="str">
        <f t="shared" si="1"/>
        <v>U</v>
      </c>
      <c r="I6" s="123"/>
    </row>
    <row r="7" spans="1:23" x14ac:dyDescent="0.25">
      <c r="A7" s="81" t="str">
        <f t="shared" si="0"/>
        <v>917</v>
      </c>
      <c r="B7" s="120" t="s">
        <v>488</v>
      </c>
      <c r="C7" s="120" t="s">
        <v>32</v>
      </c>
      <c r="D7" s="120" t="s">
        <v>489</v>
      </c>
      <c r="E7" s="120">
        <v>2</v>
      </c>
      <c r="F7" s="120" t="s">
        <v>155</v>
      </c>
      <c r="G7" t="str">
        <f t="shared" si="1"/>
        <v>U</v>
      </c>
      <c r="I7" s="123"/>
      <c r="K7" s="80" t="s">
        <v>119</v>
      </c>
      <c r="L7" t="s">
        <v>120</v>
      </c>
    </row>
    <row r="8" spans="1:23" x14ac:dyDescent="0.25">
      <c r="A8" s="81" t="str">
        <f t="shared" si="0"/>
        <v>916</v>
      </c>
      <c r="B8" s="120" t="s">
        <v>490</v>
      </c>
      <c r="C8" s="120" t="s">
        <v>32</v>
      </c>
      <c r="D8" s="120" t="s">
        <v>491</v>
      </c>
      <c r="E8" s="120">
        <v>3</v>
      </c>
      <c r="F8" s="120" t="s">
        <v>189</v>
      </c>
      <c r="G8" t="str">
        <f t="shared" si="1"/>
        <v>U</v>
      </c>
      <c r="I8" s="123"/>
      <c r="K8" s="77" t="s">
        <v>37</v>
      </c>
      <c r="L8" s="76">
        <v>47</v>
      </c>
      <c r="M8" s="76"/>
      <c r="N8" t="s">
        <v>139</v>
      </c>
      <c r="R8" t="s">
        <v>138</v>
      </c>
    </row>
    <row r="9" spans="1:23" x14ac:dyDescent="0.25">
      <c r="A9" s="81" t="str">
        <f t="shared" si="0"/>
        <v>915</v>
      </c>
      <c r="B9" s="120" t="s">
        <v>492</v>
      </c>
      <c r="C9" s="120" t="s">
        <v>32</v>
      </c>
      <c r="D9" s="120" t="s">
        <v>493</v>
      </c>
      <c r="E9" s="120">
        <v>3</v>
      </c>
      <c r="F9" s="120" t="s">
        <v>179</v>
      </c>
      <c r="G9" t="str">
        <f t="shared" si="1"/>
        <v>U</v>
      </c>
      <c r="I9" s="123"/>
      <c r="K9" s="79" t="s">
        <v>32</v>
      </c>
      <c r="L9" s="76">
        <v>44</v>
      </c>
      <c r="M9" s="76"/>
      <c r="N9" t="s">
        <v>133</v>
      </c>
      <c r="O9" t="s">
        <v>42</v>
      </c>
      <c r="P9" t="s">
        <v>41</v>
      </c>
      <c r="Q9" s="94" t="s">
        <v>135</v>
      </c>
      <c r="R9" t="s">
        <v>128</v>
      </c>
    </row>
    <row r="10" spans="1:23" x14ac:dyDescent="0.25">
      <c r="A10" s="81" t="str">
        <f t="shared" si="0"/>
        <v>914</v>
      </c>
      <c r="B10" s="120" t="s">
        <v>494</v>
      </c>
      <c r="C10" s="120" t="s">
        <v>32</v>
      </c>
      <c r="D10" s="120" t="s">
        <v>495</v>
      </c>
      <c r="E10" s="120">
        <v>1</v>
      </c>
      <c r="F10" s="120" t="s">
        <v>108</v>
      </c>
      <c r="G10" t="str">
        <f t="shared" si="1"/>
        <v>U</v>
      </c>
      <c r="I10" s="123"/>
      <c r="K10" s="79" t="s">
        <v>33</v>
      </c>
      <c r="L10" s="76">
        <v>3</v>
      </c>
      <c r="M10" s="76"/>
      <c r="N10" t="s">
        <v>2</v>
      </c>
      <c r="O10">
        <f>+GETPIVOTDATA("Story Points2",$K$20,"Project","A","Added After",)</f>
        <v>47</v>
      </c>
      <c r="P10" t="e">
        <f>+GETPIVOTDATA("Story Points2",$K$20,"Project","A","Added After","Y")</f>
        <v>#REF!</v>
      </c>
      <c r="Q10" s="93" t="e">
        <f>GETPIVOTDATA("Story Points2",$K$7,"Status","Blocked","Project","A")</f>
        <v>#REF!</v>
      </c>
      <c r="R10">
        <f t="shared" ref="R10:R11" si="2">+IF(ISERR(P10),0,P10)+IF(ISERR(O10),0,O10)</f>
        <v>47</v>
      </c>
    </row>
    <row r="11" spans="1:23" x14ac:dyDescent="0.25">
      <c r="A11" s="81" t="str">
        <f t="shared" si="0"/>
        <v>913</v>
      </c>
      <c r="B11" s="120" t="s">
        <v>496</v>
      </c>
      <c r="C11" s="120" t="s">
        <v>32</v>
      </c>
      <c r="D11" s="120" t="s">
        <v>497</v>
      </c>
      <c r="E11" s="120">
        <v>2</v>
      </c>
      <c r="F11" s="120" t="s">
        <v>108</v>
      </c>
      <c r="G11" t="str">
        <f t="shared" si="1"/>
        <v>U</v>
      </c>
      <c r="I11" s="123"/>
      <c r="K11" s="77" t="s">
        <v>36</v>
      </c>
      <c r="L11" s="76">
        <v>43</v>
      </c>
      <c r="M11" s="76"/>
      <c r="N11" t="s">
        <v>3</v>
      </c>
      <c r="O11">
        <f>+GETPIVOTDATA("Story Points2",$K$20,"Project","U","Added After",)</f>
        <v>43</v>
      </c>
      <c r="P11" t="e">
        <f>+GETPIVOTDATA("Story Points2",$K$20,"Project","U","Added After","Y")</f>
        <v>#REF!</v>
      </c>
      <c r="Q11" s="93" t="e">
        <f>GETPIVOTDATA("Story Points2",$K$7,"Status","Blocked","Project","U")</f>
        <v>#REF!</v>
      </c>
      <c r="R11">
        <f t="shared" si="2"/>
        <v>43</v>
      </c>
    </row>
    <row r="12" spans="1:23" x14ac:dyDescent="0.25">
      <c r="A12" s="81" t="str">
        <f t="shared" si="0"/>
        <v>912</v>
      </c>
      <c r="B12" s="120" t="s">
        <v>498</v>
      </c>
      <c r="C12" s="120" t="s">
        <v>32</v>
      </c>
      <c r="D12" s="120" t="s">
        <v>499</v>
      </c>
      <c r="E12" s="120">
        <v>2</v>
      </c>
      <c r="F12" s="120" t="s">
        <v>155</v>
      </c>
      <c r="G12" t="str">
        <f t="shared" si="1"/>
        <v>U</v>
      </c>
      <c r="I12" s="123"/>
      <c r="K12" s="79" t="s">
        <v>32</v>
      </c>
      <c r="L12" s="76">
        <v>41</v>
      </c>
      <c r="M12" s="76"/>
    </row>
    <row r="13" spans="1:23" x14ac:dyDescent="0.25">
      <c r="A13" s="81" t="str">
        <f t="shared" si="0"/>
        <v>911</v>
      </c>
      <c r="B13" s="120" t="s">
        <v>500</v>
      </c>
      <c r="C13" s="120" t="s">
        <v>32</v>
      </c>
      <c r="D13" s="120" t="s">
        <v>501</v>
      </c>
      <c r="E13" s="120">
        <v>2</v>
      </c>
      <c r="F13" s="120" t="s">
        <v>189</v>
      </c>
      <c r="G13" t="str">
        <f t="shared" si="1"/>
        <v>U</v>
      </c>
      <c r="I13" s="123"/>
      <c r="K13" s="79" t="s">
        <v>33</v>
      </c>
      <c r="L13" s="76">
        <v>2</v>
      </c>
      <c r="M13" s="76"/>
      <c r="N13" t="s">
        <v>34</v>
      </c>
      <c r="O13" t="s">
        <v>126</v>
      </c>
      <c r="P13" t="s">
        <v>125</v>
      </c>
      <c r="Q13" s="92" t="s">
        <v>40</v>
      </c>
      <c r="R13" t="s">
        <v>127</v>
      </c>
    </row>
    <row r="14" spans="1:23" x14ac:dyDescent="0.25">
      <c r="A14" s="81" t="str">
        <f t="shared" si="0"/>
        <v>910</v>
      </c>
      <c r="B14" s="120" t="s">
        <v>502</v>
      </c>
      <c r="C14" s="120" t="s">
        <v>32</v>
      </c>
      <c r="D14" s="120" t="s">
        <v>503</v>
      </c>
      <c r="E14" s="120">
        <v>3</v>
      </c>
      <c r="F14" s="120" t="s">
        <v>179</v>
      </c>
      <c r="G14" t="str">
        <f t="shared" si="1"/>
        <v>U</v>
      </c>
      <c r="I14" s="123"/>
      <c r="K14" s="77" t="s">
        <v>31</v>
      </c>
      <c r="L14" s="76">
        <v>90</v>
      </c>
      <c r="M14" s="76"/>
      <c r="N14" t="s">
        <v>2</v>
      </c>
      <c r="O14" t="e">
        <f>+GETPIVOTDATA("Story Points2",$K$20,"Status","Done","Project","A","Added After",)</f>
        <v>#REF!</v>
      </c>
      <c r="P14" t="e">
        <f>+GETPIVOTDATA("Story Points2",$K$20,"Status","Done","Project","A","Added After","Y")</f>
        <v>#REF!</v>
      </c>
      <c r="R14">
        <f t="shared" ref="R14:R15" si="3">+IF(ISERR(P14),0,P14)+IF(ISERR(O14),0,O14)</f>
        <v>0</v>
      </c>
    </row>
    <row r="15" spans="1:23" x14ac:dyDescent="0.25">
      <c r="A15" s="81" t="str">
        <f t="shared" si="0"/>
        <v>908</v>
      </c>
      <c r="B15" s="120" t="s">
        <v>504</v>
      </c>
      <c r="C15" s="120" t="s">
        <v>32</v>
      </c>
      <c r="D15" s="120" t="s">
        <v>505</v>
      </c>
      <c r="E15" s="120">
        <v>2</v>
      </c>
      <c r="F15" s="120" t="s">
        <v>152</v>
      </c>
      <c r="G15" t="str">
        <f t="shared" si="1"/>
        <v>U</v>
      </c>
      <c r="I15" s="123"/>
      <c r="N15" t="s">
        <v>3</v>
      </c>
      <c r="O15" t="e">
        <f>+GETPIVOTDATA("Story Points2",$K$20,"Status","Done","Project","U","Added After",)</f>
        <v>#REF!</v>
      </c>
      <c r="P15" t="e">
        <f>+GETPIVOTDATA("Story Points2",$K$20,"Status","Done","Project","U","Added After","Y")</f>
        <v>#REF!</v>
      </c>
      <c r="R15">
        <f t="shared" si="3"/>
        <v>0</v>
      </c>
    </row>
    <row r="16" spans="1:23" x14ac:dyDescent="0.25">
      <c r="A16" s="102" t="str">
        <f t="shared" si="0"/>
        <v>901</v>
      </c>
      <c r="B16" s="120" t="s">
        <v>506</v>
      </c>
      <c r="C16" s="120" t="s">
        <v>32</v>
      </c>
      <c r="D16" s="120" t="s">
        <v>507</v>
      </c>
      <c r="E16" s="120">
        <v>3</v>
      </c>
      <c r="F16" s="120" t="s">
        <v>179</v>
      </c>
      <c r="G16" s="102" t="str">
        <f t="shared" si="1"/>
        <v>U</v>
      </c>
      <c r="H16" s="119"/>
      <c r="I16" s="123"/>
    </row>
    <row r="17" spans="1:18" x14ac:dyDescent="0.25">
      <c r="A17" s="81" t="str">
        <f t="shared" si="0"/>
        <v>886</v>
      </c>
      <c r="B17" s="120" t="s">
        <v>508</v>
      </c>
      <c r="C17" s="120" t="s">
        <v>32</v>
      </c>
      <c r="D17" s="120" t="s">
        <v>509</v>
      </c>
      <c r="E17" s="120">
        <v>3</v>
      </c>
      <c r="F17" s="120"/>
      <c r="G17" t="str">
        <f t="shared" si="1"/>
        <v>U</v>
      </c>
      <c r="I17" s="123"/>
      <c r="N17" t="s">
        <v>34</v>
      </c>
      <c r="O17" t="s">
        <v>123</v>
      </c>
      <c r="P17" t="s">
        <v>124</v>
      </c>
      <c r="Q17" t="s">
        <v>126</v>
      </c>
      <c r="R17" t="s">
        <v>125</v>
      </c>
    </row>
    <row r="18" spans="1:18" x14ac:dyDescent="0.25">
      <c r="A18" s="102" t="str">
        <f t="shared" si="0"/>
        <v>881</v>
      </c>
      <c r="B18" s="120" t="s">
        <v>510</v>
      </c>
      <c r="C18" s="120" t="s">
        <v>32</v>
      </c>
      <c r="D18" s="120" t="s">
        <v>511</v>
      </c>
      <c r="E18" s="120">
        <v>2</v>
      </c>
      <c r="F18" s="120" t="s">
        <v>155</v>
      </c>
      <c r="G18" s="102" t="str">
        <f t="shared" si="1"/>
        <v>U</v>
      </c>
      <c r="H18" s="119"/>
      <c r="I18" s="123"/>
      <c r="N18" t="s">
        <v>2</v>
      </c>
      <c r="O18" s="99">
        <f>+R14/O10</f>
        <v>0</v>
      </c>
      <c r="P18" s="72">
        <f t="shared" ref="P18:P19" si="4">+R14/R10</f>
        <v>0</v>
      </c>
      <c r="Q18" s="72">
        <f t="shared" ref="Q18:R19" si="5">+IF(ISERR(O14),0,O14)/IF(ISERR(O10),1,O10)</f>
        <v>0</v>
      </c>
      <c r="R18" s="72">
        <f t="shared" si="5"/>
        <v>0</v>
      </c>
    </row>
    <row r="19" spans="1:18" x14ac:dyDescent="0.25">
      <c r="A19" s="81" t="str">
        <f t="shared" si="0"/>
        <v>776</v>
      </c>
      <c r="B19" s="120" t="s">
        <v>285</v>
      </c>
      <c r="C19" s="120" t="s">
        <v>33</v>
      </c>
      <c r="D19" s="120" t="s">
        <v>424</v>
      </c>
      <c r="E19" s="120">
        <v>2</v>
      </c>
      <c r="F19" s="120" t="s">
        <v>189</v>
      </c>
      <c r="G19" s="81" t="str">
        <f t="shared" si="1"/>
        <v>U</v>
      </c>
      <c r="H19" s="119"/>
      <c r="I19" s="123"/>
      <c r="M19" s="76"/>
      <c r="N19" t="s">
        <v>3</v>
      </c>
      <c r="O19" s="72">
        <f>+R15/O11</f>
        <v>0</v>
      </c>
      <c r="P19" s="72">
        <f t="shared" si="4"/>
        <v>0</v>
      </c>
      <c r="Q19" s="72">
        <f t="shared" si="5"/>
        <v>0</v>
      </c>
      <c r="R19" s="72">
        <f t="shared" si="5"/>
        <v>0</v>
      </c>
    </row>
    <row r="20" spans="1:18" x14ac:dyDescent="0.25">
      <c r="A20" s="102" t="str">
        <f t="shared" si="0"/>
        <v>574</v>
      </c>
      <c r="B20" s="120" t="s">
        <v>512</v>
      </c>
      <c r="C20" s="120" t="s">
        <v>32</v>
      </c>
      <c r="D20" s="120" t="s">
        <v>513</v>
      </c>
      <c r="E20" s="120">
        <v>2</v>
      </c>
      <c r="F20" s="120" t="s">
        <v>184</v>
      </c>
      <c r="G20" s="102" t="str">
        <f t="shared" si="1"/>
        <v>U</v>
      </c>
      <c r="H20" s="119"/>
      <c r="I20" s="123"/>
      <c r="K20" s="80" t="s">
        <v>396</v>
      </c>
      <c r="L20" t="s">
        <v>120</v>
      </c>
      <c r="M20" s="76"/>
    </row>
    <row r="21" spans="1:18" x14ac:dyDescent="0.25">
      <c r="A21" s="81" t="str">
        <f t="shared" si="0"/>
        <v>613</v>
      </c>
      <c r="B21" s="120" t="s">
        <v>514</v>
      </c>
      <c r="C21" s="120" t="s">
        <v>32</v>
      </c>
      <c r="D21" s="120" t="s">
        <v>515</v>
      </c>
      <c r="E21" s="120">
        <v>2</v>
      </c>
      <c r="F21" s="120" t="s">
        <v>203</v>
      </c>
      <c r="G21" s="81" t="str">
        <f t="shared" si="1"/>
        <v>A</v>
      </c>
      <c r="H21" s="119"/>
      <c r="I21" s="123"/>
      <c r="K21" s="77" t="s">
        <v>122</v>
      </c>
      <c r="L21" s="76">
        <v>90</v>
      </c>
      <c r="M21" s="76"/>
      <c r="N21" t="s">
        <v>49</v>
      </c>
      <c r="O21" t="s">
        <v>126</v>
      </c>
      <c r="P21" t="s">
        <v>125</v>
      </c>
      <c r="Q21" s="92" t="s">
        <v>239</v>
      </c>
      <c r="R21" t="s">
        <v>129</v>
      </c>
    </row>
    <row r="22" spans="1:18" x14ac:dyDescent="0.25">
      <c r="A22" s="81" t="str">
        <f t="shared" si="0"/>
        <v>612</v>
      </c>
      <c r="B22" s="120" t="s">
        <v>516</v>
      </c>
      <c r="C22" s="120" t="s">
        <v>32</v>
      </c>
      <c r="D22" s="120" t="s">
        <v>517</v>
      </c>
      <c r="E22" s="120">
        <v>3</v>
      </c>
      <c r="F22" s="120" t="s">
        <v>203</v>
      </c>
      <c r="G22" s="81" t="str">
        <f t="shared" si="1"/>
        <v>A</v>
      </c>
      <c r="H22" s="119"/>
      <c r="I22" s="123"/>
      <c r="K22" s="79" t="s">
        <v>37</v>
      </c>
      <c r="L22" s="76">
        <v>47</v>
      </c>
      <c r="M22" s="76"/>
      <c r="N22" t="s">
        <v>2</v>
      </c>
      <c r="O22">
        <f>+GETPIVOTDATA("Story Points",$N$32,"Project","A","Added After",)</f>
        <v>47</v>
      </c>
      <c r="P22" t="e">
        <f>+GETPIVOTDATA("Story Points",$N$32,"Project","A","Added After","Y")</f>
        <v>#REF!</v>
      </c>
      <c r="Q22">
        <f>+O10-IF(ISERR(Q10),0,Q10)-Table722293643[[#This Row],[Committed Done]]</f>
        <v>0</v>
      </c>
      <c r="R22">
        <f>+IF(ISERR(P22),0,P22)+IF(ISERR(O22),0,O22)</f>
        <v>47</v>
      </c>
    </row>
    <row r="23" spans="1:18" x14ac:dyDescent="0.25">
      <c r="A23" s="81" t="str">
        <f t="shared" si="0"/>
        <v>605</v>
      </c>
      <c r="B23" s="120" t="s">
        <v>518</v>
      </c>
      <c r="C23" s="120" t="s">
        <v>32</v>
      </c>
      <c r="D23" s="120" t="s">
        <v>519</v>
      </c>
      <c r="E23" s="120">
        <v>3</v>
      </c>
      <c r="F23" s="120" t="s">
        <v>203</v>
      </c>
      <c r="G23" s="81" t="str">
        <f t="shared" si="1"/>
        <v>A</v>
      </c>
      <c r="H23" s="119"/>
      <c r="I23" s="123"/>
      <c r="K23" s="78" t="s">
        <v>32</v>
      </c>
      <c r="L23" s="76">
        <v>44</v>
      </c>
      <c r="M23" s="76"/>
      <c r="N23" t="s">
        <v>3</v>
      </c>
      <c r="O23">
        <f>+GETPIVOTDATA("Story Points",$N$32,"Project","U","Added After",)</f>
        <v>43</v>
      </c>
      <c r="P23" t="e">
        <f>+GETPIVOTDATA("Story Points",$N$32,"Project","U","Added After","Y")</f>
        <v>#REF!</v>
      </c>
      <c r="Q23">
        <f>+O11-IF(ISERR(Q11),0,Q11)-Table722293643[[#This Row],[Committed Done]]</f>
        <v>0</v>
      </c>
      <c r="R23">
        <f>+IF(ISERR(P23),0,P23)+IF(ISERR(O23),0,O23)</f>
        <v>43</v>
      </c>
    </row>
    <row r="24" spans="1:18" x14ac:dyDescent="0.25">
      <c r="A24" s="102" t="str">
        <f t="shared" si="0"/>
        <v>601</v>
      </c>
      <c r="B24" s="120" t="s">
        <v>520</v>
      </c>
      <c r="C24" s="120" t="s">
        <v>32</v>
      </c>
      <c r="D24" s="120" t="s">
        <v>521</v>
      </c>
      <c r="E24" s="120">
        <v>3</v>
      </c>
      <c r="F24" s="120" t="s">
        <v>155</v>
      </c>
      <c r="G24" s="102" t="str">
        <f t="shared" si="1"/>
        <v>A</v>
      </c>
      <c r="H24" s="119"/>
      <c r="I24" s="123"/>
      <c r="K24" s="78" t="s">
        <v>33</v>
      </c>
      <c r="L24" s="76">
        <v>3</v>
      </c>
      <c r="M24" s="76"/>
    </row>
    <row r="25" spans="1:18" x14ac:dyDescent="0.25">
      <c r="A25" s="102" t="str">
        <f t="shared" si="0"/>
        <v>600</v>
      </c>
      <c r="B25" s="120" t="s">
        <v>522</v>
      </c>
      <c r="C25" s="120" t="s">
        <v>32</v>
      </c>
      <c r="D25" s="120" t="s">
        <v>523</v>
      </c>
      <c r="E25" s="120">
        <v>3</v>
      </c>
      <c r="F25" s="120" t="s">
        <v>196</v>
      </c>
      <c r="G25" s="102" t="str">
        <f t="shared" si="1"/>
        <v>A</v>
      </c>
      <c r="H25" s="119"/>
      <c r="I25" s="123"/>
      <c r="K25" s="79" t="s">
        <v>36</v>
      </c>
      <c r="L25" s="76">
        <v>43</v>
      </c>
      <c r="M25" s="76"/>
      <c r="N25" t="s">
        <v>49</v>
      </c>
      <c r="O25" t="s">
        <v>123</v>
      </c>
      <c r="P25" t="s">
        <v>124</v>
      </c>
      <c r="Q25" t="s">
        <v>126</v>
      </c>
      <c r="R25" t="s">
        <v>130</v>
      </c>
    </row>
    <row r="26" spans="1:18" x14ac:dyDescent="0.25">
      <c r="A26" s="81" t="str">
        <f t="shared" si="0"/>
        <v>598</v>
      </c>
      <c r="B26" s="120" t="s">
        <v>524</v>
      </c>
      <c r="C26" s="120" t="s">
        <v>32</v>
      </c>
      <c r="D26" s="120" t="s">
        <v>525</v>
      </c>
      <c r="E26" s="120">
        <v>3</v>
      </c>
      <c r="F26" s="120" t="s">
        <v>203</v>
      </c>
      <c r="G26" t="str">
        <f t="shared" si="1"/>
        <v>A</v>
      </c>
      <c r="I26" s="123"/>
      <c r="K26" s="78" t="s">
        <v>32</v>
      </c>
      <c r="L26" s="76">
        <v>41</v>
      </c>
      <c r="N26" t="s">
        <v>2</v>
      </c>
      <c r="O26" s="72">
        <f t="shared" ref="O26:O27" si="6">IF(ISERR(R22),0,R22)/IF(ISERR(O10), 1,O10)</f>
        <v>1</v>
      </c>
      <c r="P26" s="72">
        <f t="shared" ref="P26:P27" si="7">IF(ISERR(R22),0,R22)/IF(ISERR(R10),1,R10)</f>
        <v>1</v>
      </c>
      <c r="Q26" s="72">
        <f t="shared" ref="Q26:R27" si="8">+IF(ISERR(O22),0,O22)/IF(ISERR(O10),1,O10)</f>
        <v>1</v>
      </c>
      <c r="R26" s="72">
        <f t="shared" si="8"/>
        <v>0</v>
      </c>
    </row>
    <row r="27" spans="1:18" x14ac:dyDescent="0.25">
      <c r="A27" s="81" t="str">
        <f t="shared" si="0"/>
        <v>539</v>
      </c>
      <c r="B27" s="120" t="s">
        <v>526</v>
      </c>
      <c r="C27" s="120" t="s">
        <v>32</v>
      </c>
      <c r="D27" s="120" t="s">
        <v>527</v>
      </c>
      <c r="E27" s="120">
        <v>3</v>
      </c>
      <c r="F27" s="120" t="s">
        <v>210</v>
      </c>
      <c r="G27" t="str">
        <f t="shared" si="1"/>
        <v>A</v>
      </c>
      <c r="I27" s="123"/>
      <c r="K27" s="78" t="s">
        <v>33</v>
      </c>
      <c r="L27" s="76">
        <v>2</v>
      </c>
      <c r="M27" s="76"/>
      <c r="N27" t="s">
        <v>3</v>
      </c>
      <c r="O27" s="72">
        <f t="shared" si="6"/>
        <v>1</v>
      </c>
      <c r="P27" s="72">
        <f t="shared" si="7"/>
        <v>1</v>
      </c>
      <c r="Q27" s="72">
        <f t="shared" si="8"/>
        <v>1</v>
      </c>
      <c r="R27" s="72">
        <f t="shared" si="8"/>
        <v>0</v>
      </c>
    </row>
    <row r="28" spans="1:18" x14ac:dyDescent="0.25">
      <c r="A28" s="102" t="str">
        <f t="shared" si="0"/>
        <v>520</v>
      </c>
      <c r="B28" s="120" t="s">
        <v>445</v>
      </c>
      <c r="C28" s="120" t="s">
        <v>32</v>
      </c>
      <c r="D28" s="120" t="s">
        <v>446</v>
      </c>
      <c r="E28" s="120">
        <v>3</v>
      </c>
      <c r="F28" s="120" t="s">
        <v>210</v>
      </c>
      <c r="G28" t="str">
        <f t="shared" si="1"/>
        <v>A</v>
      </c>
      <c r="I28" s="123"/>
      <c r="K28" s="77" t="s">
        <v>31</v>
      </c>
      <c r="L28" s="76">
        <v>90</v>
      </c>
      <c r="M28" s="76"/>
    </row>
    <row r="29" spans="1:18" x14ac:dyDescent="0.25">
      <c r="A29" s="81" t="str">
        <f t="shared" si="0"/>
        <v>508</v>
      </c>
      <c r="B29" s="120" t="s">
        <v>451</v>
      </c>
      <c r="C29" s="120" t="s">
        <v>32</v>
      </c>
      <c r="D29" s="120" t="s">
        <v>452</v>
      </c>
      <c r="E29" s="120">
        <v>3</v>
      </c>
      <c r="F29" s="120" t="s">
        <v>196</v>
      </c>
      <c r="G29" t="str">
        <f t="shared" si="1"/>
        <v>A</v>
      </c>
      <c r="I29" s="123"/>
      <c r="M29" s="76"/>
    </row>
    <row r="30" spans="1:18" x14ac:dyDescent="0.25">
      <c r="A30" s="81" t="str">
        <f t="shared" si="0"/>
        <v>399</v>
      </c>
      <c r="B30" s="120" t="s">
        <v>246</v>
      </c>
      <c r="C30" s="120" t="s">
        <v>32</v>
      </c>
      <c r="D30" s="120" t="s">
        <v>247</v>
      </c>
      <c r="E30" s="120">
        <v>3</v>
      </c>
      <c r="F30" s="120" t="s">
        <v>152</v>
      </c>
      <c r="G30" t="str">
        <f t="shared" si="1"/>
        <v>A</v>
      </c>
      <c r="I30" s="123"/>
      <c r="M30" s="76"/>
      <c r="N30" s="80" t="s">
        <v>144</v>
      </c>
      <c r="O30" t="s">
        <v>538</v>
      </c>
    </row>
    <row r="31" spans="1:18" x14ac:dyDescent="0.25">
      <c r="A31" t="str">
        <f t="shared" si="0"/>
        <v>380</v>
      </c>
      <c r="B31" s="120" t="s">
        <v>453</v>
      </c>
      <c r="C31" s="120" t="s">
        <v>33</v>
      </c>
      <c r="D31" s="120" t="s">
        <v>454</v>
      </c>
      <c r="E31" s="120">
        <v>3</v>
      </c>
      <c r="F31" s="120" t="s">
        <v>155</v>
      </c>
      <c r="G31" t="str">
        <f t="shared" si="1"/>
        <v>A</v>
      </c>
      <c r="I31" s="123"/>
      <c r="M31" s="76"/>
    </row>
    <row r="32" spans="1:18" x14ac:dyDescent="0.25">
      <c r="A32" s="81" t="str">
        <f t="shared" si="0"/>
        <v>199</v>
      </c>
      <c r="B32" s="120" t="s">
        <v>528</v>
      </c>
      <c r="C32" s="120" t="s">
        <v>32</v>
      </c>
      <c r="D32" s="120" t="s">
        <v>529</v>
      </c>
      <c r="E32" s="120">
        <v>5</v>
      </c>
      <c r="F32" s="120" t="s">
        <v>210</v>
      </c>
      <c r="G32" t="str">
        <f t="shared" si="1"/>
        <v>A</v>
      </c>
      <c r="I32" s="123"/>
      <c r="N32" s="80" t="s">
        <v>39</v>
      </c>
      <c r="O32" t="s">
        <v>50</v>
      </c>
    </row>
    <row r="33" spans="1:15" x14ac:dyDescent="0.25">
      <c r="A33" s="102" t="str">
        <f t="shared" si="0"/>
        <v>196</v>
      </c>
      <c r="B33" s="120" t="s">
        <v>530</v>
      </c>
      <c r="C33" s="120" t="s">
        <v>32</v>
      </c>
      <c r="D33" s="120" t="s">
        <v>531</v>
      </c>
      <c r="E33" s="120">
        <v>5</v>
      </c>
      <c r="F33" s="120" t="s">
        <v>152</v>
      </c>
      <c r="G33" t="str">
        <f t="shared" si="1"/>
        <v>A</v>
      </c>
      <c r="I33" s="123"/>
      <c r="N33" s="77" t="s">
        <v>37</v>
      </c>
      <c r="O33" s="76"/>
    </row>
    <row r="34" spans="1:15" x14ac:dyDescent="0.25">
      <c r="A34" s="102" t="str">
        <f t="shared" si="0"/>
        <v>194</v>
      </c>
      <c r="B34" s="120" t="s">
        <v>532</v>
      </c>
      <c r="C34" s="120" t="s">
        <v>32</v>
      </c>
      <c r="D34" s="120" t="s">
        <v>533</v>
      </c>
      <c r="E34" s="120">
        <v>5</v>
      </c>
      <c r="F34" s="120" t="s">
        <v>196</v>
      </c>
      <c r="G34" t="str">
        <f t="shared" si="1"/>
        <v>A</v>
      </c>
      <c r="I34" s="123"/>
      <c r="N34" s="79" t="s">
        <v>122</v>
      </c>
      <c r="O34" s="76">
        <v>47</v>
      </c>
    </row>
    <row r="35" spans="1:15" x14ac:dyDescent="0.25">
      <c r="A35" s="102" t="str">
        <f t="shared" si="0"/>
        <v/>
      </c>
      <c r="B35" s="120"/>
      <c r="D35" s="120"/>
      <c r="E35" s="120"/>
      <c r="F35" s="120"/>
      <c r="G35" t="str">
        <f t="shared" si="1"/>
        <v/>
      </c>
      <c r="I35" s="123"/>
      <c r="N35" s="77" t="s">
        <v>131</v>
      </c>
      <c r="O35" s="76">
        <v>47</v>
      </c>
    </row>
    <row r="36" spans="1:15" x14ac:dyDescent="0.25">
      <c r="A36" s="102" t="str">
        <f t="shared" si="0"/>
        <v/>
      </c>
      <c r="B36" s="120"/>
      <c r="D36" s="120"/>
      <c r="E36" s="120"/>
      <c r="F36" s="120"/>
      <c r="G36" t="str">
        <f t="shared" si="1"/>
        <v/>
      </c>
      <c r="I36" s="123"/>
      <c r="N36" s="77" t="s">
        <v>36</v>
      </c>
      <c r="O36" s="76"/>
    </row>
    <row r="37" spans="1:15" x14ac:dyDescent="0.25">
      <c r="A37" s="102" t="str">
        <f t="shared" si="0"/>
        <v/>
      </c>
      <c r="B37" s="119"/>
      <c r="C37" s="119"/>
      <c r="D37" s="119"/>
      <c r="E37" s="119"/>
      <c r="F37" s="119"/>
      <c r="G37" s="102" t="str">
        <f t="shared" si="1"/>
        <v/>
      </c>
      <c r="H37" s="119"/>
      <c r="I37" s="123"/>
      <c r="N37" s="79" t="s">
        <v>122</v>
      </c>
      <c r="O37" s="76">
        <v>43</v>
      </c>
    </row>
    <row r="38" spans="1:15" x14ac:dyDescent="0.25">
      <c r="A38" s="102" t="str">
        <f t="shared" si="0"/>
        <v/>
      </c>
      <c r="B38" s="120"/>
      <c r="D38" s="120"/>
      <c r="E38" s="120"/>
      <c r="F38" s="120"/>
      <c r="G38" s="102" t="str">
        <f t="shared" si="1"/>
        <v/>
      </c>
      <c r="H38" s="119"/>
      <c r="I38" s="123"/>
      <c r="N38" s="77" t="s">
        <v>132</v>
      </c>
      <c r="O38" s="76">
        <v>43</v>
      </c>
    </row>
    <row r="39" spans="1:15" x14ac:dyDescent="0.25">
      <c r="A39" s="81" t="str">
        <f t="shared" si="0"/>
        <v/>
      </c>
      <c r="B39" s="120"/>
      <c r="D39" s="120"/>
      <c r="E39" s="120"/>
      <c r="F39" s="120"/>
      <c r="G39" t="str">
        <f t="shared" si="1"/>
        <v/>
      </c>
      <c r="I39" s="123"/>
      <c r="M39" s="76"/>
      <c r="N39" s="77" t="s">
        <v>31</v>
      </c>
      <c r="O39" s="76">
        <v>90</v>
      </c>
    </row>
    <row r="40" spans="1:15" x14ac:dyDescent="0.25">
      <c r="A40" s="102" t="str">
        <f t="shared" si="0"/>
        <v/>
      </c>
      <c r="B40" s="120"/>
      <c r="D40" s="120"/>
      <c r="E40" s="120"/>
      <c r="F40" s="120"/>
      <c r="G40" t="str">
        <f t="shared" si="1"/>
        <v/>
      </c>
      <c r="I40" s="123"/>
      <c r="M40" s="76"/>
    </row>
    <row r="41" spans="1:15" x14ac:dyDescent="0.25">
      <c r="A41" s="81" t="str">
        <f t="shared" si="0"/>
        <v/>
      </c>
      <c r="B41" s="120"/>
      <c r="D41" s="120"/>
      <c r="E41" s="120"/>
      <c r="F41" s="120"/>
      <c r="G41" t="str">
        <f t="shared" si="1"/>
        <v/>
      </c>
      <c r="I41" s="123"/>
      <c r="M41" s="76"/>
    </row>
    <row r="42" spans="1:15" x14ac:dyDescent="0.25">
      <c r="A42" s="81" t="str">
        <f t="shared" si="0"/>
        <v/>
      </c>
      <c r="B42" s="120"/>
      <c r="D42" s="120"/>
      <c r="E42" s="120"/>
      <c r="F42" s="120"/>
      <c r="G42" t="str">
        <f t="shared" si="1"/>
        <v/>
      </c>
      <c r="I42" s="123"/>
      <c r="M42" s="76"/>
    </row>
    <row r="43" spans="1:15" x14ac:dyDescent="0.25">
      <c r="A43" s="81" t="str">
        <f t="shared" si="0"/>
        <v/>
      </c>
      <c r="B43" s="120"/>
      <c r="D43" s="120"/>
      <c r="E43" s="120"/>
      <c r="F43" s="120"/>
      <c r="G43" t="str">
        <f t="shared" si="1"/>
        <v/>
      </c>
      <c r="I43" s="123"/>
      <c r="M43" s="76"/>
    </row>
    <row r="44" spans="1:15" x14ac:dyDescent="0.25">
      <c r="A44" s="81" t="str">
        <f t="shared" si="0"/>
        <v/>
      </c>
      <c r="B44" s="120"/>
      <c r="D44" s="120"/>
      <c r="E44" s="120"/>
      <c r="F44" s="120"/>
      <c r="G44" t="str">
        <f t="shared" si="1"/>
        <v/>
      </c>
      <c r="I44" s="123"/>
      <c r="M44" s="76"/>
    </row>
    <row r="45" spans="1:15" x14ac:dyDescent="0.25">
      <c r="A45" s="102" t="str">
        <f t="shared" si="0"/>
        <v/>
      </c>
      <c r="B45" s="123"/>
      <c r="C45" s="123"/>
      <c r="D45" s="123"/>
      <c r="E45" s="123"/>
      <c r="F45" s="119"/>
      <c r="G45" s="102" t="str">
        <f t="shared" si="1"/>
        <v/>
      </c>
      <c r="H45" s="119"/>
      <c r="I45" s="123"/>
      <c r="M45" s="76"/>
    </row>
    <row r="46" spans="1:15" x14ac:dyDescent="0.25">
      <c r="M46" s="76"/>
    </row>
    <row r="47" spans="1:15" x14ac:dyDescent="0.25">
      <c r="M47" s="76"/>
    </row>
    <row r="54" spans="11:13" x14ac:dyDescent="0.25">
      <c r="M54" s="76"/>
    </row>
    <row r="55" spans="11:13" x14ac:dyDescent="0.25">
      <c r="M55" s="76"/>
    </row>
    <row r="56" spans="11:13" x14ac:dyDescent="0.25">
      <c r="K56" s="79"/>
      <c r="L56" s="76"/>
      <c r="M56" s="76"/>
    </row>
    <row r="57" spans="11:13" x14ac:dyDescent="0.25">
      <c r="K57" s="77"/>
      <c r="L57" s="76"/>
    </row>
    <row r="58" spans="11:13" x14ac:dyDescent="0.25">
      <c r="K58" s="77"/>
      <c r="L58" s="76"/>
    </row>
  </sheetData>
  <sheetProtection sheet="1" sort="0" autoFilter="0" pivotTables="0"/>
  <conditionalFormatting sqref="I2:I45">
    <cfRule type="expression" dxfId="208" priority="4">
      <formula>$C2="Done"</formula>
    </cfRule>
  </conditionalFormatting>
  <conditionalFormatting sqref="C2:C45">
    <cfRule type="expression" dxfId="207" priority="2">
      <formula>C2="Blocked"</formula>
    </cfRule>
    <cfRule type="expression" dxfId="206" priority="3">
      <formula>C2="Done"</formula>
    </cfRule>
  </conditionalFormatting>
  <conditionalFormatting sqref="I2:I45">
    <cfRule type="expression" dxfId="205" priority="1" stopIfTrue="1">
      <formula>IF(C2="Done", IF(I2&lt;&gt;"Y",TRUE,FALSE),FALSE)</formula>
    </cfRule>
  </conditionalFormatting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7" name="Button 1">
              <controlPr defaultSize="0" print="0" autoFill="0" autoPict="0" macro="[0]!ResetSprintData">
                <anchor moveWithCells="1" sizeWithCells="1">
                  <from>
                    <xdr:col>18</xdr:col>
                    <xdr:colOff>952500</xdr:colOff>
                    <xdr:row>8</xdr:row>
                    <xdr:rowOff>9525</xdr:rowOff>
                  </from>
                  <to>
                    <xdr:col>23</xdr:col>
                    <xdr:colOff>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7"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58"/>
  <sheetViews>
    <sheetView topLeftCell="E1" workbookViewId="0">
      <selection activeCell="H19" sqref="H19:H21"/>
    </sheetView>
  </sheetViews>
  <sheetFormatPr defaultRowHeight="15" x14ac:dyDescent="0.25"/>
  <cols>
    <col min="2" max="2" width="12.28515625" customWidth="1"/>
    <col min="3" max="3" width="11" style="120" customWidth="1"/>
    <col min="4" max="4" width="89.42578125" customWidth="1"/>
    <col min="5" max="5" width="8.85546875" customWidth="1"/>
    <col min="6" max="6" width="13.140625" customWidth="1"/>
    <col min="7" max="7" width="9.5703125" customWidth="1"/>
    <col min="8" max="8" width="11.5703125" style="120" customWidth="1"/>
    <col min="9" max="9" width="10.85546875" style="120" customWidth="1"/>
    <col min="10" max="10" width="4.28515625" customWidth="1"/>
    <col min="11" max="11" width="16.7109375" bestFit="1" customWidth="1"/>
    <col min="12" max="12" width="6.42578125" bestFit="1" customWidth="1"/>
    <col min="13" max="13" width="6.42578125" customWidth="1"/>
    <col min="14" max="14" width="13.140625" bestFit="1" customWidth="1"/>
    <col min="15" max="15" width="18.42578125" bestFit="1" customWidth="1"/>
    <col min="16" max="16" width="19" customWidth="1"/>
    <col min="17" max="17" width="16.28515625" customWidth="1"/>
    <col min="18" max="18" width="16.5703125" customWidth="1"/>
    <col min="19" max="19" width="14.5703125" customWidth="1"/>
    <col min="20" max="20" width="13.42578125" customWidth="1"/>
    <col min="21" max="21" width="9.140625" customWidth="1"/>
    <col min="22" max="22" width="11" customWidth="1"/>
    <col min="23" max="23" width="10.85546875" bestFit="1" customWidth="1"/>
    <col min="25" max="25" width="11.5703125" customWidth="1"/>
  </cols>
  <sheetData>
    <row r="1" spans="1:23" ht="30.75" customHeight="1" x14ac:dyDescent="0.25">
      <c r="A1" t="s">
        <v>231</v>
      </c>
      <c r="B1" t="s">
        <v>48</v>
      </c>
      <c r="C1" s="120" t="s">
        <v>47</v>
      </c>
      <c r="D1" t="s">
        <v>46</v>
      </c>
      <c r="E1" t="s">
        <v>38</v>
      </c>
      <c r="F1" t="s">
        <v>45</v>
      </c>
      <c r="G1" t="s">
        <v>44</v>
      </c>
      <c r="H1" s="120" t="s">
        <v>43</v>
      </c>
      <c r="I1" s="120" t="s">
        <v>144</v>
      </c>
      <c r="N1" t="s">
        <v>133</v>
      </c>
      <c r="O1" t="s">
        <v>134</v>
      </c>
      <c r="P1" t="s">
        <v>41</v>
      </c>
      <c r="Q1" t="s">
        <v>135</v>
      </c>
      <c r="R1" t="s">
        <v>136</v>
      </c>
      <c r="S1" s="98" t="s">
        <v>143</v>
      </c>
      <c r="T1" s="98" t="s">
        <v>141</v>
      </c>
      <c r="U1" s="92" t="s">
        <v>40</v>
      </c>
      <c r="V1" s="98" t="s">
        <v>142</v>
      </c>
      <c r="W1" s="98" t="s">
        <v>145</v>
      </c>
    </row>
    <row r="2" spans="1:23" x14ac:dyDescent="0.25">
      <c r="A2" s="102" t="str">
        <f t="shared" ref="A2:A46" si="0">MID(B2,8,3)</f>
        <v>254</v>
      </c>
      <c r="B2" t="s">
        <v>343</v>
      </c>
      <c r="C2" s="120" t="s">
        <v>34</v>
      </c>
      <c r="D2" t="s">
        <v>344</v>
      </c>
      <c r="E2">
        <v>5</v>
      </c>
      <c r="F2" t="s">
        <v>84</v>
      </c>
      <c r="G2" s="102" t="str">
        <f t="shared" ref="G2:G46" si="1">MID(B2,4,1)</f>
        <v>U</v>
      </c>
      <c r="H2" s="119" t="s">
        <v>35</v>
      </c>
      <c r="I2" s="123" t="s">
        <v>35</v>
      </c>
      <c r="N2" t="s">
        <v>2</v>
      </c>
      <c r="O2">
        <f>+O10-Table9243138[[#This Row],[Blocked]]</f>
        <v>55</v>
      </c>
      <c r="P2">
        <f>IF(ISERR(P10),0,P10)</f>
        <v>9</v>
      </c>
      <c r="Q2">
        <f>IF(ISERR(Q10),0,Q10)</f>
        <v>3</v>
      </c>
      <c r="R2">
        <f>+IF(ISERR(R14),0,R14)</f>
        <v>52</v>
      </c>
      <c r="S2" s="100">
        <f>Table9243138[[#This Row],[Completed]]/Table9243138[[#This Row],[Committed]]</f>
        <v>0.94545454545454544</v>
      </c>
      <c r="T2" s="95">
        <f>Table9243138[[#This Row],[Completed]]/(Table9243138[[#This Row],[Added]]+Table9243138[[#This Row],[Committed]])</f>
        <v>0.8125</v>
      </c>
      <c r="V2" s="96" t="str">
        <f>IF(ISERR(O14),0,O14) &amp; "  (" &amp;TEXT(IF(ISERR(O14),0,O14)/Table9243138[[#This Row],[Committed]],"#%") &amp; ")"</f>
        <v>43  (78%)</v>
      </c>
      <c r="W2" s="97" t="str">
        <f>+IF(ISERR(P14),0,P14) &amp; " (" &amp; TEXT(R18, "#%") &amp; ")"</f>
        <v>9 (100%)</v>
      </c>
    </row>
    <row r="3" spans="1:23" x14ac:dyDescent="0.25">
      <c r="A3" s="81" t="str">
        <f t="shared" si="0"/>
        <v>776</v>
      </c>
      <c r="B3" t="s">
        <v>285</v>
      </c>
      <c r="C3" s="120" t="s">
        <v>33</v>
      </c>
      <c r="D3" t="s">
        <v>424</v>
      </c>
      <c r="E3">
        <v>2</v>
      </c>
      <c r="F3" t="s">
        <v>89</v>
      </c>
      <c r="G3" t="str">
        <f t="shared" si="1"/>
        <v>U</v>
      </c>
      <c r="I3" s="123"/>
      <c r="N3" t="s">
        <v>3</v>
      </c>
      <c r="O3">
        <f>+O11-Table9243138[[#This Row],[Blocked]]</f>
        <v>44</v>
      </c>
      <c r="P3">
        <f>IF(ISERR(P11),0,P11)</f>
        <v>15</v>
      </c>
      <c r="Q3">
        <f>IF(ISERR(Q11),0,Q11)</f>
        <v>6</v>
      </c>
      <c r="R3">
        <f>+IF(ISERR(R15),0,R15)</f>
        <v>57</v>
      </c>
      <c r="S3" s="95">
        <f>Table9243138[[#This Row],[Completed]]/Table9243138[[#This Row],[Committed]]</f>
        <v>1.2954545454545454</v>
      </c>
      <c r="T3" s="95">
        <f>Table9243138[[#This Row],[Completed]]/(Table9243138[[#This Row],[Added]]+Table9243138[[#This Row],[Committed]])</f>
        <v>0.96610169491525422</v>
      </c>
      <c r="V3" s="96" t="str">
        <f>IF(ISERR(O15),0,O15) &amp; "  (" &amp;TEXT(IF(ISERR(O15),0,O15)/Table9243138[[#This Row],[Committed]],"#%") &amp; ")"</f>
        <v>42  (95%)</v>
      </c>
      <c r="W3" s="97" t="str">
        <f>+IF(ISERR(P15),0,P15) &amp; " (" &amp; TEXT(R19, "#%") &amp; ")"</f>
        <v>15 (100%)</v>
      </c>
    </row>
    <row r="4" spans="1:23" x14ac:dyDescent="0.25">
      <c r="A4" s="81" t="str">
        <f t="shared" si="0"/>
        <v>787</v>
      </c>
      <c r="B4" t="s">
        <v>422</v>
      </c>
      <c r="C4" s="120" t="s">
        <v>34</v>
      </c>
      <c r="D4" t="s">
        <v>423</v>
      </c>
      <c r="E4">
        <v>2</v>
      </c>
      <c r="F4" t="s">
        <v>72</v>
      </c>
      <c r="G4" t="str">
        <f t="shared" si="1"/>
        <v>U</v>
      </c>
      <c r="I4" s="123" t="s">
        <v>35</v>
      </c>
      <c r="N4" t="s">
        <v>303</v>
      </c>
      <c r="O4" s="76">
        <f>SUM(O2:O3)</f>
        <v>99</v>
      </c>
      <c r="P4">
        <f>SUM(P2:P3)</f>
        <v>24</v>
      </c>
      <c r="Q4" s="76">
        <f>SUM(Q2:Q3)</f>
        <v>9</v>
      </c>
      <c r="R4" s="76">
        <f>SUM(R2:R3)</f>
        <v>109</v>
      </c>
      <c r="S4" s="95">
        <f>Table9243138[[#This Row],[Completed]]/Table9243138[[#This Row],[Committed]]</f>
        <v>1.101010101010101</v>
      </c>
      <c r="T4" s="95">
        <f>Table9243138[[#This Row],[Completed]]/(Table9243138[[#This Row],[Added]]+Table9243138[[#This Row],[Committed]])</f>
        <v>0.88617886178861793</v>
      </c>
      <c r="V4" s="122" t="str">
        <f>IF(ISERR(SUM(O14:O15)),0,SUM(O14:O15)) &amp;"  ("&amp;TEXT(SUM(O14:O15)/O4,"#%") &amp;")"</f>
        <v>85  (86%)</v>
      </c>
      <c r="W4" s="97" t="str">
        <f>R4-SUM(O14:O15)&amp;" ("&amp;TEXT((R4-SUM(O14:O15))/IF(P4=0,1,P4),"#%")&amp;")"</f>
        <v>24 (100%)</v>
      </c>
    </row>
    <row r="5" spans="1:23" x14ac:dyDescent="0.25">
      <c r="A5" s="81" t="str">
        <f t="shared" si="0"/>
        <v>844</v>
      </c>
      <c r="B5" t="s">
        <v>375</v>
      </c>
      <c r="C5" s="120" t="s">
        <v>34</v>
      </c>
      <c r="D5" t="s">
        <v>376</v>
      </c>
      <c r="E5">
        <v>2</v>
      </c>
      <c r="F5" t="s">
        <v>81</v>
      </c>
      <c r="G5" t="str">
        <f t="shared" si="1"/>
        <v>U</v>
      </c>
      <c r="I5" s="123" t="s">
        <v>35</v>
      </c>
      <c r="O5" t="s">
        <v>140</v>
      </c>
      <c r="S5" t="s">
        <v>220</v>
      </c>
    </row>
    <row r="6" spans="1:23" x14ac:dyDescent="0.25">
      <c r="A6" s="102" t="str">
        <f t="shared" si="0"/>
        <v>865</v>
      </c>
      <c r="B6" t="s">
        <v>420</v>
      </c>
      <c r="C6" s="120" t="s">
        <v>34</v>
      </c>
      <c r="D6" t="s">
        <v>421</v>
      </c>
      <c r="E6">
        <v>3</v>
      </c>
      <c r="F6" t="s">
        <v>81</v>
      </c>
      <c r="G6" t="str">
        <f t="shared" si="1"/>
        <v>U</v>
      </c>
      <c r="I6" s="123" t="s">
        <v>35</v>
      </c>
    </row>
    <row r="7" spans="1:23" x14ac:dyDescent="0.25">
      <c r="A7" s="81" t="str">
        <f t="shared" si="0"/>
        <v>867</v>
      </c>
      <c r="B7" t="s">
        <v>392</v>
      </c>
      <c r="C7" s="120" t="s">
        <v>135</v>
      </c>
      <c r="D7" t="s">
        <v>393</v>
      </c>
      <c r="E7">
        <v>3</v>
      </c>
      <c r="F7" t="s">
        <v>89</v>
      </c>
      <c r="G7" t="str">
        <f t="shared" si="1"/>
        <v>U</v>
      </c>
      <c r="I7" s="123"/>
      <c r="K7" s="80" t="s">
        <v>119</v>
      </c>
      <c r="L7" t="s">
        <v>120</v>
      </c>
    </row>
    <row r="8" spans="1:23" x14ac:dyDescent="0.25">
      <c r="A8" s="81" t="str">
        <f t="shared" si="0"/>
        <v>873</v>
      </c>
      <c r="B8" t="s">
        <v>418</v>
      </c>
      <c r="C8" s="120" t="s">
        <v>34</v>
      </c>
      <c r="D8" t="s">
        <v>419</v>
      </c>
      <c r="E8">
        <v>2</v>
      </c>
      <c r="F8" t="s">
        <v>81</v>
      </c>
      <c r="G8" t="str">
        <f t="shared" si="1"/>
        <v>U</v>
      </c>
      <c r="I8" s="123" t="s">
        <v>35</v>
      </c>
      <c r="K8" s="77" t="s">
        <v>37</v>
      </c>
      <c r="L8" s="76">
        <v>67</v>
      </c>
      <c r="M8" s="76"/>
      <c r="N8" t="s">
        <v>139</v>
      </c>
      <c r="R8" t="s">
        <v>138</v>
      </c>
    </row>
    <row r="9" spans="1:23" x14ac:dyDescent="0.25">
      <c r="A9" s="81" t="str">
        <f t="shared" si="0"/>
        <v>874</v>
      </c>
      <c r="B9" t="s">
        <v>416</v>
      </c>
      <c r="C9" s="120" t="s">
        <v>34</v>
      </c>
      <c r="D9" t="s">
        <v>417</v>
      </c>
      <c r="E9">
        <v>3</v>
      </c>
      <c r="F9" t="s">
        <v>89</v>
      </c>
      <c r="G9" t="str">
        <f t="shared" si="1"/>
        <v>U</v>
      </c>
      <c r="I9" s="123" t="s">
        <v>35</v>
      </c>
      <c r="K9" s="79" t="s">
        <v>32</v>
      </c>
      <c r="L9" s="76">
        <v>6</v>
      </c>
      <c r="M9" s="76"/>
      <c r="N9" t="s">
        <v>133</v>
      </c>
      <c r="O9" t="s">
        <v>42</v>
      </c>
      <c r="P9" t="s">
        <v>41</v>
      </c>
      <c r="Q9" s="94" t="s">
        <v>135</v>
      </c>
      <c r="R9" t="s">
        <v>128</v>
      </c>
    </row>
    <row r="10" spans="1:23" x14ac:dyDescent="0.25">
      <c r="A10" s="102" t="str">
        <f t="shared" si="0"/>
        <v>879</v>
      </c>
      <c r="B10" s="119" t="s">
        <v>536</v>
      </c>
      <c r="C10" s="119" t="s">
        <v>34</v>
      </c>
      <c r="D10" s="131" t="s">
        <v>537</v>
      </c>
      <c r="E10" s="119">
        <v>2</v>
      </c>
      <c r="F10" s="119" t="s">
        <v>112</v>
      </c>
      <c r="G10" s="102" t="str">
        <f t="shared" si="1"/>
        <v>U</v>
      </c>
      <c r="H10" s="119"/>
      <c r="I10" s="123" t="s">
        <v>35</v>
      </c>
      <c r="K10" s="79" t="s">
        <v>33</v>
      </c>
      <c r="L10" s="76">
        <v>6</v>
      </c>
      <c r="M10" s="76"/>
      <c r="N10" t="s">
        <v>2</v>
      </c>
      <c r="O10">
        <f>+GETPIVOTDATA("Story Points2",$K$20,"Project","A","Added After",)</f>
        <v>58</v>
      </c>
      <c r="P10">
        <f>+GETPIVOTDATA("Story Points2",$K$20,"Project","A","Added After","Y")</f>
        <v>9</v>
      </c>
      <c r="Q10" s="93">
        <f>GETPIVOTDATA("Story Points2",$K$7,"Status","Blocked","Project","A")</f>
        <v>3</v>
      </c>
      <c r="R10">
        <f t="shared" ref="R10:R11" si="2">+IF(ISERR(P10),0,P10)+IF(ISERR(O10),0,O10)</f>
        <v>67</v>
      </c>
    </row>
    <row r="11" spans="1:23" x14ac:dyDescent="0.25">
      <c r="A11" s="81" t="str">
        <f t="shared" si="0"/>
        <v>880</v>
      </c>
      <c r="B11" t="s">
        <v>414</v>
      </c>
      <c r="C11" s="120" t="s">
        <v>34</v>
      </c>
      <c r="D11" t="s">
        <v>415</v>
      </c>
      <c r="E11">
        <v>3</v>
      </c>
      <c r="F11" t="s">
        <v>112</v>
      </c>
      <c r="G11" t="str">
        <f t="shared" si="1"/>
        <v>U</v>
      </c>
      <c r="I11" s="123" t="s">
        <v>35</v>
      </c>
      <c r="K11" s="79" t="s">
        <v>135</v>
      </c>
      <c r="L11" s="76">
        <v>3</v>
      </c>
      <c r="M11" s="76"/>
      <c r="N11" t="s">
        <v>3</v>
      </c>
      <c r="O11">
        <f>+GETPIVOTDATA("Story Points2",$K$20,"Project","U","Added After",)</f>
        <v>50</v>
      </c>
      <c r="P11">
        <f>+GETPIVOTDATA("Story Points2",$K$20,"Project","U","Added After","Y")</f>
        <v>15</v>
      </c>
      <c r="Q11" s="93">
        <f>GETPIVOTDATA("Story Points2",$K$7,"Status","Blocked","Project","U")</f>
        <v>6</v>
      </c>
      <c r="R11">
        <f t="shared" si="2"/>
        <v>65</v>
      </c>
    </row>
    <row r="12" spans="1:23" x14ac:dyDescent="0.25">
      <c r="A12" s="81" t="str">
        <f t="shared" si="0"/>
        <v>882</v>
      </c>
      <c r="B12" t="s">
        <v>412</v>
      </c>
      <c r="C12" s="120" t="s">
        <v>34</v>
      </c>
      <c r="D12" t="s">
        <v>413</v>
      </c>
      <c r="E12">
        <v>2</v>
      </c>
      <c r="F12" t="s">
        <v>112</v>
      </c>
      <c r="G12" t="str">
        <f t="shared" si="1"/>
        <v>U</v>
      </c>
      <c r="I12" s="123" t="s">
        <v>35</v>
      </c>
      <c r="K12" s="79" t="s">
        <v>34</v>
      </c>
      <c r="L12" s="76">
        <v>52</v>
      </c>
      <c r="M12" s="76"/>
    </row>
    <row r="13" spans="1:23" x14ac:dyDescent="0.25">
      <c r="A13" s="81" t="str">
        <f t="shared" si="0"/>
        <v>883</v>
      </c>
      <c r="B13" t="s">
        <v>410</v>
      </c>
      <c r="C13" s="120" t="s">
        <v>34</v>
      </c>
      <c r="D13" t="s">
        <v>411</v>
      </c>
      <c r="E13">
        <v>3</v>
      </c>
      <c r="F13" t="s">
        <v>92</v>
      </c>
      <c r="G13" t="str">
        <f t="shared" si="1"/>
        <v>U</v>
      </c>
      <c r="I13" s="123" t="s">
        <v>35</v>
      </c>
      <c r="K13" s="77" t="s">
        <v>36</v>
      </c>
      <c r="L13" s="76">
        <v>65</v>
      </c>
      <c r="M13" s="76"/>
      <c r="N13" t="s">
        <v>34</v>
      </c>
      <c r="O13" t="s">
        <v>126</v>
      </c>
      <c r="P13" t="s">
        <v>125</v>
      </c>
      <c r="Q13" s="92" t="s">
        <v>40</v>
      </c>
      <c r="R13" t="s">
        <v>127</v>
      </c>
    </row>
    <row r="14" spans="1:23" x14ac:dyDescent="0.25">
      <c r="A14" s="81" t="str">
        <f t="shared" si="0"/>
        <v>884</v>
      </c>
      <c r="B14" t="s">
        <v>408</v>
      </c>
      <c r="C14" s="120" t="s">
        <v>34</v>
      </c>
      <c r="D14" t="s">
        <v>409</v>
      </c>
      <c r="E14">
        <v>2</v>
      </c>
      <c r="F14" t="s">
        <v>235</v>
      </c>
      <c r="G14" t="str">
        <f t="shared" si="1"/>
        <v>U</v>
      </c>
      <c r="I14" s="123" t="s">
        <v>35</v>
      </c>
      <c r="K14" s="79" t="s">
        <v>33</v>
      </c>
      <c r="L14" s="76">
        <v>2</v>
      </c>
      <c r="M14" s="76"/>
      <c r="N14" t="s">
        <v>2</v>
      </c>
      <c r="O14">
        <f>+GETPIVOTDATA("Story Points2",$K$20,"Status","Done","Project","A","Added After",)</f>
        <v>43</v>
      </c>
      <c r="P14">
        <f>+GETPIVOTDATA("Story Points2",$K$20,"Status","Done","Project","A","Added After","Y")</f>
        <v>9</v>
      </c>
      <c r="R14">
        <f t="shared" ref="R14:R15" si="3">+IF(ISERR(P14),0,P14)+IF(ISERR(O14),0,O14)</f>
        <v>52</v>
      </c>
    </row>
    <row r="15" spans="1:23" x14ac:dyDescent="0.25">
      <c r="A15" s="81" t="str">
        <f t="shared" si="0"/>
        <v>885</v>
      </c>
      <c r="B15" t="s">
        <v>406</v>
      </c>
      <c r="C15" s="120" t="s">
        <v>34</v>
      </c>
      <c r="D15" t="s">
        <v>407</v>
      </c>
      <c r="E15">
        <v>3</v>
      </c>
      <c r="G15" t="str">
        <f t="shared" si="1"/>
        <v>U</v>
      </c>
      <c r="I15" s="123" t="s">
        <v>35</v>
      </c>
      <c r="K15" s="79" t="s">
        <v>135</v>
      </c>
      <c r="L15" s="76">
        <v>6</v>
      </c>
      <c r="N15" t="s">
        <v>3</v>
      </c>
      <c r="O15">
        <f>+GETPIVOTDATA("Story Points2",$K$20,"Status","Done","Project","U","Added After",)</f>
        <v>42</v>
      </c>
      <c r="P15">
        <f>+GETPIVOTDATA("Story Points2",$K$20,"Status","Done","Project","U","Added After","Y")</f>
        <v>15</v>
      </c>
      <c r="R15">
        <f t="shared" si="3"/>
        <v>57</v>
      </c>
    </row>
    <row r="16" spans="1:23" x14ac:dyDescent="0.25">
      <c r="A16" s="81" t="str">
        <f t="shared" si="0"/>
        <v>887</v>
      </c>
      <c r="B16" t="s">
        <v>404</v>
      </c>
      <c r="C16" s="120" t="s">
        <v>34</v>
      </c>
      <c r="D16" t="s">
        <v>405</v>
      </c>
      <c r="E16">
        <v>2</v>
      </c>
      <c r="F16" t="s">
        <v>81</v>
      </c>
      <c r="G16" t="str">
        <f t="shared" si="1"/>
        <v>U</v>
      </c>
      <c r="I16" s="123" t="s">
        <v>35</v>
      </c>
      <c r="K16" s="79" t="s">
        <v>34</v>
      </c>
      <c r="L16" s="76">
        <v>57</v>
      </c>
    </row>
    <row r="17" spans="1:18" x14ac:dyDescent="0.25">
      <c r="A17" s="102" t="str">
        <f t="shared" si="0"/>
        <v>890</v>
      </c>
      <c r="B17" t="s">
        <v>469</v>
      </c>
      <c r="C17" s="120" t="s">
        <v>34</v>
      </c>
      <c r="D17" s="132" t="s">
        <v>470</v>
      </c>
      <c r="E17">
        <v>3</v>
      </c>
      <c r="F17" t="s">
        <v>72</v>
      </c>
      <c r="G17" s="102" t="str">
        <f t="shared" si="1"/>
        <v>U</v>
      </c>
      <c r="H17" s="119"/>
      <c r="I17" s="123" t="s">
        <v>35</v>
      </c>
      <c r="K17" s="77" t="s">
        <v>31</v>
      </c>
      <c r="L17" s="76">
        <v>132</v>
      </c>
      <c r="N17" t="s">
        <v>34</v>
      </c>
      <c r="O17" t="s">
        <v>123</v>
      </c>
      <c r="P17" t="s">
        <v>124</v>
      </c>
      <c r="Q17" t="s">
        <v>126</v>
      </c>
      <c r="R17" t="s">
        <v>125</v>
      </c>
    </row>
    <row r="18" spans="1:18" x14ac:dyDescent="0.25">
      <c r="A18" s="81" t="str">
        <f t="shared" si="0"/>
        <v>891</v>
      </c>
      <c r="B18" t="s">
        <v>402</v>
      </c>
      <c r="C18" s="120" t="s">
        <v>135</v>
      </c>
      <c r="D18" t="s">
        <v>403</v>
      </c>
      <c r="E18">
        <v>3</v>
      </c>
      <c r="F18" t="s">
        <v>235</v>
      </c>
      <c r="G18" t="str">
        <f t="shared" si="1"/>
        <v>U</v>
      </c>
      <c r="I18" s="123" t="s">
        <v>35</v>
      </c>
      <c r="N18" t="s">
        <v>2</v>
      </c>
      <c r="O18" s="99">
        <f>+R14/O10</f>
        <v>0.89655172413793105</v>
      </c>
      <c r="P18" s="72">
        <f t="shared" ref="P18:P19" si="4">+R14/R10</f>
        <v>0.77611940298507465</v>
      </c>
      <c r="Q18" s="72">
        <f t="shared" ref="Q18:R19" si="5">+IF(ISERR(O14),0,O14)/IF(ISERR(O10),1,O10)</f>
        <v>0.74137931034482762</v>
      </c>
      <c r="R18" s="72">
        <f t="shared" si="5"/>
        <v>1</v>
      </c>
    </row>
    <row r="19" spans="1:18" x14ac:dyDescent="0.25">
      <c r="A19" s="102" t="str">
        <f t="shared" si="0"/>
        <v>893</v>
      </c>
      <c r="B19" t="s">
        <v>467</v>
      </c>
      <c r="C19" s="120" t="s">
        <v>34</v>
      </c>
      <c r="D19" s="132" t="s">
        <v>468</v>
      </c>
      <c r="E19">
        <v>5</v>
      </c>
      <c r="F19" t="s">
        <v>84</v>
      </c>
      <c r="G19" s="102" t="str">
        <f t="shared" si="1"/>
        <v>U</v>
      </c>
      <c r="H19" s="119"/>
      <c r="I19" s="123" t="s">
        <v>35</v>
      </c>
      <c r="M19" s="76"/>
      <c r="N19" t="s">
        <v>3</v>
      </c>
      <c r="O19" s="72">
        <f>+R15/O11</f>
        <v>1.1399999999999999</v>
      </c>
      <c r="P19" s="72">
        <f t="shared" si="4"/>
        <v>0.87692307692307692</v>
      </c>
      <c r="Q19" s="72">
        <f t="shared" si="5"/>
        <v>0.84</v>
      </c>
      <c r="R19" s="72">
        <f t="shared" si="5"/>
        <v>1</v>
      </c>
    </row>
    <row r="20" spans="1:18" x14ac:dyDescent="0.25">
      <c r="A20" s="81" t="str">
        <f t="shared" si="0"/>
        <v>894</v>
      </c>
      <c r="B20" t="s">
        <v>465</v>
      </c>
      <c r="C20" s="120" t="s">
        <v>34</v>
      </c>
      <c r="D20" s="132" t="s">
        <v>466</v>
      </c>
      <c r="E20">
        <v>3</v>
      </c>
      <c r="F20" t="s">
        <v>84</v>
      </c>
      <c r="G20" s="81" t="str">
        <f t="shared" si="1"/>
        <v>U</v>
      </c>
      <c r="H20" s="119"/>
      <c r="I20" s="123" t="s">
        <v>35</v>
      </c>
      <c r="K20" s="80" t="s">
        <v>396</v>
      </c>
      <c r="L20" t="s">
        <v>120</v>
      </c>
      <c r="M20" s="76"/>
    </row>
    <row r="21" spans="1:18" x14ac:dyDescent="0.25">
      <c r="A21" s="102" t="str">
        <f t="shared" si="0"/>
        <v>895</v>
      </c>
      <c r="B21" t="s">
        <v>463</v>
      </c>
      <c r="C21" s="120" t="s">
        <v>34</v>
      </c>
      <c r="D21" s="132" t="s">
        <v>464</v>
      </c>
      <c r="E21">
        <v>2</v>
      </c>
      <c r="F21" t="s">
        <v>89</v>
      </c>
      <c r="G21" s="102" t="str">
        <f t="shared" si="1"/>
        <v>U</v>
      </c>
      <c r="H21" s="119"/>
      <c r="I21" s="123" t="s">
        <v>35</v>
      </c>
      <c r="K21" s="77" t="s">
        <v>122</v>
      </c>
      <c r="L21" s="76">
        <v>108</v>
      </c>
      <c r="M21" s="76"/>
      <c r="N21" t="s">
        <v>49</v>
      </c>
      <c r="O21" t="s">
        <v>126</v>
      </c>
      <c r="P21" t="s">
        <v>125</v>
      </c>
      <c r="Q21" s="92" t="s">
        <v>239</v>
      </c>
      <c r="R21" t="s">
        <v>129</v>
      </c>
    </row>
    <row r="22" spans="1:18" x14ac:dyDescent="0.25">
      <c r="A22" s="81" t="str">
        <f t="shared" si="0"/>
        <v>898</v>
      </c>
      <c r="B22" t="s">
        <v>461</v>
      </c>
      <c r="C22" s="120" t="s">
        <v>34</v>
      </c>
      <c r="D22" t="s">
        <v>462</v>
      </c>
      <c r="E22">
        <v>1</v>
      </c>
      <c r="F22" t="s">
        <v>92</v>
      </c>
      <c r="G22" s="81" t="str">
        <f t="shared" si="1"/>
        <v>U</v>
      </c>
      <c r="H22" s="119" t="s">
        <v>35</v>
      </c>
      <c r="I22" s="123" t="s">
        <v>35</v>
      </c>
      <c r="K22" s="79" t="s">
        <v>37</v>
      </c>
      <c r="L22" s="76">
        <v>58</v>
      </c>
      <c r="M22" s="76"/>
      <c r="N22" t="s">
        <v>2</v>
      </c>
      <c r="O22">
        <f>+GETPIVOTDATA("Story Points",$N$32,"Project","A","Added After",)</f>
        <v>43</v>
      </c>
      <c r="P22">
        <f>+GETPIVOTDATA("Story Points",$N$32,"Project","A","Added After","Y")</f>
        <v>9</v>
      </c>
      <c r="Q22">
        <f>+O10-IF(ISERR(Q10),0,Q10)-Table7222936[[#This Row],[Committed Done]]</f>
        <v>12</v>
      </c>
      <c r="R22">
        <f>+IF(ISERR(P22),0,P22)+IF(ISERR(O22),0,O22)</f>
        <v>52</v>
      </c>
    </row>
    <row r="23" spans="1:18" x14ac:dyDescent="0.25">
      <c r="A23" s="81" t="str">
        <f t="shared" si="0"/>
        <v>899</v>
      </c>
      <c r="B23" t="s">
        <v>459</v>
      </c>
      <c r="C23" s="120" t="s">
        <v>34</v>
      </c>
      <c r="D23" t="s">
        <v>460</v>
      </c>
      <c r="E23">
        <v>1</v>
      </c>
      <c r="F23" t="s">
        <v>92</v>
      </c>
      <c r="G23" s="81" t="str">
        <f t="shared" si="1"/>
        <v>U</v>
      </c>
      <c r="H23" s="119" t="s">
        <v>35</v>
      </c>
      <c r="I23" s="123" t="s">
        <v>35</v>
      </c>
      <c r="K23" s="78" t="s">
        <v>32</v>
      </c>
      <c r="L23" s="76">
        <v>6</v>
      </c>
      <c r="M23" s="76"/>
      <c r="N23" t="s">
        <v>3</v>
      </c>
      <c r="O23">
        <f>+GETPIVOTDATA("Story Points",$N$32,"Project","U","Added After",)</f>
        <v>45</v>
      </c>
      <c r="P23">
        <f>+GETPIVOTDATA("Story Points",$N$32,"Project","U","Added After","Y")</f>
        <v>15</v>
      </c>
      <c r="Q23">
        <f>+O11-IF(ISERR(Q11),0,Q11)-Table7222936[[#This Row],[Committed Done]]</f>
        <v>-1</v>
      </c>
      <c r="R23">
        <f>+IF(ISERR(P23),0,P23)+IF(ISERR(O23),0,O23)</f>
        <v>60</v>
      </c>
    </row>
    <row r="24" spans="1:18" x14ac:dyDescent="0.25">
      <c r="A24" s="81" t="str">
        <f t="shared" si="0"/>
        <v>900</v>
      </c>
      <c r="B24" t="s">
        <v>457</v>
      </c>
      <c r="C24" s="120" t="s">
        <v>34</v>
      </c>
      <c r="D24" t="s">
        <v>458</v>
      </c>
      <c r="E24">
        <v>2</v>
      </c>
      <c r="F24" t="s">
        <v>84</v>
      </c>
      <c r="G24" s="81" t="str">
        <f t="shared" si="1"/>
        <v>U</v>
      </c>
      <c r="H24" s="119" t="s">
        <v>35</v>
      </c>
      <c r="I24" s="123" t="s">
        <v>35</v>
      </c>
      <c r="K24" s="78" t="s">
        <v>33</v>
      </c>
      <c r="L24" s="76">
        <v>6</v>
      </c>
      <c r="M24" s="76"/>
    </row>
    <row r="25" spans="1:18" x14ac:dyDescent="0.25">
      <c r="A25" s="102" t="str">
        <f t="shared" si="0"/>
        <v>903</v>
      </c>
      <c r="B25" t="s">
        <v>455</v>
      </c>
      <c r="C25" s="120" t="s">
        <v>34</v>
      </c>
      <c r="D25" t="s">
        <v>456</v>
      </c>
      <c r="E25">
        <v>3</v>
      </c>
      <c r="F25" t="s">
        <v>84</v>
      </c>
      <c r="G25" s="102" t="str">
        <f t="shared" si="1"/>
        <v>U</v>
      </c>
      <c r="H25" s="119" t="s">
        <v>35</v>
      </c>
      <c r="I25" s="123" t="s">
        <v>35</v>
      </c>
      <c r="K25" s="78" t="s">
        <v>135</v>
      </c>
      <c r="L25" s="76">
        <v>3</v>
      </c>
      <c r="M25" s="76"/>
      <c r="N25" t="s">
        <v>49</v>
      </c>
      <c r="O25" t="s">
        <v>123</v>
      </c>
      <c r="P25" t="s">
        <v>124</v>
      </c>
      <c r="Q25" t="s">
        <v>126</v>
      </c>
      <c r="R25" t="s">
        <v>130</v>
      </c>
    </row>
    <row r="26" spans="1:18" x14ac:dyDescent="0.25">
      <c r="A26" s="102" t="str">
        <f t="shared" si="0"/>
        <v>909</v>
      </c>
      <c r="B26" s="130" t="s">
        <v>473</v>
      </c>
      <c r="C26" s="130" t="s">
        <v>34</v>
      </c>
      <c r="D26" s="130" t="s">
        <v>478</v>
      </c>
      <c r="E26" s="130">
        <v>3</v>
      </c>
      <c r="F26" s="119" t="s">
        <v>112</v>
      </c>
      <c r="G26" s="102" t="str">
        <f t="shared" si="1"/>
        <v>U</v>
      </c>
      <c r="H26" s="119" t="s">
        <v>35</v>
      </c>
      <c r="I26" s="123" t="s">
        <v>35</v>
      </c>
      <c r="K26" s="78" t="s">
        <v>34</v>
      </c>
      <c r="L26" s="76">
        <v>43</v>
      </c>
      <c r="N26" t="s">
        <v>2</v>
      </c>
      <c r="O26" s="72">
        <f t="shared" ref="O26:O27" si="6">IF(ISERR(R22),0,R22)/IF(ISERR(O10), 1,O10)</f>
        <v>0.89655172413793105</v>
      </c>
      <c r="P26" s="72">
        <f t="shared" ref="P26:P27" si="7">IF(ISERR(R22),0,R22)/IF(ISERR(R10),1,R10)</f>
        <v>0.77611940298507465</v>
      </c>
      <c r="Q26" s="72">
        <f t="shared" ref="Q26:R27" si="8">+IF(ISERR(O22),0,O22)/IF(ISERR(O10),1,O10)</f>
        <v>0.74137931034482762</v>
      </c>
      <c r="R26" s="72">
        <f t="shared" si="8"/>
        <v>1</v>
      </c>
    </row>
    <row r="27" spans="1:18" x14ac:dyDescent="0.25">
      <c r="A27" s="81" t="str">
        <f t="shared" si="0"/>
        <v>380</v>
      </c>
      <c r="B27" t="s">
        <v>453</v>
      </c>
      <c r="C27" s="120" t="s">
        <v>33</v>
      </c>
      <c r="D27" t="s">
        <v>454</v>
      </c>
      <c r="E27">
        <v>3</v>
      </c>
      <c r="F27" t="s">
        <v>112</v>
      </c>
      <c r="G27" t="str">
        <f t="shared" si="1"/>
        <v>A</v>
      </c>
      <c r="I27" s="123"/>
      <c r="K27" s="79" t="s">
        <v>36</v>
      </c>
      <c r="L27" s="76">
        <v>50</v>
      </c>
      <c r="M27" s="76"/>
      <c r="N27" t="s">
        <v>3</v>
      </c>
      <c r="O27" s="72">
        <f t="shared" si="6"/>
        <v>1.2</v>
      </c>
      <c r="P27" s="72">
        <f t="shared" si="7"/>
        <v>0.92307692307692313</v>
      </c>
      <c r="Q27" s="72">
        <f t="shared" si="8"/>
        <v>0.9</v>
      </c>
      <c r="R27" s="72">
        <f t="shared" si="8"/>
        <v>1</v>
      </c>
    </row>
    <row r="28" spans="1:18" x14ac:dyDescent="0.25">
      <c r="A28" s="81" t="str">
        <f t="shared" si="0"/>
        <v>397</v>
      </c>
      <c r="B28" t="s">
        <v>366</v>
      </c>
      <c r="C28" s="120" t="s">
        <v>34</v>
      </c>
      <c r="D28" t="s">
        <v>367</v>
      </c>
      <c r="E28">
        <v>3</v>
      </c>
      <c r="F28" t="s">
        <v>72</v>
      </c>
      <c r="G28" t="str">
        <f t="shared" si="1"/>
        <v>A</v>
      </c>
      <c r="I28" s="123" t="s">
        <v>35</v>
      </c>
      <c r="K28" s="78" t="s">
        <v>33</v>
      </c>
      <c r="L28" s="76">
        <v>2</v>
      </c>
      <c r="M28" s="76"/>
    </row>
    <row r="29" spans="1:18" x14ac:dyDescent="0.25">
      <c r="A29" s="102" t="str">
        <f t="shared" si="0"/>
        <v>398</v>
      </c>
      <c r="B29" t="s">
        <v>364</v>
      </c>
      <c r="C29" s="120" t="s">
        <v>34</v>
      </c>
      <c r="D29" t="s">
        <v>365</v>
      </c>
      <c r="E29">
        <v>3</v>
      </c>
      <c r="F29" t="s">
        <v>61</v>
      </c>
      <c r="G29" t="str">
        <f t="shared" si="1"/>
        <v>A</v>
      </c>
      <c r="I29" s="123" t="s">
        <v>35</v>
      </c>
      <c r="K29" s="78" t="s">
        <v>135</v>
      </c>
      <c r="L29" s="76">
        <v>6</v>
      </c>
      <c r="M29" s="76"/>
    </row>
    <row r="30" spans="1:18" x14ac:dyDescent="0.25">
      <c r="A30" s="81" t="str">
        <f t="shared" si="0"/>
        <v>508</v>
      </c>
      <c r="B30" t="s">
        <v>451</v>
      </c>
      <c r="C30" s="120" t="s">
        <v>32</v>
      </c>
      <c r="D30" t="s">
        <v>452</v>
      </c>
      <c r="E30">
        <v>3</v>
      </c>
      <c r="F30" t="s">
        <v>236</v>
      </c>
      <c r="G30" t="str">
        <f t="shared" si="1"/>
        <v>A</v>
      </c>
      <c r="I30" s="123"/>
      <c r="K30" s="78" t="s">
        <v>34</v>
      </c>
      <c r="L30" s="76">
        <v>42</v>
      </c>
      <c r="M30" s="76"/>
      <c r="N30" s="80" t="s">
        <v>144</v>
      </c>
      <c r="O30" t="s">
        <v>35</v>
      </c>
    </row>
    <row r="31" spans="1:18" x14ac:dyDescent="0.25">
      <c r="A31" s="81" t="str">
        <f t="shared" si="0"/>
        <v>509</v>
      </c>
      <c r="B31" t="s">
        <v>449</v>
      </c>
      <c r="C31" s="120" t="s">
        <v>34</v>
      </c>
      <c r="D31" t="s">
        <v>450</v>
      </c>
      <c r="E31">
        <v>3</v>
      </c>
      <c r="F31" t="s">
        <v>236</v>
      </c>
      <c r="G31" t="str">
        <f t="shared" si="1"/>
        <v>A</v>
      </c>
      <c r="I31" s="123" t="s">
        <v>35</v>
      </c>
      <c r="K31" s="77" t="s">
        <v>35</v>
      </c>
      <c r="L31" s="76">
        <v>24</v>
      </c>
      <c r="M31" s="76"/>
    </row>
    <row r="32" spans="1:18" x14ac:dyDescent="0.25">
      <c r="A32" t="str">
        <f t="shared" si="0"/>
        <v>519</v>
      </c>
      <c r="B32" t="s">
        <v>447</v>
      </c>
      <c r="C32" s="120" t="s">
        <v>33</v>
      </c>
      <c r="D32" t="s">
        <v>448</v>
      </c>
      <c r="E32">
        <v>3</v>
      </c>
      <c r="F32" t="s">
        <v>58</v>
      </c>
      <c r="G32" t="str">
        <f t="shared" si="1"/>
        <v>A</v>
      </c>
      <c r="I32" s="123"/>
      <c r="K32" s="79" t="s">
        <v>37</v>
      </c>
      <c r="L32" s="76">
        <v>9</v>
      </c>
      <c r="N32" s="80" t="s">
        <v>39</v>
      </c>
      <c r="O32" t="s">
        <v>50</v>
      </c>
    </row>
    <row r="33" spans="1:15" x14ac:dyDescent="0.25">
      <c r="A33" s="81" t="str">
        <f t="shared" si="0"/>
        <v>520</v>
      </c>
      <c r="B33" t="s">
        <v>445</v>
      </c>
      <c r="C33" s="120" t="s">
        <v>32</v>
      </c>
      <c r="D33" t="s">
        <v>446</v>
      </c>
      <c r="E33">
        <v>3</v>
      </c>
      <c r="F33" t="s">
        <v>58</v>
      </c>
      <c r="G33" t="str">
        <f t="shared" si="1"/>
        <v>A</v>
      </c>
      <c r="I33" s="123"/>
      <c r="K33" s="78" t="s">
        <v>34</v>
      </c>
      <c r="L33" s="76">
        <v>9</v>
      </c>
      <c r="N33" s="77" t="s">
        <v>37</v>
      </c>
      <c r="O33" s="76"/>
    </row>
    <row r="34" spans="1:15" x14ac:dyDescent="0.25">
      <c r="A34" s="102" t="str">
        <f t="shared" si="0"/>
        <v>526</v>
      </c>
      <c r="B34" t="s">
        <v>443</v>
      </c>
      <c r="C34" s="120" t="s">
        <v>34</v>
      </c>
      <c r="D34" t="s">
        <v>444</v>
      </c>
      <c r="E34">
        <v>5</v>
      </c>
      <c r="F34" t="s">
        <v>64</v>
      </c>
      <c r="G34" t="str">
        <f t="shared" si="1"/>
        <v>A</v>
      </c>
      <c r="I34" s="123" t="s">
        <v>35</v>
      </c>
      <c r="K34" s="79" t="s">
        <v>36</v>
      </c>
      <c r="L34" s="76">
        <v>15</v>
      </c>
      <c r="N34" s="79" t="s">
        <v>122</v>
      </c>
      <c r="O34" s="76">
        <v>43</v>
      </c>
    </row>
    <row r="35" spans="1:15" x14ac:dyDescent="0.25">
      <c r="A35" s="102" t="str">
        <f t="shared" si="0"/>
        <v>530</v>
      </c>
      <c r="B35" t="s">
        <v>441</v>
      </c>
      <c r="C35" s="120" t="s">
        <v>34</v>
      </c>
      <c r="D35" t="s">
        <v>442</v>
      </c>
      <c r="E35">
        <v>5</v>
      </c>
      <c r="F35" t="s">
        <v>64</v>
      </c>
      <c r="G35" t="str">
        <f t="shared" si="1"/>
        <v>A</v>
      </c>
      <c r="I35" s="123" t="s">
        <v>35</v>
      </c>
      <c r="K35" s="78" t="s">
        <v>34</v>
      </c>
      <c r="L35" s="76">
        <v>15</v>
      </c>
      <c r="N35" s="79" t="s">
        <v>35</v>
      </c>
      <c r="O35" s="76">
        <v>9</v>
      </c>
    </row>
    <row r="36" spans="1:15" x14ac:dyDescent="0.25">
      <c r="A36" s="102" t="str">
        <f t="shared" si="0"/>
        <v>536</v>
      </c>
      <c r="B36" t="s">
        <v>439</v>
      </c>
      <c r="C36" s="120" t="s">
        <v>34</v>
      </c>
      <c r="D36" t="s">
        <v>440</v>
      </c>
      <c r="E36">
        <v>5</v>
      </c>
      <c r="F36" t="s">
        <v>58</v>
      </c>
      <c r="G36" t="str">
        <f t="shared" si="1"/>
        <v>A</v>
      </c>
      <c r="I36" s="123" t="s">
        <v>35</v>
      </c>
      <c r="K36" s="77" t="s">
        <v>31</v>
      </c>
      <c r="L36" s="76">
        <v>132</v>
      </c>
      <c r="N36" s="77" t="s">
        <v>131</v>
      </c>
      <c r="O36" s="76">
        <v>52</v>
      </c>
    </row>
    <row r="37" spans="1:15" x14ac:dyDescent="0.25">
      <c r="A37" s="102" t="str">
        <f t="shared" si="0"/>
        <v>537</v>
      </c>
      <c r="B37" t="s">
        <v>437</v>
      </c>
      <c r="C37" s="120" t="s">
        <v>34</v>
      </c>
      <c r="D37" t="s">
        <v>438</v>
      </c>
      <c r="E37">
        <v>5</v>
      </c>
      <c r="F37" t="s">
        <v>58</v>
      </c>
      <c r="G37" t="str">
        <f t="shared" si="1"/>
        <v>A</v>
      </c>
      <c r="I37" s="123" t="s">
        <v>35</v>
      </c>
      <c r="N37" s="77" t="s">
        <v>36</v>
      </c>
      <c r="O37" s="76"/>
    </row>
    <row r="38" spans="1:15" x14ac:dyDescent="0.25">
      <c r="A38" s="102" t="str">
        <f t="shared" si="0"/>
        <v>538</v>
      </c>
      <c r="B38" s="119" t="s">
        <v>474</v>
      </c>
      <c r="C38" s="119" t="s">
        <v>34</v>
      </c>
      <c r="D38" s="119" t="s">
        <v>475</v>
      </c>
      <c r="E38" s="119">
        <v>3</v>
      </c>
      <c r="F38" s="119" t="s">
        <v>58</v>
      </c>
      <c r="G38" s="102" t="str">
        <f t="shared" si="1"/>
        <v>A</v>
      </c>
      <c r="H38" s="119" t="s">
        <v>35</v>
      </c>
      <c r="I38" s="123" t="s">
        <v>35</v>
      </c>
      <c r="N38" s="79" t="s">
        <v>122</v>
      </c>
      <c r="O38" s="76">
        <v>45</v>
      </c>
    </row>
    <row r="39" spans="1:15" x14ac:dyDescent="0.25">
      <c r="A39" s="102" t="str">
        <f t="shared" si="0"/>
        <v>548</v>
      </c>
      <c r="B39" t="s">
        <v>471</v>
      </c>
      <c r="C39" s="120" t="s">
        <v>34</v>
      </c>
      <c r="D39" t="s">
        <v>472</v>
      </c>
      <c r="E39">
        <v>3</v>
      </c>
      <c r="F39" t="s">
        <v>64</v>
      </c>
      <c r="G39" s="102" t="str">
        <f t="shared" si="1"/>
        <v>A</v>
      </c>
      <c r="H39" s="119" t="s">
        <v>35</v>
      </c>
      <c r="I39" s="123" t="s">
        <v>35</v>
      </c>
      <c r="M39" s="76"/>
      <c r="N39" s="79" t="s">
        <v>35</v>
      </c>
      <c r="O39" s="76">
        <v>15</v>
      </c>
    </row>
    <row r="40" spans="1:15" x14ac:dyDescent="0.25">
      <c r="A40" s="81" t="str">
        <f t="shared" si="0"/>
        <v>577</v>
      </c>
      <c r="B40" t="s">
        <v>435</v>
      </c>
      <c r="C40" s="120" t="s">
        <v>34</v>
      </c>
      <c r="D40" t="s">
        <v>436</v>
      </c>
      <c r="E40">
        <v>5</v>
      </c>
      <c r="F40" t="s">
        <v>72</v>
      </c>
      <c r="G40" t="str">
        <f t="shared" si="1"/>
        <v>A</v>
      </c>
      <c r="I40" s="123" t="s">
        <v>35</v>
      </c>
      <c r="M40" s="76"/>
      <c r="N40" s="77" t="s">
        <v>132</v>
      </c>
      <c r="O40" s="76">
        <v>60</v>
      </c>
    </row>
    <row r="41" spans="1:15" x14ac:dyDescent="0.25">
      <c r="A41" s="102" t="str">
        <f t="shared" si="0"/>
        <v>582</v>
      </c>
      <c r="B41" t="s">
        <v>433</v>
      </c>
      <c r="C41" s="120" t="s">
        <v>34</v>
      </c>
      <c r="D41" t="s">
        <v>434</v>
      </c>
      <c r="E41">
        <v>3</v>
      </c>
      <c r="F41" t="s">
        <v>61</v>
      </c>
      <c r="G41" t="str">
        <f t="shared" si="1"/>
        <v>A</v>
      </c>
      <c r="I41" s="123" t="s">
        <v>35</v>
      </c>
      <c r="M41" s="76"/>
      <c r="N41" s="77" t="s">
        <v>31</v>
      </c>
      <c r="O41" s="76">
        <v>112</v>
      </c>
    </row>
    <row r="42" spans="1:15" x14ac:dyDescent="0.25">
      <c r="A42" s="81" t="str">
        <f t="shared" si="0"/>
        <v>586</v>
      </c>
      <c r="B42" t="s">
        <v>431</v>
      </c>
      <c r="C42" s="120" t="s">
        <v>135</v>
      </c>
      <c r="D42" t="s">
        <v>432</v>
      </c>
      <c r="E42">
        <v>3</v>
      </c>
      <c r="F42" t="s">
        <v>61</v>
      </c>
      <c r="G42" t="str">
        <f t="shared" si="1"/>
        <v>A</v>
      </c>
      <c r="I42" s="123"/>
      <c r="M42" s="76"/>
    </row>
    <row r="43" spans="1:15" x14ac:dyDescent="0.25">
      <c r="A43" s="81" t="str">
        <f t="shared" si="0"/>
        <v>590</v>
      </c>
      <c r="B43" t="s">
        <v>429</v>
      </c>
      <c r="C43" s="120" t="s">
        <v>34</v>
      </c>
      <c r="D43" t="s">
        <v>430</v>
      </c>
      <c r="E43">
        <v>1</v>
      </c>
      <c r="F43" t="s">
        <v>236</v>
      </c>
      <c r="G43" t="str">
        <f t="shared" si="1"/>
        <v>A</v>
      </c>
      <c r="I43" s="123" t="s">
        <v>35</v>
      </c>
      <c r="M43" s="76"/>
    </row>
    <row r="44" spans="1:15" x14ac:dyDescent="0.25">
      <c r="A44" s="81" t="str">
        <f t="shared" si="0"/>
        <v>591</v>
      </c>
      <c r="B44" t="s">
        <v>427</v>
      </c>
      <c r="C44" s="120" t="s">
        <v>34</v>
      </c>
      <c r="D44" t="s">
        <v>428</v>
      </c>
      <c r="E44">
        <v>2</v>
      </c>
      <c r="F44" t="s">
        <v>236</v>
      </c>
      <c r="G44" t="str">
        <f t="shared" si="1"/>
        <v>A</v>
      </c>
      <c r="I44" s="123" t="s">
        <v>35</v>
      </c>
      <c r="M44" s="76"/>
    </row>
    <row r="45" spans="1:15" x14ac:dyDescent="0.25">
      <c r="A45" s="81" t="str">
        <f t="shared" si="0"/>
        <v>592</v>
      </c>
      <c r="B45" t="s">
        <v>425</v>
      </c>
      <c r="C45" s="120" t="s">
        <v>34</v>
      </c>
      <c r="D45" t="s">
        <v>426</v>
      </c>
      <c r="E45">
        <v>3</v>
      </c>
      <c r="G45" t="str">
        <f t="shared" si="1"/>
        <v>A</v>
      </c>
      <c r="I45" s="123" t="s">
        <v>35</v>
      </c>
      <c r="M45" s="76"/>
    </row>
    <row r="46" spans="1:15" x14ac:dyDescent="0.25">
      <c r="A46" s="102" t="str">
        <f t="shared" si="0"/>
        <v>594</v>
      </c>
      <c r="B46" s="130" t="s">
        <v>476</v>
      </c>
      <c r="C46" s="130" t="s">
        <v>34</v>
      </c>
      <c r="D46" s="130" t="s">
        <v>477</v>
      </c>
      <c r="E46" s="130">
        <v>3</v>
      </c>
      <c r="F46" s="119" t="s">
        <v>58</v>
      </c>
      <c r="G46" s="102" t="str">
        <f t="shared" si="1"/>
        <v>A</v>
      </c>
      <c r="H46" s="119" t="s">
        <v>35</v>
      </c>
      <c r="I46" s="123" t="s">
        <v>35</v>
      </c>
      <c r="M46" s="76"/>
    </row>
    <row r="47" spans="1:15" x14ac:dyDescent="0.25">
      <c r="M47" s="76"/>
    </row>
    <row r="54" spans="11:13" x14ac:dyDescent="0.25">
      <c r="M54" s="76"/>
    </row>
    <row r="55" spans="11:13" x14ac:dyDescent="0.25">
      <c r="M55" s="76"/>
    </row>
    <row r="56" spans="11:13" x14ac:dyDescent="0.25">
      <c r="K56" s="79"/>
      <c r="L56" s="76"/>
      <c r="M56" s="76"/>
    </row>
    <row r="57" spans="11:13" x14ac:dyDescent="0.25">
      <c r="K57" s="77"/>
      <c r="L57" s="76"/>
    </row>
    <row r="58" spans="11:13" x14ac:dyDescent="0.25">
      <c r="K58" s="77"/>
      <c r="L58" s="76"/>
    </row>
  </sheetData>
  <sheetProtection sheet="1" sort="0" autoFilter="0" pivotTables="0"/>
  <conditionalFormatting sqref="I2:I46">
    <cfRule type="expression" dxfId="172" priority="4">
      <formula>$C2="Done"</formula>
    </cfRule>
  </conditionalFormatting>
  <conditionalFormatting sqref="C2:C46">
    <cfRule type="expression" dxfId="171" priority="2">
      <formula>C2="Blocked"</formula>
    </cfRule>
    <cfRule type="expression" dxfId="170" priority="3">
      <formula>C2="Done"</formula>
    </cfRule>
  </conditionalFormatting>
  <conditionalFormatting sqref="I2:I46">
    <cfRule type="expression" dxfId="169" priority="1" stopIfTrue="1">
      <formula>IF(C2="Done", IF(I2&lt;&gt;"Y",TRUE,FALSE),FALSE)</formula>
    </cfRule>
  </conditionalFormatting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7" name="Button 1">
              <controlPr defaultSize="0" print="0" autoFill="0" autoPict="0" macro="[0]!ResetSprintData">
                <anchor moveWithCells="1" sizeWithCells="1">
                  <from>
                    <xdr:col>18</xdr:col>
                    <xdr:colOff>952500</xdr:colOff>
                    <xdr:row>8</xdr:row>
                    <xdr:rowOff>9525</xdr:rowOff>
                  </from>
                  <to>
                    <xdr:col>23</xdr:col>
                    <xdr:colOff>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7">
    <tablePart r:id="rId8"/>
    <tablePart r:id="rId9"/>
    <tablePart r:id="rId10"/>
    <tablePart r:id="rId11"/>
    <tablePart r:id="rId12"/>
    <tablePart r:id="rId13"/>
    <tablePart r:id="rId1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X58"/>
  <sheetViews>
    <sheetView topLeftCell="A2" workbookViewId="0">
      <selection activeCell="J30" sqref="J30"/>
    </sheetView>
  </sheetViews>
  <sheetFormatPr defaultRowHeight="15" x14ac:dyDescent="0.25"/>
  <cols>
    <col min="2" max="2" width="12.28515625" customWidth="1"/>
    <col min="3" max="3" width="11" customWidth="1"/>
    <col min="4" max="4" width="89.42578125" customWidth="1"/>
    <col min="5" max="5" width="8.85546875" customWidth="1"/>
    <col min="6" max="6" width="13.140625" customWidth="1"/>
    <col min="7" max="7" width="9.5703125" customWidth="1"/>
    <col min="8" max="8" width="11.5703125" customWidth="1"/>
    <col min="9" max="9" width="10.85546875" customWidth="1"/>
    <col min="10" max="10" width="12" customWidth="1"/>
    <col min="11" max="11" width="10.85546875" customWidth="1"/>
    <col min="12" max="12" width="11.7109375" bestFit="1" customWidth="1"/>
    <col min="13" max="13" width="6.42578125" bestFit="1" customWidth="1"/>
    <col min="14" max="14" width="6.42578125" customWidth="1"/>
    <col min="15" max="15" width="13.140625" bestFit="1" customWidth="1"/>
    <col min="16" max="16" width="18.42578125" bestFit="1" customWidth="1"/>
    <col min="17" max="17" width="19" customWidth="1"/>
    <col min="18" max="18" width="16.28515625" customWidth="1"/>
    <col min="19" max="19" width="16.5703125" customWidth="1"/>
    <col min="20" max="20" width="14.5703125" customWidth="1"/>
    <col min="21" max="21" width="13.42578125" customWidth="1"/>
    <col min="22" max="22" width="9.140625" customWidth="1"/>
    <col min="23" max="23" width="11" customWidth="1"/>
    <col min="24" max="24" width="10.85546875" bestFit="1" customWidth="1"/>
    <col min="26" max="26" width="11.5703125" customWidth="1"/>
  </cols>
  <sheetData>
    <row r="1" spans="1:24" ht="30.75" customHeight="1" x14ac:dyDescent="0.25">
      <c r="A1" t="s">
        <v>231</v>
      </c>
      <c r="B1" t="s">
        <v>48</v>
      </c>
      <c r="C1" t="s">
        <v>47</v>
      </c>
      <c r="D1" t="s">
        <v>46</v>
      </c>
      <c r="E1" t="s">
        <v>38</v>
      </c>
      <c r="F1" t="s">
        <v>45</v>
      </c>
      <c r="G1" t="s">
        <v>44</v>
      </c>
      <c r="H1" t="s">
        <v>43</v>
      </c>
      <c r="I1" t="s">
        <v>144</v>
      </c>
      <c r="J1" t="s">
        <v>40</v>
      </c>
      <c r="O1" t="s">
        <v>133</v>
      </c>
      <c r="P1" t="s">
        <v>134</v>
      </c>
      <c r="Q1" t="s">
        <v>41</v>
      </c>
      <c r="R1" t="s">
        <v>135</v>
      </c>
      <c r="S1" t="s">
        <v>136</v>
      </c>
      <c r="T1" s="98" t="s">
        <v>143</v>
      </c>
      <c r="U1" s="98" t="s">
        <v>141</v>
      </c>
      <c r="V1" s="92" t="s">
        <v>40</v>
      </c>
      <c r="W1" s="98" t="s">
        <v>142</v>
      </c>
      <c r="X1" s="98" t="s">
        <v>145</v>
      </c>
    </row>
    <row r="2" spans="1:24" x14ac:dyDescent="0.25">
      <c r="A2" s="81" t="str">
        <f t="shared" ref="A2:A41" si="0">MID(B2,8,3)</f>
        <v>254</v>
      </c>
      <c r="B2" s="120" t="s">
        <v>343</v>
      </c>
      <c r="C2" s="120" t="s">
        <v>32</v>
      </c>
      <c r="D2" s="120" t="s">
        <v>344</v>
      </c>
      <c r="E2" s="120">
        <v>5</v>
      </c>
      <c r="F2" s="120" t="s">
        <v>84</v>
      </c>
      <c r="G2" s="81" t="str">
        <f t="shared" ref="G2:G41" si="1">MID(B2,4,1)</f>
        <v>U</v>
      </c>
      <c r="H2" s="119"/>
      <c r="I2" s="125"/>
      <c r="J2" s="91" t="str">
        <f t="shared" ref="J2:J23" si="2">IF(C2="Done", IF(I2&lt;&gt;"Y", "ERR",""),"")</f>
        <v/>
      </c>
      <c r="O2" t="s">
        <v>2</v>
      </c>
      <c r="P2">
        <f>+P10-Table92431[[#This Row],[Blocked]]</f>
        <v>49</v>
      </c>
      <c r="Q2">
        <f>IF(ISERR(Q10),0,Q10)</f>
        <v>3</v>
      </c>
      <c r="R2">
        <f>IF(ISERR(R10),0,R10)</f>
        <v>0</v>
      </c>
      <c r="S2">
        <f>+IF(ISERR(S14),0,S14)</f>
        <v>43</v>
      </c>
      <c r="T2" s="100">
        <f>Table92431[[#This Row],[Completed]]/Table92431[[#This Row],[Committed]]</f>
        <v>0.87755102040816324</v>
      </c>
      <c r="U2" s="95">
        <f>Table92431[[#This Row],[Completed]]/(Table92431[[#This Row],[Added]]+Table92431[[#This Row],[Committed]])</f>
        <v>0.82692307692307687</v>
      </c>
      <c r="W2" s="96" t="str">
        <f>IF(ISERR(P14),0,P14) &amp; "  (" &amp;TEXT(IF(ISERR(P14),0,P14)/Table92431[[#This Row],[Committed]],"#%") &amp; ")"</f>
        <v>40  (82%)</v>
      </c>
      <c r="X2" s="97" t="str">
        <f>+IF(ISERR(Q14),0,Q14) &amp; " (" &amp; TEXT(S18, "#%") &amp; ")"</f>
        <v>3 (100%)</v>
      </c>
    </row>
    <row r="3" spans="1:24" x14ac:dyDescent="0.25">
      <c r="A3" s="81" t="str">
        <f t="shared" si="0"/>
        <v>694</v>
      </c>
      <c r="B3" s="120" t="s">
        <v>341</v>
      </c>
      <c r="C3" s="120" t="s">
        <v>34</v>
      </c>
      <c r="D3" s="120" t="s">
        <v>342</v>
      </c>
      <c r="E3" s="120">
        <v>1</v>
      </c>
      <c r="F3" s="120" t="s">
        <v>84</v>
      </c>
      <c r="G3" s="81" t="str">
        <f t="shared" si="1"/>
        <v>U</v>
      </c>
      <c r="H3" s="119"/>
      <c r="I3" s="120" t="s">
        <v>35</v>
      </c>
      <c r="J3" s="91" t="str">
        <f t="shared" si="2"/>
        <v/>
      </c>
      <c r="O3" t="s">
        <v>3</v>
      </c>
      <c r="P3">
        <f>+P11-Table92431[[#This Row],[Blocked]]</f>
        <v>54</v>
      </c>
      <c r="Q3">
        <f>IF(ISERR(Q11),0,Q11)</f>
        <v>5</v>
      </c>
      <c r="R3">
        <f>IF(ISERR(R11),0,R11)</f>
        <v>5</v>
      </c>
      <c r="S3">
        <f>+IF(ISERR(S15),0,S15)</f>
        <v>51</v>
      </c>
      <c r="T3" s="95">
        <f>Table92431[[#This Row],[Completed]]/Table92431[[#This Row],[Committed]]</f>
        <v>0.94444444444444442</v>
      </c>
      <c r="U3" s="95">
        <f>Table92431[[#This Row],[Completed]]/(Table92431[[#This Row],[Added]]+Table92431[[#This Row],[Committed]])</f>
        <v>0.86440677966101698</v>
      </c>
      <c r="W3" s="96" t="str">
        <f>IF(ISERR(P15),0,P15) &amp; "  (" &amp;TEXT(IF(ISERR(P15),0,P15)/Table92431[[#This Row],[Committed]],"#%") &amp; ")"</f>
        <v>49  (91%)</v>
      </c>
      <c r="X3" s="97" t="str">
        <f>+IF(ISERR(Q15),0,Q15) &amp; " (" &amp; TEXT(S19, "#%") &amp; ")"</f>
        <v>2 (40%)</v>
      </c>
    </row>
    <row r="4" spans="1:24" x14ac:dyDescent="0.25">
      <c r="A4" s="81" t="str">
        <f t="shared" si="0"/>
        <v>838</v>
      </c>
      <c r="B4" s="120" t="s">
        <v>339</v>
      </c>
      <c r="C4" s="120" t="s">
        <v>34</v>
      </c>
      <c r="D4" s="120" t="s">
        <v>340</v>
      </c>
      <c r="E4" s="120">
        <v>3</v>
      </c>
      <c r="F4" s="120" t="s">
        <v>112</v>
      </c>
      <c r="G4" s="81" t="str">
        <f t="shared" si="1"/>
        <v>U</v>
      </c>
      <c r="H4" s="119"/>
      <c r="I4" s="120" t="s">
        <v>35</v>
      </c>
      <c r="J4" s="91" t="str">
        <f t="shared" si="2"/>
        <v/>
      </c>
      <c r="O4" t="s">
        <v>303</v>
      </c>
      <c r="P4" s="76">
        <f>SUM(P2:P3)</f>
        <v>103</v>
      </c>
      <c r="Q4">
        <f>SUM(Q2:Q3)</f>
        <v>8</v>
      </c>
      <c r="R4" s="76">
        <f>SUM(R2:R3)</f>
        <v>5</v>
      </c>
      <c r="S4" s="76">
        <f>SUM(S2:S3)</f>
        <v>94</v>
      </c>
      <c r="T4" s="95">
        <f>Table92431[[#This Row],[Completed]]/Table92431[[#This Row],[Committed]]</f>
        <v>0.91262135922330101</v>
      </c>
      <c r="U4" s="95">
        <f>Table92431[[#This Row],[Completed]]/(Table92431[[#This Row],[Added]]+Table92431[[#This Row],[Committed]])</f>
        <v>0.84684684684684686</v>
      </c>
      <c r="W4" s="122" t="str">
        <f>IF(ISERR(SUM(P14:P15)),0,SUM(P14:P15)) &amp;"  ("&amp;TEXT(SUM(P14:P15)/P4,"#%") &amp;")"</f>
        <v>89  (86%)</v>
      </c>
      <c r="X4" s="97" t="str">
        <f>S4-SUM(P14:P15)&amp;" ("&amp;TEXT((S4-SUM(P14:P15))/IF(Q4=0,1,Q4),"#%")&amp;")"</f>
        <v>5 (63%)</v>
      </c>
    </row>
    <row r="5" spans="1:24" x14ac:dyDescent="0.25">
      <c r="A5" s="81" t="str">
        <f t="shared" si="0"/>
        <v>839</v>
      </c>
      <c r="B5" s="120" t="s">
        <v>337</v>
      </c>
      <c r="C5" s="120" t="s">
        <v>32</v>
      </c>
      <c r="D5" s="120" t="s">
        <v>338</v>
      </c>
      <c r="E5" s="120">
        <v>3</v>
      </c>
      <c r="F5" s="120" t="s">
        <v>112</v>
      </c>
      <c r="G5" s="81" t="str">
        <f t="shared" si="1"/>
        <v>U</v>
      </c>
      <c r="H5" s="119"/>
      <c r="I5" s="120"/>
      <c r="J5" s="91" t="str">
        <f t="shared" si="2"/>
        <v/>
      </c>
      <c r="P5" t="s">
        <v>140</v>
      </c>
      <c r="T5" t="s">
        <v>220</v>
      </c>
    </row>
    <row r="6" spans="1:24" x14ac:dyDescent="0.25">
      <c r="A6" s="81" t="str">
        <f t="shared" si="0"/>
        <v>841</v>
      </c>
      <c r="B6" s="120" t="s">
        <v>335</v>
      </c>
      <c r="C6" s="120" t="s">
        <v>34</v>
      </c>
      <c r="D6" s="120" t="s">
        <v>336</v>
      </c>
      <c r="E6" s="120">
        <v>3</v>
      </c>
      <c r="F6" s="120" t="s">
        <v>112</v>
      </c>
      <c r="G6" s="81" t="str">
        <f t="shared" si="1"/>
        <v>U</v>
      </c>
      <c r="H6" s="119"/>
      <c r="I6" s="120" t="s">
        <v>35</v>
      </c>
      <c r="J6" s="91" t="str">
        <f t="shared" si="2"/>
        <v/>
      </c>
    </row>
    <row r="7" spans="1:24" x14ac:dyDescent="0.25">
      <c r="A7" s="81" t="str">
        <f t="shared" si="0"/>
        <v>842</v>
      </c>
      <c r="B7" s="120" t="s">
        <v>333</v>
      </c>
      <c r="C7" s="120" t="s">
        <v>34</v>
      </c>
      <c r="D7" s="120" t="s">
        <v>334</v>
      </c>
      <c r="E7" s="120">
        <v>3</v>
      </c>
      <c r="F7" s="120" t="s">
        <v>112</v>
      </c>
      <c r="G7" s="81" t="str">
        <f t="shared" si="1"/>
        <v>U</v>
      </c>
      <c r="H7" s="119"/>
      <c r="I7" s="120" t="s">
        <v>35</v>
      </c>
      <c r="J7" s="91" t="str">
        <f t="shared" si="2"/>
        <v/>
      </c>
      <c r="L7" s="80" t="s">
        <v>119</v>
      </c>
      <c r="M7" t="s">
        <v>120</v>
      </c>
    </row>
    <row r="8" spans="1:24" x14ac:dyDescent="0.25">
      <c r="A8" s="81" t="str">
        <f t="shared" si="0"/>
        <v>843</v>
      </c>
      <c r="B8" t="s">
        <v>373</v>
      </c>
      <c r="C8" s="120" t="s">
        <v>34</v>
      </c>
      <c r="D8" s="120" t="s">
        <v>374</v>
      </c>
      <c r="E8" s="120">
        <v>2</v>
      </c>
      <c r="F8" s="120" t="s">
        <v>81</v>
      </c>
      <c r="G8" s="81" t="str">
        <f t="shared" si="1"/>
        <v>U</v>
      </c>
      <c r="H8" s="119"/>
      <c r="I8" s="120" t="s">
        <v>35</v>
      </c>
      <c r="J8" s="91" t="str">
        <f t="shared" si="2"/>
        <v/>
      </c>
      <c r="L8" s="77" t="s">
        <v>37</v>
      </c>
      <c r="M8" s="76">
        <v>52</v>
      </c>
      <c r="N8" s="76"/>
      <c r="O8" t="s">
        <v>139</v>
      </c>
      <c r="S8" t="s">
        <v>138</v>
      </c>
    </row>
    <row r="9" spans="1:24" x14ac:dyDescent="0.25">
      <c r="A9" s="81" t="str">
        <f t="shared" si="0"/>
        <v>844</v>
      </c>
      <c r="B9" s="109" t="s">
        <v>375</v>
      </c>
      <c r="C9" s="125" t="s">
        <v>135</v>
      </c>
      <c r="D9" s="125" t="s">
        <v>376</v>
      </c>
      <c r="E9" s="125">
        <v>2</v>
      </c>
      <c r="F9" s="125" t="s">
        <v>81</v>
      </c>
      <c r="G9" s="109" t="str">
        <f t="shared" si="1"/>
        <v>U</v>
      </c>
      <c r="H9" s="125"/>
      <c r="I9" s="125"/>
      <c r="J9" s="109" t="str">
        <f t="shared" si="2"/>
        <v/>
      </c>
      <c r="L9" s="79" t="s">
        <v>32</v>
      </c>
      <c r="M9" s="76">
        <v>9</v>
      </c>
      <c r="N9" s="76"/>
      <c r="O9" t="s">
        <v>133</v>
      </c>
      <c r="P9" t="s">
        <v>42</v>
      </c>
      <c r="Q9" t="s">
        <v>41</v>
      </c>
      <c r="R9" s="94" t="s">
        <v>135</v>
      </c>
      <c r="S9" t="s">
        <v>128</v>
      </c>
    </row>
    <row r="10" spans="1:24" x14ac:dyDescent="0.25">
      <c r="A10" s="81" t="str">
        <f t="shared" si="0"/>
        <v>846</v>
      </c>
      <c r="B10" s="120" t="s">
        <v>331</v>
      </c>
      <c r="C10" s="120" t="s">
        <v>34</v>
      </c>
      <c r="D10" s="120" t="s">
        <v>332</v>
      </c>
      <c r="E10" s="120">
        <v>3</v>
      </c>
      <c r="F10" s="120" t="s">
        <v>112</v>
      </c>
      <c r="G10" s="81" t="str">
        <f t="shared" si="1"/>
        <v>U</v>
      </c>
      <c r="H10" s="119"/>
      <c r="I10" s="120" t="s">
        <v>35</v>
      </c>
      <c r="J10" s="91" t="str">
        <f t="shared" si="2"/>
        <v/>
      </c>
      <c r="L10" s="79" t="s">
        <v>34</v>
      </c>
      <c r="M10" s="76">
        <v>43</v>
      </c>
      <c r="N10" s="76"/>
      <c r="O10" t="s">
        <v>2</v>
      </c>
      <c r="P10">
        <f>+GETPIVOTDATA("Story Points2",$L$20,"Project","A","Added After",)</f>
        <v>49</v>
      </c>
      <c r="Q10">
        <f>+GETPIVOTDATA("Story Points2",$L$20,"Project","A","Added After","Y")</f>
        <v>3</v>
      </c>
      <c r="R10" s="93" t="e">
        <f>GETPIVOTDATA("Story Points2",$L$7,"Status","Blocked","Project","A")</f>
        <v>#REF!</v>
      </c>
      <c r="S10">
        <f t="shared" ref="S10:S11" si="3">+IF(ISERR(Q10),0,Q10)+IF(ISERR(P10),0,P10)</f>
        <v>52</v>
      </c>
    </row>
    <row r="11" spans="1:24" x14ac:dyDescent="0.25">
      <c r="A11" s="81" t="str">
        <f t="shared" si="0"/>
        <v>847</v>
      </c>
      <c r="B11" s="120" t="s">
        <v>329</v>
      </c>
      <c r="C11" s="120" t="s">
        <v>34</v>
      </c>
      <c r="D11" s="120" t="s">
        <v>330</v>
      </c>
      <c r="E11" s="120">
        <v>3</v>
      </c>
      <c r="F11" s="120"/>
      <c r="G11" s="81" t="str">
        <f t="shared" si="1"/>
        <v>U</v>
      </c>
      <c r="H11" s="119"/>
      <c r="I11" s="120" t="s">
        <v>35</v>
      </c>
      <c r="J11" s="91" t="str">
        <f t="shared" si="2"/>
        <v/>
      </c>
      <c r="L11" s="77" t="s">
        <v>36</v>
      </c>
      <c r="M11" s="76">
        <v>64</v>
      </c>
      <c r="N11" s="76"/>
      <c r="O11" t="s">
        <v>3</v>
      </c>
      <c r="P11">
        <f>+GETPIVOTDATA("Story Points2",$L$20,"Project","U","Added After",)</f>
        <v>59</v>
      </c>
      <c r="Q11">
        <f>+GETPIVOTDATA("Story Points2",$L$20,"Project","U","Added After","Y")</f>
        <v>5</v>
      </c>
      <c r="R11" s="93">
        <f>GETPIVOTDATA("Story Points2",$L$7,"Status","Blocked","Project","U")</f>
        <v>5</v>
      </c>
      <c r="S11">
        <f t="shared" si="3"/>
        <v>64</v>
      </c>
    </row>
    <row r="12" spans="1:24" x14ac:dyDescent="0.25">
      <c r="A12" s="102" t="str">
        <f t="shared" si="0"/>
        <v>848</v>
      </c>
      <c r="B12" s="120" t="s">
        <v>327</v>
      </c>
      <c r="C12" s="120" t="s">
        <v>34</v>
      </c>
      <c r="D12" s="120" t="s">
        <v>328</v>
      </c>
      <c r="E12" s="120">
        <v>3</v>
      </c>
      <c r="F12" s="120" t="s">
        <v>89</v>
      </c>
      <c r="G12" s="102" t="str">
        <f t="shared" si="1"/>
        <v>U</v>
      </c>
      <c r="H12" s="119"/>
      <c r="I12" s="120" t="s">
        <v>35</v>
      </c>
      <c r="J12" s="103" t="str">
        <f t="shared" si="2"/>
        <v/>
      </c>
      <c r="L12" s="79" t="s">
        <v>32</v>
      </c>
      <c r="M12" s="76">
        <v>8</v>
      </c>
      <c r="N12" s="76"/>
    </row>
    <row r="13" spans="1:24" x14ac:dyDescent="0.25">
      <c r="A13" s="81" t="str">
        <f t="shared" si="0"/>
        <v>849</v>
      </c>
      <c r="B13" s="120" t="s">
        <v>325</v>
      </c>
      <c r="C13" s="120" t="s">
        <v>34</v>
      </c>
      <c r="D13" s="120" t="s">
        <v>326</v>
      </c>
      <c r="E13" s="120">
        <v>5</v>
      </c>
      <c r="F13" s="120" t="s">
        <v>92</v>
      </c>
      <c r="G13" s="81" t="str">
        <f t="shared" si="1"/>
        <v>U</v>
      </c>
      <c r="H13" s="119"/>
      <c r="I13" s="120" t="s">
        <v>35</v>
      </c>
      <c r="J13" s="91" t="str">
        <f t="shared" si="2"/>
        <v/>
      </c>
      <c r="L13" s="79" t="s">
        <v>34</v>
      </c>
      <c r="M13" s="76">
        <v>51</v>
      </c>
      <c r="N13" s="76"/>
      <c r="O13" t="s">
        <v>34</v>
      </c>
      <c r="P13" t="s">
        <v>126</v>
      </c>
      <c r="Q13" t="s">
        <v>125</v>
      </c>
      <c r="R13" s="92" t="s">
        <v>40</v>
      </c>
      <c r="S13" t="s">
        <v>127</v>
      </c>
    </row>
    <row r="14" spans="1:24" x14ac:dyDescent="0.25">
      <c r="A14" s="81" t="str">
        <f t="shared" si="0"/>
        <v>850</v>
      </c>
      <c r="B14" s="120" t="s">
        <v>323</v>
      </c>
      <c r="C14" s="120" t="s">
        <v>34</v>
      </c>
      <c r="D14" s="120" t="s">
        <v>324</v>
      </c>
      <c r="E14" s="120">
        <v>3</v>
      </c>
      <c r="F14" s="120" t="s">
        <v>92</v>
      </c>
      <c r="G14" s="81" t="str">
        <f t="shared" si="1"/>
        <v>U</v>
      </c>
      <c r="H14" s="119"/>
      <c r="I14" s="125" t="s">
        <v>35</v>
      </c>
      <c r="J14" s="91" t="str">
        <f t="shared" si="2"/>
        <v/>
      </c>
      <c r="L14" s="79" t="s">
        <v>135</v>
      </c>
      <c r="M14" s="76">
        <v>5</v>
      </c>
      <c r="N14" s="76"/>
      <c r="O14" t="s">
        <v>2</v>
      </c>
      <c r="P14">
        <f>+GETPIVOTDATA("Story Points2",$L$20,"Status","Done","Project","A","Added After",)</f>
        <v>40</v>
      </c>
      <c r="Q14">
        <f>+GETPIVOTDATA("Story Points2",$L$20,"Status","Done","Project","A","Added After","Y")</f>
        <v>3</v>
      </c>
      <c r="S14">
        <f t="shared" ref="S14:S15" si="4">+IF(ISERR(Q14),0,Q14)+IF(ISERR(P14),0,P14)</f>
        <v>43</v>
      </c>
    </row>
    <row r="15" spans="1:24" x14ac:dyDescent="0.25">
      <c r="A15" s="81" t="str">
        <f t="shared" si="0"/>
        <v>851</v>
      </c>
      <c r="B15" s="120" t="s">
        <v>321</v>
      </c>
      <c r="C15" s="120" t="s">
        <v>34</v>
      </c>
      <c r="D15" s="120" t="s">
        <v>322</v>
      </c>
      <c r="E15" s="120">
        <v>3</v>
      </c>
      <c r="F15" s="120" t="s">
        <v>89</v>
      </c>
      <c r="G15" s="81" t="str">
        <f t="shared" si="1"/>
        <v>U</v>
      </c>
      <c r="H15" s="119"/>
      <c r="I15" s="120" t="s">
        <v>35</v>
      </c>
      <c r="J15" s="91" t="str">
        <f t="shared" si="2"/>
        <v/>
      </c>
      <c r="L15" s="77" t="s">
        <v>31</v>
      </c>
      <c r="M15" s="76">
        <v>116</v>
      </c>
      <c r="O15" t="s">
        <v>3</v>
      </c>
      <c r="P15">
        <f>+GETPIVOTDATA("Story Points2",$L$20,"Status","Done","Project","U","Added After",)</f>
        <v>49</v>
      </c>
      <c r="Q15">
        <f>+GETPIVOTDATA("Story Points2",$L$20,"Status","Done","Project","U","Added After","Y")</f>
        <v>2</v>
      </c>
      <c r="S15">
        <f t="shared" si="4"/>
        <v>51</v>
      </c>
    </row>
    <row r="16" spans="1:24" x14ac:dyDescent="0.25">
      <c r="A16" s="81" t="str">
        <f t="shared" si="0"/>
        <v>852</v>
      </c>
      <c r="B16" t="s">
        <v>377</v>
      </c>
      <c r="C16" s="120" t="s">
        <v>34</v>
      </c>
      <c r="D16" s="120" t="s">
        <v>378</v>
      </c>
      <c r="E16" s="120">
        <v>3</v>
      </c>
      <c r="F16" s="120" t="s">
        <v>81</v>
      </c>
      <c r="G16" s="81" t="str">
        <f t="shared" si="1"/>
        <v>U</v>
      </c>
      <c r="H16" s="119"/>
      <c r="I16" s="120" t="s">
        <v>35</v>
      </c>
      <c r="J16" s="91" t="str">
        <f t="shared" si="2"/>
        <v/>
      </c>
    </row>
    <row r="17" spans="1:19" x14ac:dyDescent="0.25">
      <c r="A17" s="81" t="str">
        <f t="shared" si="0"/>
        <v>853</v>
      </c>
      <c r="B17" t="s">
        <v>379</v>
      </c>
      <c r="C17" s="120" t="s">
        <v>34</v>
      </c>
      <c r="D17" s="120" t="s">
        <v>380</v>
      </c>
      <c r="E17" s="120">
        <v>5</v>
      </c>
      <c r="F17" s="120" t="s">
        <v>235</v>
      </c>
      <c r="G17" s="81" t="str">
        <f t="shared" si="1"/>
        <v>U</v>
      </c>
      <c r="H17" s="119"/>
      <c r="I17" s="120" t="s">
        <v>35</v>
      </c>
      <c r="J17" s="91" t="str">
        <f t="shared" si="2"/>
        <v/>
      </c>
      <c r="O17" t="s">
        <v>34</v>
      </c>
      <c r="P17" t="s">
        <v>123</v>
      </c>
      <c r="Q17" t="s">
        <v>124</v>
      </c>
      <c r="R17" t="s">
        <v>126</v>
      </c>
      <c r="S17" t="s">
        <v>125</v>
      </c>
    </row>
    <row r="18" spans="1:19" x14ac:dyDescent="0.25">
      <c r="A18" s="81" t="str">
        <f t="shared" si="0"/>
        <v>854</v>
      </c>
      <c r="B18" t="s">
        <v>381</v>
      </c>
      <c r="C18" s="120" t="s">
        <v>34</v>
      </c>
      <c r="D18" s="120" t="s">
        <v>296</v>
      </c>
      <c r="E18" s="120">
        <v>3</v>
      </c>
      <c r="F18" s="120" t="s">
        <v>235</v>
      </c>
      <c r="G18" s="81" t="str">
        <f t="shared" si="1"/>
        <v>U</v>
      </c>
      <c r="H18" s="119"/>
      <c r="I18" s="120" t="s">
        <v>35</v>
      </c>
      <c r="J18" s="91" t="str">
        <f t="shared" si="2"/>
        <v/>
      </c>
      <c r="L18" s="77"/>
      <c r="M18" s="76"/>
      <c r="O18" t="s">
        <v>2</v>
      </c>
      <c r="P18" s="99">
        <f>+S14/P10</f>
        <v>0.87755102040816324</v>
      </c>
      <c r="Q18" s="72">
        <f t="shared" ref="Q18:Q19" si="5">+S14/S10</f>
        <v>0.82692307692307687</v>
      </c>
      <c r="R18" s="72">
        <f t="shared" ref="R18:S19" si="6">+IF(ISERR(P14),0,P14)/IF(ISERR(P10),1,P10)</f>
        <v>0.81632653061224492</v>
      </c>
      <c r="S18" s="72">
        <f t="shared" si="6"/>
        <v>1</v>
      </c>
    </row>
    <row r="19" spans="1:19" x14ac:dyDescent="0.25">
      <c r="A19" s="81" t="str">
        <f t="shared" si="0"/>
        <v>855</v>
      </c>
      <c r="B19" t="s">
        <v>382</v>
      </c>
      <c r="C19" s="120" t="s">
        <v>34</v>
      </c>
      <c r="D19" s="120" t="s">
        <v>383</v>
      </c>
      <c r="E19" s="120">
        <v>1</v>
      </c>
      <c r="F19" s="120" t="s">
        <v>81</v>
      </c>
      <c r="G19" s="81" t="str">
        <f t="shared" si="1"/>
        <v>U</v>
      </c>
      <c r="H19" s="119" t="s">
        <v>35</v>
      </c>
      <c r="I19" s="120" t="s">
        <v>35</v>
      </c>
      <c r="J19" s="91" t="str">
        <f t="shared" si="2"/>
        <v/>
      </c>
      <c r="N19" s="76"/>
      <c r="O19" t="s">
        <v>3</v>
      </c>
      <c r="P19" s="72">
        <f>+S15/P11</f>
        <v>0.86440677966101698</v>
      </c>
      <c r="Q19" s="72">
        <f t="shared" si="5"/>
        <v>0.796875</v>
      </c>
      <c r="R19" s="72">
        <f t="shared" si="6"/>
        <v>0.83050847457627119</v>
      </c>
      <c r="S19" s="72">
        <f t="shared" si="6"/>
        <v>0.4</v>
      </c>
    </row>
    <row r="20" spans="1:19" x14ac:dyDescent="0.25">
      <c r="A20" s="102" t="str">
        <f t="shared" si="0"/>
        <v>857</v>
      </c>
      <c r="B20" s="119" t="s">
        <v>400</v>
      </c>
      <c r="C20" s="119" t="s">
        <v>34</v>
      </c>
      <c r="D20" s="119" t="s">
        <v>401</v>
      </c>
      <c r="E20" s="119">
        <v>1</v>
      </c>
      <c r="F20" s="119" t="s">
        <v>152</v>
      </c>
      <c r="G20" s="102" t="str">
        <f t="shared" si="1"/>
        <v>U</v>
      </c>
      <c r="H20" s="119" t="s">
        <v>35</v>
      </c>
      <c r="I20" s="123" t="s">
        <v>35</v>
      </c>
      <c r="J20" s="103" t="str">
        <f t="shared" si="2"/>
        <v/>
      </c>
      <c r="L20" s="80" t="s">
        <v>396</v>
      </c>
      <c r="M20" t="s">
        <v>120</v>
      </c>
      <c r="N20" s="76"/>
    </row>
    <row r="21" spans="1:19" x14ac:dyDescent="0.25">
      <c r="A21" s="81" t="str">
        <f t="shared" si="0"/>
        <v>859</v>
      </c>
      <c r="B21" t="s">
        <v>384</v>
      </c>
      <c r="C21" s="120" t="s">
        <v>34</v>
      </c>
      <c r="D21" s="120" t="s">
        <v>385</v>
      </c>
      <c r="E21" s="120">
        <v>1</v>
      </c>
      <c r="F21" s="120" t="s">
        <v>72</v>
      </c>
      <c r="G21" s="81" t="str">
        <f t="shared" si="1"/>
        <v>U</v>
      </c>
      <c r="H21" s="119"/>
      <c r="I21" s="120" t="s">
        <v>35</v>
      </c>
      <c r="J21" s="91" t="str">
        <f t="shared" si="2"/>
        <v/>
      </c>
      <c r="L21" s="77" t="s">
        <v>122</v>
      </c>
      <c r="M21" s="76">
        <v>108</v>
      </c>
      <c r="N21" s="76"/>
      <c r="O21" t="s">
        <v>49</v>
      </c>
      <c r="P21" t="s">
        <v>126</v>
      </c>
      <c r="Q21" t="s">
        <v>125</v>
      </c>
      <c r="R21" s="92" t="s">
        <v>239</v>
      </c>
      <c r="S21" t="s">
        <v>129</v>
      </c>
    </row>
    <row r="22" spans="1:19" x14ac:dyDescent="0.25">
      <c r="A22" s="102" t="str">
        <f t="shared" si="0"/>
        <v>860</v>
      </c>
      <c r="B22" t="s">
        <v>386</v>
      </c>
      <c r="C22" s="120" t="s">
        <v>34</v>
      </c>
      <c r="D22" s="120" t="s">
        <v>387</v>
      </c>
      <c r="E22" s="120">
        <v>1</v>
      </c>
      <c r="F22" s="120" t="s">
        <v>72</v>
      </c>
      <c r="G22" s="102" t="str">
        <f t="shared" si="1"/>
        <v>U</v>
      </c>
      <c r="H22" s="119"/>
      <c r="I22" s="123" t="s">
        <v>35</v>
      </c>
      <c r="J22" s="103" t="str">
        <f t="shared" si="2"/>
        <v/>
      </c>
      <c r="L22" s="79" t="s">
        <v>37</v>
      </c>
      <c r="M22" s="76">
        <v>49</v>
      </c>
      <c r="N22" s="76"/>
      <c r="O22" t="s">
        <v>2</v>
      </c>
      <c r="P22">
        <f>+GETPIVOTDATA("Story Points",$O$32,"Project","A","Added After",)</f>
        <v>40</v>
      </c>
      <c r="Q22">
        <f>+GETPIVOTDATA("Story Points",$O$32,"Project","A","Added After","Y")</f>
        <v>3</v>
      </c>
      <c r="R22">
        <f>+P10-IF(ISERR(R10),0,R10)-Table72229[[#This Row],[Committed Done]]</f>
        <v>9</v>
      </c>
      <c r="S22">
        <f>+IF(ISERR(Q22),0,Q22)+IF(ISERR(P22),0,P22)</f>
        <v>43</v>
      </c>
    </row>
    <row r="23" spans="1:19" x14ac:dyDescent="0.25">
      <c r="A23" s="102" t="str">
        <f t="shared" si="0"/>
        <v>861</v>
      </c>
      <c r="B23" t="s">
        <v>388</v>
      </c>
      <c r="C23" s="120" t="s">
        <v>34</v>
      </c>
      <c r="D23" s="120" t="s">
        <v>389</v>
      </c>
      <c r="E23" s="120">
        <v>1</v>
      </c>
      <c r="F23" s="120" t="s">
        <v>72</v>
      </c>
      <c r="G23" s="102" t="str">
        <f t="shared" si="1"/>
        <v>U</v>
      </c>
      <c r="H23" s="119"/>
      <c r="I23" s="120" t="s">
        <v>35</v>
      </c>
      <c r="J23" s="103" t="str">
        <f t="shared" si="2"/>
        <v/>
      </c>
      <c r="L23" s="78" t="s">
        <v>32</v>
      </c>
      <c r="M23" s="76">
        <v>9</v>
      </c>
      <c r="N23" s="76"/>
      <c r="O23" t="s">
        <v>3</v>
      </c>
      <c r="P23">
        <f>+GETPIVOTDATA("Story Points",$O$32,"Project","U","Added After",)</f>
        <v>46</v>
      </c>
      <c r="Q23">
        <f>+GETPIVOTDATA("Story Points",$O$32,"Project","U","Added After","Y")</f>
        <v>2</v>
      </c>
      <c r="R23">
        <f>+P11-IF(ISERR(R11),0,R11)-Table72229[[#This Row],[Committed Done]]</f>
        <v>8</v>
      </c>
      <c r="S23">
        <f>+IF(ISERR(Q23),0,Q23)+IF(ISERR(P23),0,P23)</f>
        <v>48</v>
      </c>
    </row>
    <row r="24" spans="1:19" x14ac:dyDescent="0.25">
      <c r="A24" s="102" t="str">
        <f t="shared" si="0"/>
        <v>863</v>
      </c>
      <c r="B24" t="s">
        <v>390</v>
      </c>
      <c r="C24" s="120" t="s">
        <v>34</v>
      </c>
      <c r="D24" s="120" t="s">
        <v>391</v>
      </c>
      <c r="E24" s="120">
        <v>3</v>
      </c>
      <c r="F24" s="120" t="s">
        <v>84</v>
      </c>
      <c r="G24" s="102" t="str">
        <f t="shared" si="1"/>
        <v>U</v>
      </c>
      <c r="H24" s="119"/>
      <c r="I24" s="125"/>
      <c r="J24" s="103"/>
      <c r="L24" s="78" t="s">
        <v>34</v>
      </c>
      <c r="M24" s="76">
        <v>40</v>
      </c>
      <c r="N24" s="76"/>
    </row>
    <row r="25" spans="1:19" x14ac:dyDescent="0.25">
      <c r="A25" s="102" t="str">
        <f t="shared" si="0"/>
        <v>867</v>
      </c>
      <c r="B25" s="109" t="s">
        <v>392</v>
      </c>
      <c r="C25" s="125" t="s">
        <v>135</v>
      </c>
      <c r="D25" s="125" t="s">
        <v>393</v>
      </c>
      <c r="E25" s="125">
        <v>3</v>
      </c>
      <c r="F25" s="125" t="s">
        <v>89</v>
      </c>
      <c r="G25" s="126" t="str">
        <f t="shared" si="1"/>
        <v>U</v>
      </c>
      <c r="H25" s="125" t="s">
        <v>35</v>
      </c>
      <c r="I25" s="125"/>
      <c r="J25" s="103" t="str">
        <f t="shared" ref="J25:J41" si="7">IF(C25="Done", IF(I25&lt;&gt;"Y", "ERR",""),"")</f>
        <v/>
      </c>
      <c r="L25" s="79" t="s">
        <v>36</v>
      </c>
      <c r="M25" s="76">
        <v>59</v>
      </c>
      <c r="N25" s="76"/>
      <c r="O25" t="s">
        <v>49</v>
      </c>
      <c r="P25" t="s">
        <v>123</v>
      </c>
      <c r="Q25" t="s">
        <v>124</v>
      </c>
      <c r="R25" t="s">
        <v>126</v>
      </c>
      <c r="S25" t="s">
        <v>130</v>
      </c>
    </row>
    <row r="26" spans="1:19" x14ac:dyDescent="0.25">
      <c r="A26" s="81" t="str">
        <f t="shared" si="0"/>
        <v>2</v>
      </c>
      <c r="B26" s="120" t="s">
        <v>370</v>
      </c>
      <c r="C26" s="120" t="s">
        <v>34</v>
      </c>
      <c r="D26" s="120" t="s">
        <v>371</v>
      </c>
      <c r="E26" s="120">
        <v>5</v>
      </c>
      <c r="F26" s="120" t="s">
        <v>64</v>
      </c>
      <c r="G26" s="81" t="str">
        <f t="shared" si="1"/>
        <v>A</v>
      </c>
      <c r="H26" s="119"/>
      <c r="I26" s="120" t="s">
        <v>35</v>
      </c>
      <c r="J26" s="91" t="str">
        <f t="shared" si="7"/>
        <v/>
      </c>
      <c r="L26" s="78" t="s">
        <v>32</v>
      </c>
      <c r="M26" s="76">
        <v>8</v>
      </c>
      <c r="O26" t="s">
        <v>2</v>
      </c>
      <c r="P26" s="72">
        <f t="shared" ref="P26:P27" si="8">IF(ISERR(S22),0,S22)/IF(ISERR(P10), 1,P10)</f>
        <v>0.87755102040816324</v>
      </c>
      <c r="Q26" s="72">
        <f t="shared" ref="Q26:Q27" si="9">IF(ISERR(S22),0,S22)/IF(ISERR(S10),1,S10)</f>
        <v>0.82692307692307687</v>
      </c>
      <c r="R26" s="72">
        <f t="shared" ref="R26:S27" si="10">+IF(ISERR(P22),0,P22)/IF(ISERR(P10),1,P10)</f>
        <v>0.81632653061224492</v>
      </c>
      <c r="S26" s="72">
        <f t="shared" si="10"/>
        <v>1</v>
      </c>
    </row>
    <row r="27" spans="1:19" x14ac:dyDescent="0.25">
      <c r="A27" t="str">
        <f t="shared" si="0"/>
        <v>263</v>
      </c>
      <c r="B27" t="s">
        <v>368</v>
      </c>
      <c r="C27" s="120" t="s">
        <v>34</v>
      </c>
      <c r="D27" s="120" t="s">
        <v>369</v>
      </c>
      <c r="E27" s="120">
        <v>5</v>
      </c>
      <c r="F27" s="120" t="s">
        <v>61</v>
      </c>
      <c r="G27" t="str">
        <f t="shared" si="1"/>
        <v>A</v>
      </c>
      <c r="I27" s="120" t="s">
        <v>35</v>
      </c>
      <c r="J27" s="91" t="str">
        <f t="shared" si="7"/>
        <v/>
      </c>
      <c r="L27" s="78" t="s">
        <v>34</v>
      </c>
      <c r="M27" s="76">
        <v>49</v>
      </c>
      <c r="N27" s="76"/>
      <c r="O27" t="s">
        <v>3</v>
      </c>
      <c r="P27" s="72">
        <f t="shared" si="8"/>
        <v>0.81355932203389836</v>
      </c>
      <c r="Q27" s="72">
        <f t="shared" si="9"/>
        <v>0.75</v>
      </c>
      <c r="R27" s="72">
        <f t="shared" si="10"/>
        <v>0.77966101694915257</v>
      </c>
      <c r="S27" s="72">
        <f t="shared" si="10"/>
        <v>0.4</v>
      </c>
    </row>
    <row r="28" spans="1:19" x14ac:dyDescent="0.25">
      <c r="A28" s="81" t="str">
        <f t="shared" si="0"/>
        <v>397</v>
      </c>
      <c r="B28" s="120" t="s">
        <v>366</v>
      </c>
      <c r="C28" s="120" t="s">
        <v>32</v>
      </c>
      <c r="D28" s="120" t="s">
        <v>367</v>
      </c>
      <c r="E28" s="120">
        <v>3</v>
      </c>
      <c r="F28" s="120" t="s">
        <v>72</v>
      </c>
      <c r="G28" s="81" t="str">
        <f t="shared" si="1"/>
        <v>A</v>
      </c>
      <c r="H28" s="119"/>
      <c r="I28" s="120"/>
      <c r="J28" s="91" t="str">
        <f t="shared" si="7"/>
        <v/>
      </c>
      <c r="L28" s="78" t="s">
        <v>135</v>
      </c>
      <c r="M28" s="76">
        <v>2</v>
      </c>
      <c r="N28" s="76"/>
    </row>
    <row r="29" spans="1:19" x14ac:dyDescent="0.25">
      <c r="A29" s="81" t="str">
        <f t="shared" si="0"/>
        <v>398</v>
      </c>
      <c r="B29" s="120" t="s">
        <v>364</v>
      </c>
      <c r="C29" s="120" t="s">
        <v>32</v>
      </c>
      <c r="D29" s="120" t="s">
        <v>365</v>
      </c>
      <c r="E29" s="120">
        <v>3</v>
      </c>
      <c r="F29" s="120" t="s">
        <v>58</v>
      </c>
      <c r="G29" s="81" t="str">
        <f t="shared" si="1"/>
        <v>A</v>
      </c>
      <c r="H29" s="121"/>
      <c r="I29" s="120"/>
      <c r="J29" s="91" t="str">
        <f t="shared" si="7"/>
        <v/>
      </c>
      <c r="L29" s="77" t="s">
        <v>35</v>
      </c>
      <c r="M29" s="76">
        <v>8</v>
      </c>
      <c r="N29" s="76"/>
    </row>
    <row r="30" spans="1:19" x14ac:dyDescent="0.25">
      <c r="A30" s="102" t="str">
        <f t="shared" si="0"/>
        <v>452</v>
      </c>
      <c r="B30" t="s">
        <v>394</v>
      </c>
      <c r="C30" s="120" t="s">
        <v>32</v>
      </c>
      <c r="D30" s="120" t="s">
        <v>395</v>
      </c>
      <c r="E30" s="120">
        <v>3</v>
      </c>
      <c r="F30" s="120" t="s">
        <v>61</v>
      </c>
      <c r="G30" s="102" t="str">
        <f t="shared" si="1"/>
        <v>A</v>
      </c>
      <c r="H30" s="119"/>
      <c r="I30" s="123"/>
      <c r="J30" s="103" t="str">
        <f t="shared" si="7"/>
        <v/>
      </c>
      <c r="L30" s="79" t="s">
        <v>37</v>
      </c>
      <c r="M30" s="76">
        <v>3</v>
      </c>
      <c r="N30" s="76"/>
      <c r="O30" s="80" t="s">
        <v>144</v>
      </c>
      <c r="P30" t="s">
        <v>35</v>
      </c>
    </row>
    <row r="31" spans="1:19" x14ac:dyDescent="0.25">
      <c r="A31" s="81" t="str">
        <f t="shared" si="0"/>
        <v>501</v>
      </c>
      <c r="B31" s="120" t="s">
        <v>362</v>
      </c>
      <c r="C31" s="120" t="s">
        <v>34</v>
      </c>
      <c r="D31" s="120" t="s">
        <v>363</v>
      </c>
      <c r="E31" s="120">
        <v>3</v>
      </c>
      <c r="F31" s="120" t="s">
        <v>64</v>
      </c>
      <c r="G31" s="81" t="str">
        <f t="shared" si="1"/>
        <v>A</v>
      </c>
      <c r="H31" s="119"/>
      <c r="I31" s="120" t="s">
        <v>35</v>
      </c>
      <c r="J31" s="91" t="str">
        <f t="shared" si="7"/>
        <v/>
      </c>
      <c r="L31" s="78" t="s">
        <v>34</v>
      </c>
      <c r="M31" s="76">
        <v>3</v>
      </c>
      <c r="N31" s="76"/>
    </row>
    <row r="32" spans="1:19" x14ac:dyDescent="0.25">
      <c r="A32" s="81" t="str">
        <f t="shared" si="0"/>
        <v>503</v>
      </c>
      <c r="B32" s="120" t="s">
        <v>360</v>
      </c>
      <c r="C32" s="120" t="s">
        <v>34</v>
      </c>
      <c r="D32" s="120" t="s">
        <v>361</v>
      </c>
      <c r="E32" s="120">
        <v>3</v>
      </c>
      <c r="F32" s="120" t="s">
        <v>236</v>
      </c>
      <c r="G32" s="81" t="str">
        <f t="shared" si="1"/>
        <v>A</v>
      </c>
      <c r="H32" s="119"/>
      <c r="I32" s="120" t="s">
        <v>35</v>
      </c>
      <c r="J32" s="91" t="str">
        <f t="shared" si="7"/>
        <v/>
      </c>
      <c r="L32" s="79" t="s">
        <v>36</v>
      </c>
      <c r="M32" s="76">
        <v>5</v>
      </c>
      <c r="O32" s="80" t="s">
        <v>39</v>
      </c>
      <c r="P32" t="s">
        <v>50</v>
      </c>
    </row>
    <row r="33" spans="1:16" x14ac:dyDescent="0.25">
      <c r="A33" s="102" t="str">
        <f t="shared" si="0"/>
        <v>504</v>
      </c>
      <c r="B33" s="120" t="s">
        <v>358</v>
      </c>
      <c r="C33" s="120" t="s">
        <v>34</v>
      </c>
      <c r="D33" s="120" t="s">
        <v>359</v>
      </c>
      <c r="E33" s="120">
        <v>1</v>
      </c>
      <c r="F33" s="120" t="s">
        <v>236</v>
      </c>
      <c r="G33" s="102" t="str">
        <f t="shared" si="1"/>
        <v>A</v>
      </c>
      <c r="H33" s="119"/>
      <c r="I33" s="120" t="s">
        <v>35</v>
      </c>
      <c r="J33" s="103" t="str">
        <f t="shared" si="7"/>
        <v/>
      </c>
      <c r="L33" s="78" t="s">
        <v>34</v>
      </c>
      <c r="M33" s="76">
        <v>2</v>
      </c>
      <c r="O33" s="77" t="s">
        <v>37</v>
      </c>
      <c r="P33" s="76"/>
    </row>
    <row r="34" spans="1:16" x14ac:dyDescent="0.25">
      <c r="A34" s="81" t="str">
        <f t="shared" si="0"/>
        <v>510</v>
      </c>
      <c r="B34" s="120" t="s">
        <v>356</v>
      </c>
      <c r="C34" s="120" t="s">
        <v>34</v>
      </c>
      <c r="D34" s="120" t="s">
        <v>357</v>
      </c>
      <c r="E34" s="120">
        <v>3</v>
      </c>
      <c r="F34" s="120" t="s">
        <v>236</v>
      </c>
      <c r="G34" s="81" t="str">
        <f t="shared" si="1"/>
        <v>A</v>
      </c>
      <c r="H34" s="119"/>
      <c r="I34" s="120" t="s">
        <v>35</v>
      </c>
      <c r="J34" s="91" t="str">
        <f t="shared" si="7"/>
        <v/>
      </c>
      <c r="L34" s="78" t="s">
        <v>135</v>
      </c>
      <c r="M34" s="76">
        <v>3</v>
      </c>
      <c r="O34" s="79" t="s">
        <v>122</v>
      </c>
      <c r="P34" s="76">
        <v>40</v>
      </c>
    </row>
    <row r="35" spans="1:16" x14ac:dyDescent="0.25">
      <c r="A35" s="81" t="str">
        <f t="shared" si="0"/>
        <v>511</v>
      </c>
      <c r="B35" s="120" t="s">
        <v>354</v>
      </c>
      <c r="C35" s="120" t="s">
        <v>34</v>
      </c>
      <c r="D35" s="120" t="s">
        <v>355</v>
      </c>
      <c r="E35" s="120">
        <v>3</v>
      </c>
      <c r="F35" s="120" t="s">
        <v>236</v>
      </c>
      <c r="G35" s="81" t="str">
        <f t="shared" si="1"/>
        <v>A</v>
      </c>
      <c r="H35" s="119"/>
      <c r="I35" s="120" t="s">
        <v>35</v>
      </c>
      <c r="J35" s="91" t="str">
        <f t="shared" si="7"/>
        <v/>
      </c>
      <c r="L35" s="77" t="s">
        <v>31</v>
      </c>
      <c r="M35" s="76">
        <v>116</v>
      </c>
      <c r="O35" s="79" t="s">
        <v>35</v>
      </c>
      <c r="P35" s="76">
        <v>3</v>
      </c>
    </row>
    <row r="36" spans="1:16" x14ac:dyDescent="0.25">
      <c r="A36" s="81" t="str">
        <f t="shared" si="0"/>
        <v>514</v>
      </c>
      <c r="B36" s="120" t="s">
        <v>352</v>
      </c>
      <c r="C36" s="120" t="s">
        <v>34</v>
      </c>
      <c r="D36" s="120" t="s">
        <v>353</v>
      </c>
      <c r="E36" s="120">
        <v>3</v>
      </c>
      <c r="F36" s="120" t="s">
        <v>112</v>
      </c>
      <c r="G36" s="81" t="str">
        <f t="shared" si="1"/>
        <v>A</v>
      </c>
      <c r="H36" s="119"/>
      <c r="I36" s="120" t="s">
        <v>35</v>
      </c>
      <c r="J36" s="91" t="str">
        <f t="shared" si="7"/>
        <v/>
      </c>
      <c r="O36" s="77" t="s">
        <v>131</v>
      </c>
      <c r="P36" s="76">
        <v>43</v>
      </c>
    </row>
    <row r="37" spans="1:16" x14ac:dyDescent="0.25">
      <c r="A37" s="102" t="str">
        <f t="shared" si="0"/>
        <v>515</v>
      </c>
      <c r="B37" s="120" t="s">
        <v>351</v>
      </c>
      <c r="C37" s="120" t="s">
        <v>34</v>
      </c>
      <c r="D37" s="120" t="s">
        <v>397</v>
      </c>
      <c r="E37" s="120">
        <v>3</v>
      </c>
      <c r="F37" s="120" t="s">
        <v>72</v>
      </c>
      <c r="G37" s="102" t="str">
        <f t="shared" si="1"/>
        <v>A</v>
      </c>
      <c r="H37" s="119"/>
      <c r="I37" s="120" t="s">
        <v>35</v>
      </c>
      <c r="J37" s="103" t="str">
        <f t="shared" si="7"/>
        <v/>
      </c>
      <c r="O37" s="77" t="s">
        <v>36</v>
      </c>
      <c r="P37" s="76"/>
    </row>
    <row r="38" spans="1:16" x14ac:dyDescent="0.25">
      <c r="A38" s="81" t="str">
        <f t="shared" si="0"/>
        <v>517</v>
      </c>
      <c r="B38" s="120" t="s">
        <v>349</v>
      </c>
      <c r="C38" s="120" t="s">
        <v>34</v>
      </c>
      <c r="D38" s="120" t="s">
        <v>350</v>
      </c>
      <c r="E38" s="120">
        <v>3</v>
      </c>
      <c r="F38" s="120"/>
      <c r="G38" s="81" t="str">
        <f t="shared" si="1"/>
        <v>A</v>
      </c>
      <c r="H38" s="119"/>
      <c r="I38" s="120" t="s">
        <v>35</v>
      </c>
      <c r="J38" s="91" t="str">
        <f t="shared" si="7"/>
        <v/>
      </c>
      <c r="O38" s="79" t="s">
        <v>122</v>
      </c>
      <c r="P38" s="76">
        <v>46</v>
      </c>
    </row>
    <row r="39" spans="1:16" x14ac:dyDescent="0.25">
      <c r="A39" s="102" t="str">
        <f t="shared" si="0"/>
        <v>518</v>
      </c>
      <c r="B39" s="120" t="s">
        <v>347</v>
      </c>
      <c r="C39" s="120" t="s">
        <v>34</v>
      </c>
      <c r="D39" s="120" t="s">
        <v>348</v>
      </c>
      <c r="E39" s="120">
        <v>5</v>
      </c>
      <c r="F39" s="120" t="s">
        <v>58</v>
      </c>
      <c r="G39" s="102" t="str">
        <f t="shared" si="1"/>
        <v>A</v>
      </c>
      <c r="H39" s="119"/>
      <c r="I39" s="123" t="s">
        <v>35</v>
      </c>
      <c r="J39" s="103" t="str">
        <f t="shared" si="7"/>
        <v/>
      </c>
      <c r="N39" s="76"/>
      <c r="O39" s="79" t="s">
        <v>35</v>
      </c>
      <c r="P39" s="76">
        <v>2</v>
      </c>
    </row>
    <row r="40" spans="1:16" x14ac:dyDescent="0.25">
      <c r="A40" s="102" t="str">
        <f t="shared" si="0"/>
        <v>521</v>
      </c>
      <c r="B40" s="120" t="s">
        <v>345</v>
      </c>
      <c r="C40" s="120" t="s">
        <v>34</v>
      </c>
      <c r="D40" s="120" t="s">
        <v>346</v>
      </c>
      <c r="E40" s="120">
        <v>3</v>
      </c>
      <c r="F40" s="120" t="s">
        <v>61</v>
      </c>
      <c r="G40" s="102" t="str">
        <f t="shared" si="1"/>
        <v>A</v>
      </c>
      <c r="H40" s="119"/>
      <c r="I40" s="120" t="s">
        <v>35</v>
      </c>
      <c r="J40" s="103" t="str">
        <f t="shared" si="7"/>
        <v/>
      </c>
      <c r="N40" s="76"/>
      <c r="O40" s="77" t="s">
        <v>132</v>
      </c>
      <c r="P40" s="76">
        <v>48</v>
      </c>
    </row>
    <row r="41" spans="1:16" x14ac:dyDescent="0.25">
      <c r="A41" s="102" t="str">
        <f t="shared" si="0"/>
        <v>576</v>
      </c>
      <c r="B41" t="s">
        <v>398</v>
      </c>
      <c r="C41" s="120" t="s">
        <v>34</v>
      </c>
      <c r="D41" s="120" t="s">
        <v>399</v>
      </c>
      <c r="E41" s="120">
        <v>3</v>
      </c>
      <c r="F41" s="119" t="s">
        <v>64</v>
      </c>
      <c r="G41" s="102" t="str">
        <f t="shared" si="1"/>
        <v>A</v>
      </c>
      <c r="H41" s="119" t="s">
        <v>35</v>
      </c>
      <c r="I41" s="123" t="s">
        <v>35</v>
      </c>
      <c r="J41" s="103" t="str">
        <f t="shared" si="7"/>
        <v/>
      </c>
      <c r="N41" s="76"/>
      <c r="O41" s="77" t="s">
        <v>31</v>
      </c>
      <c r="P41" s="76">
        <v>91</v>
      </c>
    </row>
    <row r="42" spans="1:16" x14ac:dyDescent="0.25">
      <c r="N42" s="76"/>
    </row>
    <row r="43" spans="1:16" x14ac:dyDescent="0.25">
      <c r="N43" s="76"/>
    </row>
    <row r="44" spans="1:16" x14ac:dyDescent="0.25">
      <c r="N44" s="76"/>
    </row>
    <row r="45" spans="1:16" x14ac:dyDescent="0.25">
      <c r="N45" s="76"/>
    </row>
    <row r="46" spans="1:16" x14ac:dyDescent="0.25">
      <c r="N46" s="76"/>
    </row>
    <row r="47" spans="1:16" x14ac:dyDescent="0.25">
      <c r="N47" s="76"/>
    </row>
    <row r="54" spans="12:14" x14ac:dyDescent="0.25">
      <c r="N54" s="76"/>
    </row>
    <row r="55" spans="12:14" x14ac:dyDescent="0.25">
      <c r="N55" s="76"/>
    </row>
    <row r="56" spans="12:14" x14ac:dyDescent="0.25">
      <c r="L56" s="79"/>
      <c r="M56" s="76"/>
      <c r="N56" s="76"/>
    </row>
    <row r="57" spans="12:14" x14ac:dyDescent="0.25">
      <c r="L57" s="77"/>
      <c r="M57" s="76"/>
    </row>
    <row r="58" spans="12:14" x14ac:dyDescent="0.25">
      <c r="L58" s="77"/>
      <c r="M58" s="76"/>
    </row>
  </sheetData>
  <sheetProtection sheet="1" sort="0" autoFilter="0" pivotTables="0"/>
  <conditionalFormatting sqref="I2:I41">
    <cfRule type="expression" dxfId="136" priority="2">
      <formula>$C2="Done"</formula>
    </cfRule>
  </conditionalFormatting>
  <conditionalFormatting sqref="C2:C41">
    <cfRule type="expression" dxfId="135" priority="1">
      <formula>C2="Done"</formula>
    </cfRule>
  </conditionalFormatting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7" name="Button 1">
              <controlPr defaultSize="0" print="0" autoFill="0" autoPict="0" macro="[0]!ResetSprintData">
                <anchor moveWithCells="1" sizeWithCells="1">
                  <from>
                    <xdr:col>19</xdr:col>
                    <xdr:colOff>952500</xdr:colOff>
                    <xdr:row>8</xdr:row>
                    <xdr:rowOff>9525</xdr:rowOff>
                  </from>
                  <to>
                    <xdr:col>24</xdr:col>
                    <xdr:colOff>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7">
    <tablePart r:id="rId8"/>
    <tablePart r:id="rId9"/>
    <tablePart r:id="rId10"/>
    <tablePart r:id="rId11"/>
    <tablePart r:id="rId12"/>
    <tablePart r:id="rId13"/>
    <tablePart r:id="rId1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X56"/>
  <sheetViews>
    <sheetView topLeftCell="G1" workbookViewId="0">
      <selection activeCell="P2" sqref="P2:X3"/>
    </sheetView>
  </sheetViews>
  <sheetFormatPr defaultRowHeight="15" x14ac:dyDescent="0.25"/>
  <cols>
    <col min="2" max="2" width="12.28515625" customWidth="1"/>
    <col min="3" max="3" width="11" customWidth="1"/>
    <col min="4" max="4" width="89.42578125" customWidth="1"/>
    <col min="5" max="5" width="8.85546875" customWidth="1"/>
    <col min="6" max="6" width="13.140625" customWidth="1"/>
    <col min="7" max="7" width="9.5703125" bestFit="1" customWidth="1"/>
    <col min="8" max="8" width="11.5703125" customWidth="1"/>
    <col min="9" max="9" width="10.85546875" bestFit="1" customWidth="1"/>
    <col min="10" max="10" width="12" customWidth="1"/>
    <col min="11" max="11" width="10.85546875" customWidth="1"/>
    <col min="12" max="12" width="11.7109375" bestFit="1" customWidth="1"/>
    <col min="13" max="13" width="6.42578125" bestFit="1" customWidth="1"/>
    <col min="14" max="14" width="6.42578125" customWidth="1"/>
    <col min="15" max="15" width="16.5703125" customWidth="1"/>
    <col min="16" max="16" width="22.7109375" customWidth="1"/>
    <col min="17" max="17" width="19" customWidth="1"/>
    <col min="18" max="18" width="16.28515625" customWidth="1"/>
    <col min="19" max="19" width="16.5703125" customWidth="1"/>
    <col min="20" max="20" width="14.5703125" customWidth="1"/>
    <col min="21" max="21" width="13.42578125" customWidth="1"/>
    <col min="22" max="22" width="9.140625" customWidth="1"/>
    <col min="23" max="23" width="11" customWidth="1"/>
    <col min="24" max="24" width="9.140625" customWidth="1"/>
    <col min="26" max="26" width="11.5703125" customWidth="1"/>
  </cols>
  <sheetData>
    <row r="1" spans="1:24" ht="30.75" customHeight="1" x14ac:dyDescent="0.25">
      <c r="A1" t="s">
        <v>231</v>
      </c>
      <c r="B1" t="s">
        <v>48</v>
      </c>
      <c r="C1" t="s">
        <v>47</v>
      </c>
      <c r="D1" t="s">
        <v>46</v>
      </c>
      <c r="E1" t="s">
        <v>38</v>
      </c>
      <c r="F1" t="s">
        <v>45</v>
      </c>
      <c r="G1" t="s">
        <v>44</v>
      </c>
      <c r="H1" t="s">
        <v>43</v>
      </c>
      <c r="I1" t="s">
        <v>144</v>
      </c>
      <c r="J1" t="s">
        <v>40</v>
      </c>
      <c r="O1" t="s">
        <v>133</v>
      </c>
      <c r="P1" t="s">
        <v>134</v>
      </c>
      <c r="Q1" t="s">
        <v>41</v>
      </c>
      <c r="R1" t="s">
        <v>135</v>
      </c>
      <c r="S1" t="s">
        <v>136</v>
      </c>
      <c r="T1" s="98" t="s">
        <v>143</v>
      </c>
      <c r="U1" s="98" t="s">
        <v>141</v>
      </c>
      <c r="V1" s="92" t="s">
        <v>40</v>
      </c>
      <c r="W1" s="98" t="s">
        <v>142</v>
      </c>
      <c r="X1" s="98" t="s">
        <v>145</v>
      </c>
    </row>
    <row r="2" spans="1:24" x14ac:dyDescent="0.25">
      <c r="A2" s="81" t="str">
        <f t="shared" ref="A2:A37" si="0">MID(B2,8,3)</f>
        <v>9</v>
      </c>
      <c r="B2" t="s">
        <v>56</v>
      </c>
      <c r="C2" t="s">
        <v>34</v>
      </c>
      <c r="D2" t="s">
        <v>245</v>
      </c>
      <c r="E2">
        <v>8</v>
      </c>
      <c r="F2" t="s">
        <v>58</v>
      </c>
      <c r="G2" s="81" t="str">
        <f t="shared" ref="G2:G37" si="1">MID(B2,4,1)</f>
        <v>A</v>
      </c>
      <c r="H2" s="119"/>
      <c r="I2" s="120" t="s">
        <v>35</v>
      </c>
      <c r="J2" s="91" t="str">
        <f t="shared" ref="J2:J37" si="2">IF(C2="Done", IF(I2&lt;&gt;"Y", "ERR",""),"")</f>
        <v/>
      </c>
      <c r="O2" t="s">
        <v>2</v>
      </c>
      <c r="P2">
        <f>+P10-Table924[[#This Row],[Blocked]]</f>
        <v>41</v>
      </c>
      <c r="Q2">
        <f>IF(ISERR(Q10),0,Q10)</f>
        <v>13</v>
      </c>
      <c r="R2">
        <f>IF(ISERR(R10),0,R10)</f>
        <v>0</v>
      </c>
      <c r="S2">
        <f>+IF(ISERR(S14),0,S14)</f>
        <v>51</v>
      </c>
      <c r="T2" s="100">
        <f>Table924[[#This Row],[Completed]]/Table924[[#This Row],[Committed]]</f>
        <v>1.2439024390243902</v>
      </c>
      <c r="U2" s="95">
        <f>Table924[[#This Row],[Completed]]/(Table924[[#This Row],[Added]]+Table924[[#This Row],[Committed]])</f>
        <v>0.94444444444444442</v>
      </c>
      <c r="W2" s="96" t="str">
        <f>IF(ISERR(P14),0,P14) &amp; "  (" &amp;TEXT(IF(ISERR(P14),0,P14)/Table924[[#This Row],[Committed]],"#%") &amp; ")"</f>
        <v>38  (93%)</v>
      </c>
      <c r="X2" s="97" t="str">
        <f>+IF(ISERR(Q14),0,Q14) &amp; " (" &amp; TEXT(S18, "#%") &amp; ")"</f>
        <v>13 (100%)</v>
      </c>
    </row>
    <row r="3" spans="1:24" x14ac:dyDescent="0.25">
      <c r="A3" s="81" t="str">
        <f t="shared" si="0"/>
        <v>262</v>
      </c>
      <c r="B3" t="s">
        <v>59</v>
      </c>
      <c r="C3" t="s">
        <v>34</v>
      </c>
      <c r="D3" t="s">
        <v>60</v>
      </c>
      <c r="E3">
        <v>8</v>
      </c>
      <c r="F3" t="s">
        <v>61</v>
      </c>
      <c r="G3" s="81" t="str">
        <f t="shared" si="1"/>
        <v>A</v>
      </c>
      <c r="H3" s="119"/>
      <c r="I3" s="120" t="s">
        <v>35</v>
      </c>
      <c r="J3" s="91" t="str">
        <f t="shared" si="2"/>
        <v/>
      </c>
      <c r="O3" t="s">
        <v>3</v>
      </c>
      <c r="P3">
        <f>+P11-Table924[[#This Row],[Blocked]]</f>
        <v>53</v>
      </c>
      <c r="Q3">
        <f>IF(ISERR(Q11),0,Q11)</f>
        <v>12</v>
      </c>
      <c r="R3">
        <f>IF(ISERR(R11),0,R11)</f>
        <v>0</v>
      </c>
      <c r="S3">
        <f>+IF(ISERR(S15),0,S15)</f>
        <v>59</v>
      </c>
      <c r="T3" s="95">
        <f>Table924[[#This Row],[Completed]]/Table924[[#This Row],[Committed]]</f>
        <v>1.1132075471698113</v>
      </c>
      <c r="U3" s="95">
        <f>Table924[[#This Row],[Completed]]/(Table924[[#This Row],[Added]]+Table924[[#This Row],[Committed]])</f>
        <v>0.90769230769230769</v>
      </c>
      <c r="W3" s="96" t="str">
        <f>IF(ISERR(P15),0,P15) &amp; "  (" &amp;TEXT(IF(ISERR(P15),0,P15)/Table924[[#This Row],[Committed]],"#%") &amp; ")"</f>
        <v>47  (89%)</v>
      </c>
      <c r="X3" s="97" t="str">
        <f>+IF(ISERR(Q15),0,Q15) &amp; " (" &amp; TEXT(S19, "#%") &amp; ")"</f>
        <v>12 (100%)</v>
      </c>
    </row>
    <row r="4" spans="1:24" x14ac:dyDescent="0.25">
      <c r="A4" s="81" t="str">
        <f t="shared" si="0"/>
        <v>399</v>
      </c>
      <c r="B4" s="81" t="s">
        <v>246</v>
      </c>
      <c r="C4" t="s">
        <v>32</v>
      </c>
      <c r="D4" t="s">
        <v>247</v>
      </c>
      <c r="E4">
        <v>3</v>
      </c>
      <c r="F4" t="s">
        <v>72</v>
      </c>
      <c r="G4" s="81" t="str">
        <f t="shared" si="1"/>
        <v>A</v>
      </c>
      <c r="H4" s="119"/>
      <c r="I4" s="120"/>
      <c r="J4" s="91" t="str">
        <f t="shared" si="2"/>
        <v/>
      </c>
      <c r="O4" t="s">
        <v>303</v>
      </c>
      <c r="P4" s="76">
        <f>SUM(P2:P3)</f>
        <v>94</v>
      </c>
      <c r="Q4">
        <f>SUM(Q2:Q3)</f>
        <v>25</v>
      </c>
      <c r="R4" s="76">
        <f>SUM(R2:R3)</f>
        <v>0</v>
      </c>
      <c r="S4" s="76">
        <f>SUM(S2:S3)</f>
        <v>110</v>
      </c>
      <c r="T4" s="95">
        <f>Table924[[#This Row],[Completed]]/Table924[[#This Row],[Committed]]</f>
        <v>1.1702127659574468</v>
      </c>
      <c r="U4" s="95">
        <f>Table924[[#This Row],[Completed]]/(Table924[[#This Row],[Added]]+Table924[[#This Row],[Committed]])</f>
        <v>0.92436974789915971</v>
      </c>
      <c r="W4" s="122" t="str">
        <f>IF(ISERR(SUM(P14:P15)),0,SUM(P14:P15)) &amp;"  ("&amp;TEXT(SUM(P14:P15)/P4,"#%") &amp;")"</f>
        <v>85  (90%)</v>
      </c>
      <c r="X4" s="97" t="str">
        <f>S4-SUM(P14:P15)&amp;" ("&amp;TEXT((S4-SUM(P14:P15))/IF(Q4=0,1,Q4),"#%")&amp;")"</f>
        <v>25 (100%)</v>
      </c>
    </row>
    <row r="5" spans="1:24" x14ac:dyDescent="0.25">
      <c r="A5" s="102" t="str">
        <f t="shared" si="0"/>
        <v>402</v>
      </c>
      <c r="B5" s="120" t="s">
        <v>71</v>
      </c>
      <c r="C5" s="120" t="s">
        <v>34</v>
      </c>
      <c r="D5" s="120" t="s">
        <v>308</v>
      </c>
      <c r="E5" s="120">
        <v>5</v>
      </c>
      <c r="F5" s="120" t="s">
        <v>72</v>
      </c>
      <c r="G5" s="102" t="str">
        <f t="shared" si="1"/>
        <v>A</v>
      </c>
      <c r="H5" s="119" t="s">
        <v>35</v>
      </c>
      <c r="I5" s="120" t="s">
        <v>35</v>
      </c>
      <c r="J5" s="103" t="str">
        <f t="shared" si="2"/>
        <v/>
      </c>
      <c r="P5" t="s">
        <v>140</v>
      </c>
      <c r="T5" t="s">
        <v>220</v>
      </c>
    </row>
    <row r="6" spans="1:24" x14ac:dyDescent="0.25">
      <c r="A6" s="81" t="str">
        <f t="shared" si="0"/>
        <v>434</v>
      </c>
      <c r="B6" t="s">
        <v>248</v>
      </c>
      <c r="C6" t="s">
        <v>34</v>
      </c>
      <c r="D6" t="s">
        <v>249</v>
      </c>
      <c r="E6">
        <v>1</v>
      </c>
      <c r="F6" t="s">
        <v>236</v>
      </c>
      <c r="G6" s="81" t="str">
        <f t="shared" si="1"/>
        <v>A</v>
      </c>
      <c r="H6" s="119"/>
      <c r="I6" s="120" t="s">
        <v>35</v>
      </c>
      <c r="J6" s="91" t="str">
        <f t="shared" si="2"/>
        <v/>
      </c>
    </row>
    <row r="7" spans="1:24" x14ac:dyDescent="0.25">
      <c r="A7" s="81" t="str">
        <f t="shared" si="0"/>
        <v>435</v>
      </c>
      <c r="B7" t="s">
        <v>250</v>
      </c>
      <c r="C7" t="s">
        <v>34</v>
      </c>
      <c r="D7" t="s">
        <v>251</v>
      </c>
      <c r="E7">
        <v>3</v>
      </c>
      <c r="F7" t="s">
        <v>236</v>
      </c>
      <c r="G7" s="81" t="str">
        <f t="shared" si="1"/>
        <v>A</v>
      </c>
      <c r="H7" s="119"/>
      <c r="I7" s="120" t="s">
        <v>35</v>
      </c>
      <c r="J7" s="91" t="str">
        <f t="shared" si="2"/>
        <v/>
      </c>
      <c r="L7" s="80" t="s">
        <v>119</v>
      </c>
      <c r="M7" t="s">
        <v>120</v>
      </c>
    </row>
    <row r="8" spans="1:24" x14ac:dyDescent="0.25">
      <c r="A8" s="81" t="str">
        <f t="shared" si="0"/>
        <v>436</v>
      </c>
      <c r="B8" t="s">
        <v>252</v>
      </c>
      <c r="C8" t="s">
        <v>34</v>
      </c>
      <c r="D8" t="s">
        <v>253</v>
      </c>
      <c r="E8">
        <v>3</v>
      </c>
      <c r="G8" s="81" t="str">
        <f t="shared" si="1"/>
        <v>A</v>
      </c>
      <c r="H8" s="119"/>
      <c r="I8" s="120" t="s">
        <v>35</v>
      </c>
      <c r="J8" s="91" t="str">
        <f t="shared" si="2"/>
        <v/>
      </c>
      <c r="L8" s="77" t="s">
        <v>37</v>
      </c>
      <c r="M8" s="76">
        <v>54</v>
      </c>
      <c r="N8" s="76"/>
      <c r="O8" t="s">
        <v>139</v>
      </c>
      <c r="S8" t="s">
        <v>138</v>
      </c>
    </row>
    <row r="9" spans="1:24" x14ac:dyDescent="0.25">
      <c r="A9" s="81" t="str">
        <f t="shared" si="0"/>
        <v>438</v>
      </c>
      <c r="B9" t="s">
        <v>254</v>
      </c>
      <c r="C9" t="s">
        <v>34</v>
      </c>
      <c r="D9" t="s">
        <v>255</v>
      </c>
      <c r="E9">
        <v>3</v>
      </c>
      <c r="F9" t="s">
        <v>64</v>
      </c>
      <c r="G9" s="81" t="str">
        <f t="shared" si="1"/>
        <v>A</v>
      </c>
      <c r="H9" s="119"/>
      <c r="I9" s="120" t="s">
        <v>35</v>
      </c>
      <c r="J9" s="91" t="str">
        <f t="shared" si="2"/>
        <v/>
      </c>
      <c r="L9" s="79" t="s">
        <v>32</v>
      </c>
      <c r="M9" s="76">
        <v>3</v>
      </c>
      <c r="N9" s="76"/>
      <c r="O9" t="s">
        <v>133</v>
      </c>
      <c r="P9" t="s">
        <v>42</v>
      </c>
      <c r="Q9" t="s">
        <v>41</v>
      </c>
      <c r="R9" s="94" t="s">
        <v>135</v>
      </c>
      <c r="S9" t="s">
        <v>128</v>
      </c>
    </row>
    <row r="10" spans="1:24" x14ac:dyDescent="0.25">
      <c r="A10" s="81" t="str">
        <f t="shared" si="0"/>
        <v>439</v>
      </c>
      <c r="B10" t="s">
        <v>256</v>
      </c>
      <c r="C10" t="s">
        <v>34</v>
      </c>
      <c r="D10" t="s">
        <v>257</v>
      </c>
      <c r="E10">
        <v>3</v>
      </c>
      <c r="F10" t="s">
        <v>72</v>
      </c>
      <c r="G10" s="81" t="str">
        <f t="shared" si="1"/>
        <v>A</v>
      </c>
      <c r="H10" s="119"/>
      <c r="I10" s="120" t="s">
        <v>35</v>
      </c>
      <c r="J10" s="91" t="str">
        <f t="shared" si="2"/>
        <v/>
      </c>
      <c r="L10" s="79" t="s">
        <v>34</v>
      </c>
      <c r="M10" s="76">
        <v>51</v>
      </c>
      <c r="N10" s="76"/>
      <c r="O10" t="s">
        <v>2</v>
      </c>
      <c r="P10">
        <f>+GETPIVOTDATA("Story Points2",$L$18,"Project","A","Added After",)</f>
        <v>41</v>
      </c>
      <c r="Q10">
        <f>+GETPIVOTDATA("Story Points2",$L$18,"Project","A","Added After","Y")</f>
        <v>13</v>
      </c>
      <c r="R10" s="93" t="e">
        <f>GETPIVOTDATA("Story Points2",$L$7,"Status","Blocked","Project","A")</f>
        <v>#REF!</v>
      </c>
      <c r="S10">
        <f t="shared" ref="S10:S11" si="3">+IF(ISERR(Q10),0,Q10)+IF(ISERR(P10),0,P10)</f>
        <v>54</v>
      </c>
    </row>
    <row r="11" spans="1:24" x14ac:dyDescent="0.25">
      <c r="A11" s="81" t="str">
        <f t="shared" si="0"/>
        <v>467</v>
      </c>
      <c r="B11" t="s">
        <v>259</v>
      </c>
      <c r="C11" t="s">
        <v>34</v>
      </c>
      <c r="D11" t="s">
        <v>260</v>
      </c>
      <c r="E11">
        <v>3</v>
      </c>
      <c r="F11" t="s">
        <v>58</v>
      </c>
      <c r="G11" s="81" t="str">
        <f t="shared" si="1"/>
        <v>A</v>
      </c>
      <c r="H11" s="119"/>
      <c r="I11" s="120" t="s">
        <v>35</v>
      </c>
      <c r="J11" s="91" t="str">
        <f t="shared" si="2"/>
        <v/>
      </c>
      <c r="L11" s="77" t="s">
        <v>36</v>
      </c>
      <c r="M11" s="76">
        <v>65</v>
      </c>
      <c r="N11" s="76"/>
      <c r="O11" t="s">
        <v>3</v>
      </c>
      <c r="P11">
        <f>+GETPIVOTDATA("Story Points2",$L$18,"Project","U","Added After",)</f>
        <v>53</v>
      </c>
      <c r="Q11">
        <f>+GETPIVOTDATA("Story Points2",$L$18,"Project","U","Added After","Y")</f>
        <v>12</v>
      </c>
      <c r="R11" s="93" t="e">
        <f>GETPIVOTDATA("Story Points2",$L$7,"Status","Blocked","Project","U")</f>
        <v>#REF!</v>
      </c>
      <c r="S11">
        <f t="shared" si="3"/>
        <v>65</v>
      </c>
    </row>
    <row r="12" spans="1:24" x14ac:dyDescent="0.25">
      <c r="A12" s="81" t="str">
        <f t="shared" si="0"/>
        <v>468</v>
      </c>
      <c r="B12" t="s">
        <v>261</v>
      </c>
      <c r="C12" t="s">
        <v>34</v>
      </c>
      <c r="D12" t="s">
        <v>262</v>
      </c>
      <c r="E12">
        <v>3</v>
      </c>
      <c r="F12" t="s">
        <v>58</v>
      </c>
      <c r="G12" s="81" t="str">
        <f t="shared" si="1"/>
        <v>A</v>
      </c>
      <c r="H12" s="119"/>
      <c r="I12" s="120" t="s">
        <v>35</v>
      </c>
      <c r="J12" s="91" t="str">
        <f t="shared" si="2"/>
        <v/>
      </c>
      <c r="L12" s="79" t="s">
        <v>32</v>
      </c>
      <c r="M12" s="76">
        <v>6</v>
      </c>
      <c r="N12" s="76"/>
    </row>
    <row r="13" spans="1:24" x14ac:dyDescent="0.25">
      <c r="A13" s="81" t="str">
        <f t="shared" si="0"/>
        <v>469</v>
      </c>
      <c r="B13" t="s">
        <v>263</v>
      </c>
      <c r="C13" t="s">
        <v>34</v>
      </c>
      <c r="D13" t="s">
        <v>264</v>
      </c>
      <c r="E13">
        <v>3</v>
      </c>
      <c r="F13" t="s">
        <v>58</v>
      </c>
      <c r="G13" s="81" t="str">
        <f t="shared" si="1"/>
        <v>A</v>
      </c>
      <c r="H13" s="119"/>
      <c r="I13" s="120" t="s">
        <v>35</v>
      </c>
      <c r="J13" s="91" t="str">
        <f t="shared" si="2"/>
        <v/>
      </c>
      <c r="L13" s="79" t="s">
        <v>34</v>
      </c>
      <c r="M13" s="76">
        <v>59</v>
      </c>
      <c r="N13" s="76"/>
      <c r="O13" t="s">
        <v>34</v>
      </c>
      <c r="P13" t="s">
        <v>126</v>
      </c>
      <c r="Q13" t="s">
        <v>125</v>
      </c>
      <c r="R13" s="92" t="s">
        <v>40</v>
      </c>
      <c r="S13" t="s">
        <v>127</v>
      </c>
    </row>
    <row r="14" spans="1:24" x14ac:dyDescent="0.25">
      <c r="A14" s="102" t="str">
        <f t="shared" si="0"/>
        <v>497</v>
      </c>
      <c r="B14" s="120" t="s">
        <v>305</v>
      </c>
      <c r="C14" s="120" t="s">
        <v>34</v>
      </c>
      <c r="D14" s="120" t="s">
        <v>306</v>
      </c>
      <c r="E14" s="120">
        <v>3</v>
      </c>
      <c r="F14" s="120" t="s">
        <v>61</v>
      </c>
      <c r="G14" s="102" t="str">
        <f t="shared" si="1"/>
        <v>A</v>
      </c>
      <c r="H14" s="119" t="s">
        <v>307</v>
      </c>
      <c r="I14" s="120" t="s">
        <v>307</v>
      </c>
      <c r="J14" s="103" t="str">
        <f t="shared" si="2"/>
        <v/>
      </c>
      <c r="L14" s="77" t="s">
        <v>31</v>
      </c>
      <c r="M14" s="76">
        <v>119</v>
      </c>
      <c r="N14" s="76"/>
      <c r="O14" t="s">
        <v>2</v>
      </c>
      <c r="P14">
        <f>+GETPIVOTDATA("Story Points2",$L$18,"Status","Done","Project","A","Added After",)</f>
        <v>38</v>
      </c>
      <c r="Q14">
        <f>+GETPIVOTDATA("Story Points2",$L$18,"Status","Done","Project","A","Added After","Y")</f>
        <v>13</v>
      </c>
      <c r="S14">
        <f t="shared" ref="S14:S15" si="4">+IF(ISERR(Q14),0,Q14)+IF(ISERR(P14),0,P14)</f>
        <v>51</v>
      </c>
    </row>
    <row r="15" spans="1:24" x14ac:dyDescent="0.25">
      <c r="A15" s="102" t="str">
        <f>MID(B15,8,3)</f>
        <v>505</v>
      </c>
      <c r="B15" s="119" t="s">
        <v>317</v>
      </c>
      <c r="C15" s="119" t="s">
        <v>34</v>
      </c>
      <c r="D15" s="119" t="s">
        <v>318</v>
      </c>
      <c r="E15" s="119">
        <v>5</v>
      </c>
      <c r="F15" s="119" t="s">
        <v>58</v>
      </c>
      <c r="G15" s="102" t="str">
        <f>MID(B15,4,1)</f>
        <v>A</v>
      </c>
      <c r="H15" s="119" t="s">
        <v>35</v>
      </c>
      <c r="I15" s="123" t="s">
        <v>307</v>
      </c>
      <c r="J15" s="103" t="str">
        <f>IF(C15="Done", IF(I15&lt;&gt;"Y", "ERR",""),"")</f>
        <v/>
      </c>
      <c r="O15" t="s">
        <v>3</v>
      </c>
      <c r="P15">
        <f>+GETPIVOTDATA("Story Points2",$L$18,"Status","Done","Project","U","Added After",)</f>
        <v>47</v>
      </c>
      <c r="Q15">
        <f>+GETPIVOTDATA("Story Points2",$L$18,"Status","Done","Project","U","Added After","Y")</f>
        <v>12</v>
      </c>
      <c r="S15">
        <f t="shared" si="4"/>
        <v>59</v>
      </c>
    </row>
    <row r="16" spans="1:24" x14ac:dyDescent="0.25">
      <c r="A16" s="81" t="str">
        <f t="shared" si="0"/>
        <v>97</v>
      </c>
      <c r="B16" t="s">
        <v>265</v>
      </c>
      <c r="C16" t="s">
        <v>34</v>
      </c>
      <c r="D16" t="s">
        <v>266</v>
      </c>
      <c r="E16">
        <v>2</v>
      </c>
      <c r="F16" t="s">
        <v>81</v>
      </c>
      <c r="G16" s="81" t="str">
        <f t="shared" si="1"/>
        <v>U</v>
      </c>
      <c r="H16" s="119"/>
      <c r="I16" s="120" t="s">
        <v>35</v>
      </c>
      <c r="J16" s="91" t="str">
        <f t="shared" si="2"/>
        <v/>
      </c>
    </row>
    <row r="17" spans="1:19" x14ac:dyDescent="0.25">
      <c r="A17" s="102" t="str">
        <f t="shared" si="0"/>
        <v>730</v>
      </c>
      <c r="B17" s="120" t="s">
        <v>97</v>
      </c>
      <c r="C17" s="120" t="s">
        <v>34</v>
      </c>
      <c r="D17" s="120" t="s">
        <v>304</v>
      </c>
      <c r="E17" s="120">
        <v>1</v>
      </c>
      <c r="F17" s="120" t="s">
        <v>92</v>
      </c>
      <c r="G17" s="102" t="str">
        <f t="shared" si="1"/>
        <v>U</v>
      </c>
      <c r="H17" s="119"/>
      <c r="I17" s="120" t="s">
        <v>35</v>
      </c>
      <c r="J17" s="103" t="str">
        <f t="shared" si="2"/>
        <v/>
      </c>
      <c r="O17" t="s">
        <v>34</v>
      </c>
      <c r="P17" t="s">
        <v>123</v>
      </c>
      <c r="Q17" t="s">
        <v>124</v>
      </c>
      <c r="R17" t="s">
        <v>126</v>
      </c>
      <c r="S17" t="s">
        <v>125</v>
      </c>
    </row>
    <row r="18" spans="1:19" x14ac:dyDescent="0.25">
      <c r="A18" s="81" t="str">
        <f t="shared" si="0"/>
        <v>738</v>
      </c>
      <c r="B18" t="s">
        <v>267</v>
      </c>
      <c r="C18" t="s">
        <v>34</v>
      </c>
      <c r="D18" t="s">
        <v>268</v>
      </c>
      <c r="E18">
        <v>3</v>
      </c>
      <c r="F18" t="s">
        <v>101</v>
      </c>
      <c r="G18" s="81" t="str">
        <f t="shared" si="1"/>
        <v>U</v>
      </c>
      <c r="H18" s="119"/>
      <c r="I18" s="120" t="s">
        <v>35</v>
      </c>
      <c r="J18" s="91" t="str">
        <f t="shared" si="2"/>
        <v/>
      </c>
      <c r="L18" s="80" t="s">
        <v>121</v>
      </c>
      <c r="M18" t="s">
        <v>120</v>
      </c>
      <c r="O18" t="s">
        <v>2</v>
      </c>
      <c r="P18" s="99">
        <f>+S14/P10</f>
        <v>1.2439024390243902</v>
      </c>
      <c r="Q18" s="72">
        <f t="shared" ref="Q18:Q19" si="5">+S14/S10</f>
        <v>0.94444444444444442</v>
      </c>
      <c r="R18" s="72">
        <f t="shared" ref="R18:S19" si="6">+IF(ISERR(P14),0,P14)/IF(ISERR(P10),1,P10)</f>
        <v>0.92682926829268297</v>
      </c>
      <c r="S18" s="72">
        <f t="shared" si="6"/>
        <v>1</v>
      </c>
    </row>
    <row r="19" spans="1:19" x14ac:dyDescent="0.25">
      <c r="A19" s="81" t="str">
        <f t="shared" si="0"/>
        <v>765</v>
      </c>
      <c r="B19" s="81" t="s">
        <v>269</v>
      </c>
      <c r="C19" t="s">
        <v>34</v>
      </c>
      <c r="D19" t="s">
        <v>270</v>
      </c>
      <c r="E19">
        <v>1</v>
      </c>
      <c r="F19" t="s">
        <v>84</v>
      </c>
      <c r="G19" s="81" t="str">
        <f t="shared" si="1"/>
        <v>U</v>
      </c>
      <c r="H19" s="119"/>
      <c r="I19" s="120" t="s">
        <v>35</v>
      </c>
      <c r="J19" s="91" t="str">
        <f t="shared" si="2"/>
        <v/>
      </c>
      <c r="L19" s="77" t="s">
        <v>122</v>
      </c>
      <c r="M19" s="76">
        <v>94</v>
      </c>
      <c r="N19" s="76"/>
      <c r="O19" t="s">
        <v>3</v>
      </c>
      <c r="P19" s="72">
        <f>+S15/P11</f>
        <v>1.1132075471698113</v>
      </c>
      <c r="Q19" s="72">
        <f t="shared" si="5"/>
        <v>0.90769230769230769</v>
      </c>
      <c r="R19" s="72">
        <f t="shared" si="6"/>
        <v>0.8867924528301887</v>
      </c>
      <c r="S19" s="72">
        <f t="shared" si="6"/>
        <v>1</v>
      </c>
    </row>
    <row r="20" spans="1:19" x14ac:dyDescent="0.25">
      <c r="A20" s="81" t="str">
        <f t="shared" si="0"/>
        <v>766</v>
      </c>
      <c r="B20" s="81" t="s">
        <v>271</v>
      </c>
      <c r="C20" t="s">
        <v>34</v>
      </c>
      <c r="D20" t="s">
        <v>272</v>
      </c>
      <c r="E20">
        <v>1</v>
      </c>
      <c r="F20" t="s">
        <v>84</v>
      </c>
      <c r="G20" s="81" t="str">
        <f t="shared" si="1"/>
        <v>U</v>
      </c>
      <c r="H20" s="119"/>
      <c r="I20" s="120" t="s">
        <v>35</v>
      </c>
      <c r="J20" s="91" t="str">
        <f t="shared" si="2"/>
        <v/>
      </c>
      <c r="L20" s="79" t="s">
        <v>37</v>
      </c>
      <c r="M20" s="76">
        <v>41</v>
      </c>
      <c r="N20" s="76"/>
    </row>
    <row r="21" spans="1:19" x14ac:dyDescent="0.25">
      <c r="A21" s="102" t="str">
        <f t="shared" si="0"/>
        <v>767</v>
      </c>
      <c r="B21" t="s">
        <v>273</v>
      </c>
      <c r="C21" t="s">
        <v>32</v>
      </c>
      <c r="D21" t="s">
        <v>274</v>
      </c>
      <c r="E21">
        <v>3</v>
      </c>
      <c r="F21" t="s">
        <v>89</v>
      </c>
      <c r="G21" s="102" t="str">
        <f t="shared" si="1"/>
        <v>U</v>
      </c>
      <c r="H21" s="119"/>
      <c r="I21" s="120"/>
      <c r="J21" s="103" t="str">
        <f t="shared" si="2"/>
        <v/>
      </c>
      <c r="L21" s="78" t="s">
        <v>32</v>
      </c>
      <c r="M21" s="76">
        <v>3</v>
      </c>
      <c r="N21" s="76"/>
      <c r="O21" t="s">
        <v>49</v>
      </c>
      <c r="P21" t="s">
        <v>126</v>
      </c>
      <c r="Q21" t="s">
        <v>125</v>
      </c>
      <c r="R21" s="92" t="s">
        <v>239</v>
      </c>
      <c r="S21" t="s">
        <v>129</v>
      </c>
    </row>
    <row r="22" spans="1:19" x14ac:dyDescent="0.25">
      <c r="A22" s="81" t="str">
        <f t="shared" si="0"/>
        <v>768</v>
      </c>
      <c r="B22" t="s">
        <v>275</v>
      </c>
      <c r="C22" t="s">
        <v>34</v>
      </c>
      <c r="D22" t="s">
        <v>276</v>
      </c>
      <c r="E22">
        <v>1</v>
      </c>
      <c r="F22" t="s">
        <v>92</v>
      </c>
      <c r="G22" s="81" t="str">
        <f t="shared" si="1"/>
        <v>U</v>
      </c>
      <c r="H22" s="119"/>
      <c r="I22" s="120" t="s">
        <v>35</v>
      </c>
      <c r="J22" s="91" t="str">
        <f t="shared" si="2"/>
        <v/>
      </c>
      <c r="L22" s="78" t="s">
        <v>34</v>
      </c>
      <c r="M22" s="76">
        <v>38</v>
      </c>
      <c r="N22" s="76"/>
      <c r="O22" t="s">
        <v>2</v>
      </c>
      <c r="P22">
        <f>+GETPIVOTDATA("Story Points",$L$38,"Project","A","Added After",)</f>
        <v>38</v>
      </c>
      <c r="Q22">
        <f>+GETPIVOTDATA("Story Points",$L$38,"Project","A","Added After","Y")</f>
        <v>13</v>
      </c>
      <c r="R22">
        <f>+IF(ISERR(GETPIVOTDATA("Story Points2",$L$18,"Status","To Do","Project","A","Added After",)),0,GETPIVOTDATA("Story Points2",$L$18,"Status","To Do","Project","A","Added After",))+IF(ISERR(GETPIVOTDATA("Story Points2",$L$18,"Status","In Progress","Project","A","Added After",)),0,GETPIVOTDATA("Story Points2",$L$18,"Status","In Progress","Project","A","Added After",))</f>
        <v>3</v>
      </c>
      <c r="S22">
        <f>+IF(ISERR(Q22),0,Q22)+IF(ISERR(P22),0,P22)</f>
        <v>51</v>
      </c>
    </row>
    <row r="23" spans="1:19" x14ac:dyDescent="0.25">
      <c r="A23" s="81" t="str">
        <f t="shared" si="0"/>
        <v>769</v>
      </c>
      <c r="B23" t="s">
        <v>277</v>
      </c>
      <c r="C23" t="s">
        <v>34</v>
      </c>
      <c r="D23" t="s">
        <v>278</v>
      </c>
      <c r="E23">
        <v>1</v>
      </c>
      <c r="F23" t="s">
        <v>92</v>
      </c>
      <c r="G23" s="81" t="str">
        <f t="shared" si="1"/>
        <v>U</v>
      </c>
      <c r="H23" s="119"/>
      <c r="I23" s="120" t="s">
        <v>35</v>
      </c>
      <c r="J23" s="91" t="str">
        <f t="shared" si="2"/>
        <v/>
      </c>
      <c r="L23" s="79" t="s">
        <v>36</v>
      </c>
      <c r="M23" s="76">
        <v>53</v>
      </c>
      <c r="N23" s="76"/>
      <c r="O23" t="s">
        <v>3</v>
      </c>
      <c r="P23">
        <f>+GETPIVOTDATA("Story Points",$L$38,"Project","U","Added After",)</f>
        <v>47</v>
      </c>
      <c r="Q23">
        <f>+GETPIVOTDATA("Story Points",$L$38,"Project","U","Added After","Y")</f>
        <v>12</v>
      </c>
      <c r="R23">
        <f>+IF(ISERR(GETPIVOTDATA("Story Points2",$L$18,"Status","To Do","Project","U","Added After",)),0,GETPIVOTDATA("Story Points2",$L$18,"Status","To Do","Project","U","Added After",))+IF(ISERR(GETPIVOTDATA("Story Points2",$L$18,"Status","In Progress","Project","U","Added After",)),0,GETPIVOTDATA("Story Points2",$L$18,"Status","In Progress","Project","U","Added After",))</f>
        <v>6</v>
      </c>
      <c r="S23">
        <f>+IF(ISERR(Q23),0,Q23)+IF(ISERR(P23),0,P23)</f>
        <v>59</v>
      </c>
    </row>
    <row r="24" spans="1:19" x14ac:dyDescent="0.25">
      <c r="A24" s="81" t="str">
        <f t="shared" si="0"/>
        <v>771</v>
      </c>
      <c r="B24" t="s">
        <v>279</v>
      </c>
      <c r="C24" t="s">
        <v>34</v>
      </c>
      <c r="D24" t="s">
        <v>280</v>
      </c>
      <c r="E24">
        <v>3</v>
      </c>
      <c r="F24" t="s">
        <v>92</v>
      </c>
      <c r="G24" s="81" t="str">
        <f t="shared" si="1"/>
        <v>U</v>
      </c>
      <c r="H24" s="121"/>
      <c r="I24" s="120" t="s">
        <v>35</v>
      </c>
      <c r="J24" s="91" t="str">
        <f t="shared" si="2"/>
        <v/>
      </c>
      <c r="L24" s="78" t="s">
        <v>32</v>
      </c>
      <c r="M24" s="76">
        <v>6</v>
      </c>
      <c r="N24" s="76"/>
    </row>
    <row r="25" spans="1:19" x14ac:dyDescent="0.25">
      <c r="A25" s="81" t="str">
        <f t="shared" si="0"/>
        <v>773</v>
      </c>
      <c r="B25" t="s">
        <v>281</v>
      </c>
      <c r="C25" t="s">
        <v>34</v>
      </c>
      <c r="D25" t="s">
        <v>282</v>
      </c>
      <c r="E25">
        <v>3</v>
      </c>
      <c r="G25" s="81" t="str">
        <f t="shared" si="1"/>
        <v>U</v>
      </c>
      <c r="H25" s="119"/>
      <c r="I25" s="120" t="s">
        <v>35</v>
      </c>
      <c r="J25" s="91" t="str">
        <f t="shared" si="2"/>
        <v/>
      </c>
      <c r="L25" s="78" t="s">
        <v>34</v>
      </c>
      <c r="M25" s="76">
        <v>47</v>
      </c>
      <c r="N25" s="76"/>
      <c r="O25" t="s">
        <v>49</v>
      </c>
      <c r="P25" t="s">
        <v>123</v>
      </c>
      <c r="Q25" t="s">
        <v>124</v>
      </c>
      <c r="R25" t="s">
        <v>126</v>
      </c>
      <c r="S25" t="s">
        <v>130</v>
      </c>
    </row>
    <row r="26" spans="1:19" x14ac:dyDescent="0.25">
      <c r="A26" s="81" t="str">
        <f t="shared" si="0"/>
        <v>774</v>
      </c>
      <c r="B26" t="s">
        <v>283</v>
      </c>
      <c r="C26" t="s">
        <v>34</v>
      </c>
      <c r="D26" t="s">
        <v>284</v>
      </c>
      <c r="E26">
        <v>2</v>
      </c>
      <c r="F26" t="s">
        <v>81</v>
      </c>
      <c r="G26" s="81" t="str">
        <f t="shared" si="1"/>
        <v>U</v>
      </c>
      <c r="H26" s="119"/>
      <c r="I26" s="120" t="s">
        <v>35</v>
      </c>
      <c r="J26" s="91" t="str">
        <f t="shared" si="2"/>
        <v/>
      </c>
      <c r="L26" s="77" t="s">
        <v>35</v>
      </c>
      <c r="M26" s="76">
        <v>25</v>
      </c>
      <c r="N26" s="76"/>
      <c r="O26" t="s">
        <v>2</v>
      </c>
      <c r="P26" s="72">
        <f t="shared" ref="P26:P27" si="7">IF(ISERR(S22),0,S22)/IF(ISERR(P10), 1,P10)</f>
        <v>1.2439024390243902</v>
      </c>
      <c r="Q26" s="72">
        <f t="shared" ref="Q26:Q27" si="8">IF(ISERR(S22),0,S22)/IF(ISERR(S10),1,S10)</f>
        <v>0.94444444444444442</v>
      </c>
      <c r="R26" s="72">
        <f t="shared" ref="R26:S27" si="9">+IF(ISERR(P22),0,P22)/IF(ISERR(P10),1,P10)</f>
        <v>0.92682926829268297</v>
      </c>
      <c r="S26" s="72">
        <f t="shared" si="9"/>
        <v>1</v>
      </c>
    </row>
    <row r="27" spans="1:19" x14ac:dyDescent="0.25">
      <c r="A27" s="81" t="str">
        <f t="shared" si="0"/>
        <v>776</v>
      </c>
      <c r="B27" t="s">
        <v>285</v>
      </c>
      <c r="C27" t="s">
        <v>32</v>
      </c>
      <c r="D27" t="s">
        <v>286</v>
      </c>
      <c r="E27">
        <v>3</v>
      </c>
      <c r="F27" t="s">
        <v>81</v>
      </c>
      <c r="G27" s="81" t="str">
        <f t="shared" si="1"/>
        <v>U</v>
      </c>
      <c r="H27" s="119"/>
      <c r="I27" s="120"/>
      <c r="J27" s="91" t="str">
        <f t="shared" si="2"/>
        <v/>
      </c>
      <c r="L27" s="79" t="s">
        <v>37</v>
      </c>
      <c r="M27" s="76">
        <v>13</v>
      </c>
      <c r="N27" s="76"/>
      <c r="O27" t="s">
        <v>3</v>
      </c>
      <c r="P27" s="72">
        <f t="shared" si="7"/>
        <v>1.1132075471698113</v>
      </c>
      <c r="Q27" s="72">
        <f t="shared" si="8"/>
        <v>0.90769230769230769</v>
      </c>
      <c r="R27" s="72">
        <f t="shared" si="9"/>
        <v>0.8867924528301887</v>
      </c>
      <c r="S27" s="72">
        <f t="shared" si="9"/>
        <v>1</v>
      </c>
    </row>
    <row r="28" spans="1:19" x14ac:dyDescent="0.25">
      <c r="A28" s="81" t="str">
        <f t="shared" si="0"/>
        <v>778</v>
      </c>
      <c r="B28" t="s">
        <v>287</v>
      </c>
      <c r="C28" t="s">
        <v>34</v>
      </c>
      <c r="D28" t="s">
        <v>288</v>
      </c>
      <c r="E28">
        <v>5</v>
      </c>
      <c r="F28" t="s">
        <v>101</v>
      </c>
      <c r="G28" s="81" t="str">
        <f t="shared" si="1"/>
        <v>U</v>
      </c>
      <c r="H28" s="119"/>
      <c r="I28" s="120" t="s">
        <v>35</v>
      </c>
      <c r="J28" s="91" t="str">
        <f t="shared" si="2"/>
        <v/>
      </c>
      <c r="L28" s="78" t="s">
        <v>34</v>
      </c>
      <c r="M28" s="76">
        <v>13</v>
      </c>
      <c r="N28" s="76"/>
    </row>
    <row r="29" spans="1:19" x14ac:dyDescent="0.25">
      <c r="A29" s="81" t="str">
        <f t="shared" si="0"/>
        <v>779</v>
      </c>
      <c r="B29" t="s">
        <v>289</v>
      </c>
      <c r="C29" t="s">
        <v>34</v>
      </c>
      <c r="D29" t="s">
        <v>290</v>
      </c>
      <c r="E29">
        <v>3</v>
      </c>
      <c r="F29" t="s">
        <v>101</v>
      </c>
      <c r="G29" s="81" t="str">
        <f t="shared" si="1"/>
        <v>U</v>
      </c>
      <c r="H29" s="119"/>
      <c r="I29" s="120" t="s">
        <v>35</v>
      </c>
      <c r="J29" s="91" t="str">
        <f t="shared" si="2"/>
        <v/>
      </c>
      <c r="L29" s="79" t="s">
        <v>36</v>
      </c>
      <c r="M29" s="76">
        <v>12</v>
      </c>
      <c r="N29" s="76"/>
    </row>
    <row r="30" spans="1:19" x14ac:dyDescent="0.25">
      <c r="A30" s="81" t="str">
        <f t="shared" si="0"/>
        <v>781</v>
      </c>
      <c r="B30" t="s">
        <v>291</v>
      </c>
      <c r="C30" t="s">
        <v>34</v>
      </c>
      <c r="D30" t="s">
        <v>292</v>
      </c>
      <c r="E30">
        <v>3</v>
      </c>
      <c r="F30" t="s">
        <v>101</v>
      </c>
      <c r="G30" s="81" t="str">
        <f t="shared" si="1"/>
        <v>U</v>
      </c>
      <c r="H30" s="119"/>
      <c r="I30" s="120" t="s">
        <v>35</v>
      </c>
      <c r="J30" s="91" t="str">
        <f t="shared" si="2"/>
        <v/>
      </c>
      <c r="L30" s="78" t="s">
        <v>34</v>
      </c>
      <c r="M30" s="76">
        <v>12</v>
      </c>
      <c r="N30" s="76"/>
    </row>
    <row r="31" spans="1:19" x14ac:dyDescent="0.25">
      <c r="A31" s="81" t="str">
        <f t="shared" si="0"/>
        <v>782</v>
      </c>
      <c r="B31" t="s">
        <v>293</v>
      </c>
      <c r="C31" t="s">
        <v>34</v>
      </c>
      <c r="D31" t="s">
        <v>294</v>
      </c>
      <c r="E31">
        <v>2</v>
      </c>
      <c r="F31" t="s">
        <v>101</v>
      </c>
      <c r="G31" s="81" t="str">
        <f t="shared" si="1"/>
        <v>U</v>
      </c>
      <c r="H31" s="119"/>
      <c r="I31" s="120" t="s">
        <v>35</v>
      </c>
      <c r="J31" s="91" t="str">
        <f t="shared" si="2"/>
        <v/>
      </c>
      <c r="L31" s="77" t="s">
        <v>31</v>
      </c>
      <c r="M31" s="76">
        <v>119</v>
      </c>
      <c r="N31" s="76"/>
    </row>
    <row r="32" spans="1:19" x14ac:dyDescent="0.25">
      <c r="A32" s="81" t="str">
        <f t="shared" si="0"/>
        <v>783</v>
      </c>
      <c r="B32" t="s">
        <v>295</v>
      </c>
      <c r="C32" t="s">
        <v>34</v>
      </c>
      <c r="D32" t="s">
        <v>296</v>
      </c>
      <c r="E32">
        <v>3</v>
      </c>
      <c r="F32" t="s">
        <v>235</v>
      </c>
      <c r="G32" s="81" t="str">
        <f t="shared" si="1"/>
        <v>U</v>
      </c>
      <c r="H32" s="119"/>
      <c r="I32" s="120" t="s">
        <v>35</v>
      </c>
      <c r="J32" s="91" t="str">
        <f t="shared" si="2"/>
        <v/>
      </c>
    </row>
    <row r="33" spans="1:14" x14ac:dyDescent="0.25">
      <c r="A33" s="81" t="str">
        <f t="shared" si="0"/>
        <v>784</v>
      </c>
      <c r="B33" t="s">
        <v>297</v>
      </c>
      <c r="C33" t="s">
        <v>34</v>
      </c>
      <c r="D33" t="s">
        <v>298</v>
      </c>
      <c r="E33">
        <v>1</v>
      </c>
      <c r="F33" t="s">
        <v>235</v>
      </c>
      <c r="G33" s="81" t="str">
        <f t="shared" si="1"/>
        <v>U</v>
      </c>
      <c r="H33" s="119"/>
      <c r="I33" s="120" t="s">
        <v>35</v>
      </c>
      <c r="J33" s="91" t="str">
        <f t="shared" si="2"/>
        <v/>
      </c>
    </row>
    <row r="34" spans="1:14" x14ac:dyDescent="0.25">
      <c r="A34" s="81" t="str">
        <f t="shared" si="0"/>
        <v>785</v>
      </c>
      <c r="B34" t="s">
        <v>299</v>
      </c>
      <c r="C34" t="s">
        <v>34</v>
      </c>
      <c r="D34" t="s">
        <v>300</v>
      </c>
      <c r="E34">
        <v>5</v>
      </c>
      <c r="F34" t="s">
        <v>235</v>
      </c>
      <c r="G34" s="81" t="str">
        <f t="shared" si="1"/>
        <v>U</v>
      </c>
      <c r="H34" s="119"/>
      <c r="I34" s="120" t="s">
        <v>35</v>
      </c>
      <c r="J34" s="91" t="str">
        <f t="shared" si="2"/>
        <v/>
      </c>
    </row>
    <row r="35" spans="1:14" x14ac:dyDescent="0.25">
      <c r="A35" s="81" t="str">
        <f t="shared" si="0"/>
        <v>786</v>
      </c>
      <c r="B35" t="s">
        <v>301</v>
      </c>
      <c r="C35" t="s">
        <v>34</v>
      </c>
      <c r="D35" t="s">
        <v>302</v>
      </c>
      <c r="E35">
        <v>5</v>
      </c>
      <c r="F35" t="s">
        <v>92</v>
      </c>
      <c r="G35" s="81" t="str">
        <f t="shared" si="1"/>
        <v>U</v>
      </c>
      <c r="H35" s="119"/>
      <c r="I35" s="120" t="s">
        <v>35</v>
      </c>
      <c r="J35" s="91" t="str">
        <f t="shared" si="2"/>
        <v/>
      </c>
    </row>
    <row r="36" spans="1:14" x14ac:dyDescent="0.25">
      <c r="A36" s="102" t="str">
        <f t="shared" si="0"/>
        <v>789</v>
      </c>
      <c r="B36" s="119" t="s">
        <v>309</v>
      </c>
      <c r="C36" s="119" t="s">
        <v>34</v>
      </c>
      <c r="D36" s="119" t="s">
        <v>310</v>
      </c>
      <c r="E36" s="119">
        <v>3</v>
      </c>
      <c r="F36" s="119" t="s">
        <v>81</v>
      </c>
      <c r="G36" s="102" t="str">
        <f t="shared" si="1"/>
        <v>U</v>
      </c>
      <c r="H36" s="119" t="s">
        <v>35</v>
      </c>
      <c r="I36" s="123" t="s">
        <v>35</v>
      </c>
      <c r="J36" s="103" t="str">
        <f t="shared" si="2"/>
        <v/>
      </c>
      <c r="L36" s="80" t="s">
        <v>144</v>
      </c>
      <c r="M36" t="s">
        <v>35</v>
      </c>
    </row>
    <row r="37" spans="1:14" x14ac:dyDescent="0.25">
      <c r="A37" s="102" t="str">
        <f t="shared" si="0"/>
        <v>796</v>
      </c>
      <c r="B37" s="81" t="s">
        <v>311</v>
      </c>
      <c r="C37" t="s">
        <v>34</v>
      </c>
      <c r="D37" t="s">
        <v>258</v>
      </c>
      <c r="E37">
        <v>2</v>
      </c>
      <c r="F37" t="s">
        <v>81</v>
      </c>
      <c r="G37" s="102" t="str">
        <f t="shared" si="1"/>
        <v>U</v>
      </c>
      <c r="H37" s="119"/>
      <c r="I37" s="120" t="s">
        <v>35</v>
      </c>
      <c r="J37" s="103" t="str">
        <f t="shared" si="2"/>
        <v/>
      </c>
    </row>
    <row r="38" spans="1:14" x14ac:dyDescent="0.25">
      <c r="A38" s="102" t="str">
        <f>MID(B38,8,3)</f>
        <v>830</v>
      </c>
      <c r="B38" s="119" t="s">
        <v>313</v>
      </c>
      <c r="C38" s="119" t="s">
        <v>34</v>
      </c>
      <c r="D38" s="119" t="s">
        <v>314</v>
      </c>
      <c r="E38" s="119">
        <v>3</v>
      </c>
      <c r="F38" s="119" t="s">
        <v>92</v>
      </c>
      <c r="G38" s="102" t="str">
        <f>MID(B38,4,1)</f>
        <v>U</v>
      </c>
      <c r="H38" s="119" t="s">
        <v>35</v>
      </c>
      <c r="I38" s="123" t="s">
        <v>35</v>
      </c>
      <c r="J38" s="103"/>
      <c r="L38" s="80" t="s">
        <v>39</v>
      </c>
      <c r="M38" t="s">
        <v>50</v>
      </c>
    </row>
    <row r="39" spans="1:14" x14ac:dyDescent="0.25">
      <c r="A39" s="102" t="str">
        <f>MID(B39,8,3)</f>
        <v>834</v>
      </c>
      <c r="B39" s="119" t="s">
        <v>319</v>
      </c>
      <c r="C39" s="119" t="s">
        <v>34</v>
      </c>
      <c r="D39" s="119" t="s">
        <v>320</v>
      </c>
      <c r="E39" s="119">
        <v>5</v>
      </c>
      <c r="F39" s="119" t="s">
        <v>92</v>
      </c>
      <c r="G39" s="102" t="str">
        <f>MID(B39,4,1)</f>
        <v>U</v>
      </c>
      <c r="H39" s="119" t="s">
        <v>35</v>
      </c>
      <c r="I39" s="123" t="s">
        <v>35</v>
      </c>
      <c r="J39" s="103" t="str">
        <f>IF(C39="Done", IF(I39&lt;&gt;"Y", "ERR",""),"")</f>
        <v/>
      </c>
      <c r="L39" s="77" t="s">
        <v>37</v>
      </c>
      <c r="M39" s="76"/>
      <c r="N39" s="76"/>
    </row>
    <row r="40" spans="1:14" x14ac:dyDescent="0.25">
      <c r="A40" s="102" t="str">
        <f>MID(B40,8,3)</f>
        <v>837</v>
      </c>
      <c r="B40" s="119" t="s">
        <v>315</v>
      </c>
      <c r="C40" s="119" t="s">
        <v>34</v>
      </c>
      <c r="D40" s="119" t="s">
        <v>316</v>
      </c>
      <c r="E40" s="119">
        <v>1</v>
      </c>
      <c r="F40" s="119" t="s">
        <v>72</v>
      </c>
      <c r="G40" s="102" t="str">
        <f>MID(B40,4,1)</f>
        <v>U</v>
      </c>
      <c r="H40" s="119" t="s">
        <v>307</v>
      </c>
      <c r="I40" s="123" t="s">
        <v>307</v>
      </c>
      <c r="J40" s="103" t="str">
        <f>IF(C40="Done", IF(I40&lt;&gt;"Y", "ERR",""),"")</f>
        <v/>
      </c>
      <c r="L40" s="79" t="s">
        <v>122</v>
      </c>
      <c r="M40" s="76">
        <v>38</v>
      </c>
      <c r="N40" s="76"/>
    </row>
    <row r="41" spans="1:14" x14ac:dyDescent="0.25">
      <c r="L41" s="79" t="s">
        <v>35</v>
      </c>
      <c r="M41" s="76">
        <v>13</v>
      </c>
      <c r="N41" s="76"/>
    </row>
    <row r="42" spans="1:14" x14ac:dyDescent="0.25">
      <c r="L42" s="77" t="s">
        <v>131</v>
      </c>
      <c r="M42" s="76">
        <v>51</v>
      </c>
      <c r="N42" s="76"/>
    </row>
    <row r="43" spans="1:14" x14ac:dyDescent="0.25">
      <c r="L43" s="77" t="s">
        <v>36</v>
      </c>
      <c r="M43" s="76"/>
      <c r="N43" s="76"/>
    </row>
    <row r="44" spans="1:14" x14ac:dyDescent="0.25">
      <c r="L44" s="79" t="s">
        <v>122</v>
      </c>
      <c r="M44" s="76">
        <v>47</v>
      </c>
      <c r="N44" s="76"/>
    </row>
    <row r="45" spans="1:14" x14ac:dyDescent="0.25">
      <c r="L45" s="79" t="s">
        <v>35</v>
      </c>
      <c r="M45" s="76">
        <v>12</v>
      </c>
      <c r="N45" s="76"/>
    </row>
    <row r="46" spans="1:14" x14ac:dyDescent="0.25">
      <c r="L46" s="77" t="s">
        <v>132</v>
      </c>
      <c r="M46" s="76">
        <v>59</v>
      </c>
      <c r="N46" s="76"/>
    </row>
    <row r="47" spans="1:14" x14ac:dyDescent="0.25">
      <c r="L47" s="77" t="s">
        <v>31</v>
      </c>
      <c r="M47" s="76">
        <v>110</v>
      </c>
      <c r="N47" s="76"/>
    </row>
    <row r="54" spans="12:14" x14ac:dyDescent="0.25">
      <c r="L54" s="79"/>
      <c r="M54" s="76"/>
      <c r="N54" s="76"/>
    </row>
    <row r="55" spans="12:14" x14ac:dyDescent="0.25">
      <c r="L55" s="77"/>
      <c r="M55" s="76"/>
      <c r="N55" s="76"/>
    </row>
    <row r="56" spans="12:14" x14ac:dyDescent="0.25">
      <c r="L56" s="77"/>
      <c r="M56" s="76"/>
      <c r="N56" s="76"/>
    </row>
  </sheetData>
  <sheetProtection sort="0" autoFilter="0" pivotTables="0"/>
  <conditionalFormatting sqref="I2:I40">
    <cfRule type="expression" dxfId="101" priority="2">
      <formula>$C2="Done"</formula>
    </cfRule>
  </conditionalFormatting>
  <conditionalFormatting sqref="C2:C40">
    <cfRule type="expression" dxfId="100" priority="1">
      <formula>C2="Done"</formula>
    </cfRule>
  </conditionalFormatting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7" name="Button 1">
              <controlPr defaultSize="0" print="0" autoFill="0" autoPict="0" macro="[0]!ResetSprintData">
                <anchor moveWithCells="1" sizeWithCells="1">
                  <from>
                    <xdr:col>19</xdr:col>
                    <xdr:colOff>952500</xdr:colOff>
                    <xdr:row>8</xdr:row>
                    <xdr:rowOff>9525</xdr:rowOff>
                  </from>
                  <to>
                    <xdr:col>24</xdr:col>
                    <xdr:colOff>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7">
    <tablePart r:id="rId8"/>
    <tablePart r:id="rId9"/>
    <tablePart r:id="rId10"/>
    <tablePart r:id="rId11"/>
    <tablePart r:id="rId12"/>
    <tablePart r:id="rId13"/>
    <tablePart r:id="rId1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56"/>
  <sheetViews>
    <sheetView topLeftCell="G1" workbookViewId="0">
      <selection activeCell="R22" sqref="R22"/>
    </sheetView>
  </sheetViews>
  <sheetFormatPr defaultRowHeight="15" x14ac:dyDescent="0.25"/>
  <cols>
    <col min="2" max="2" width="12.28515625" customWidth="1"/>
    <col min="3" max="3" width="11" customWidth="1"/>
    <col min="4" max="4" width="89.42578125" bestFit="1" customWidth="1"/>
    <col min="5" max="5" width="8.85546875" customWidth="1"/>
    <col min="6" max="6" width="12.28515625" customWidth="1"/>
    <col min="7" max="7" width="14.42578125" customWidth="1"/>
    <col min="8" max="8" width="11.5703125" customWidth="1"/>
    <col min="9" max="9" width="4.5703125" customWidth="1"/>
    <col min="10" max="10" width="12" customWidth="1"/>
    <col min="11" max="11" width="10.85546875" customWidth="1"/>
    <col min="12" max="12" width="16.42578125" bestFit="1" customWidth="1"/>
    <col min="13" max="13" width="6.42578125" bestFit="1" customWidth="1"/>
    <col min="14" max="14" width="4.28515625" customWidth="1"/>
    <col min="15" max="15" width="16.5703125" customWidth="1"/>
    <col min="16" max="16" width="22.7109375" customWidth="1"/>
    <col min="17" max="17" width="19" customWidth="1"/>
    <col min="18" max="18" width="16.28515625" customWidth="1"/>
    <col min="19" max="19" width="16.5703125" customWidth="1"/>
    <col min="20" max="20" width="14.5703125" customWidth="1"/>
    <col min="21" max="21" width="13.42578125" customWidth="1"/>
    <col min="22" max="22" width="9.140625" customWidth="1"/>
    <col min="23" max="23" width="11" bestFit="1" customWidth="1"/>
    <col min="24" max="24" width="9.140625" customWidth="1"/>
    <col min="26" max="26" width="11.5703125" bestFit="1" customWidth="1"/>
  </cols>
  <sheetData>
    <row r="1" spans="1:24" ht="30.75" customHeight="1" x14ac:dyDescent="0.25">
      <c r="A1" t="s">
        <v>231</v>
      </c>
      <c r="B1" t="s">
        <v>48</v>
      </c>
      <c r="C1" t="s">
        <v>47</v>
      </c>
      <c r="D1" t="s">
        <v>46</v>
      </c>
      <c r="E1" t="s">
        <v>38</v>
      </c>
      <c r="F1" t="s">
        <v>45</v>
      </c>
      <c r="G1" t="s">
        <v>44</v>
      </c>
      <c r="H1" t="s">
        <v>43</v>
      </c>
      <c r="I1" t="s">
        <v>144</v>
      </c>
      <c r="J1" t="s">
        <v>40</v>
      </c>
      <c r="O1" t="s">
        <v>133</v>
      </c>
      <c r="P1" t="s">
        <v>134</v>
      </c>
      <c r="Q1" t="s">
        <v>41</v>
      </c>
      <c r="R1" t="s">
        <v>135</v>
      </c>
      <c r="S1" t="s">
        <v>136</v>
      </c>
      <c r="T1" s="98" t="s">
        <v>143</v>
      </c>
      <c r="U1" s="98" t="s">
        <v>141</v>
      </c>
      <c r="V1" s="92" t="s">
        <v>40</v>
      </c>
      <c r="W1" s="98" t="s">
        <v>142</v>
      </c>
      <c r="X1" s="98" t="s">
        <v>145</v>
      </c>
    </row>
    <row r="2" spans="1:24" x14ac:dyDescent="0.25">
      <c r="A2" s="81" t="str">
        <f t="shared" ref="A2:A34" si="0">MID(B2,8,3)</f>
        <v>9</v>
      </c>
      <c r="B2" t="s">
        <v>56</v>
      </c>
      <c r="C2" t="s">
        <v>33</v>
      </c>
      <c r="D2" s="109" t="s">
        <v>57</v>
      </c>
      <c r="E2" s="109">
        <v>8</v>
      </c>
      <c r="F2" s="109" t="s">
        <v>58</v>
      </c>
      <c r="G2" s="81" t="str">
        <f t="shared" ref="G2:G34" si="1">MID(B2,4,1)</f>
        <v>A</v>
      </c>
      <c r="H2" s="81"/>
      <c r="I2" s="111" t="s">
        <v>234</v>
      </c>
      <c r="J2" s="91" t="str">
        <f t="shared" ref="J2:J34" si="2">IF(C2="Done", IF(I2&lt;&gt;"Y", "ERR",""),"")</f>
        <v/>
      </c>
      <c r="O2" t="s">
        <v>2</v>
      </c>
      <c r="P2">
        <f>+P9-Table9[[#This Row],[Blocked]]</f>
        <v>42</v>
      </c>
      <c r="Q2">
        <f>IF(ISERR(Q9),0,Q9)</f>
        <v>13</v>
      </c>
      <c r="R2">
        <f>IF(ISERR(R9),0,R9)</f>
        <v>0</v>
      </c>
      <c r="S2">
        <f>+IF(ISERR(S13),0,S13)</f>
        <v>34</v>
      </c>
      <c r="T2" s="100">
        <f>Table9[[#This Row],[Completed]]/Table9[[#This Row],[Committed]]</f>
        <v>0.80952380952380953</v>
      </c>
      <c r="U2" s="95">
        <f>Table9[[#This Row],[Completed]]/(Table9[[#This Row],[Added]]+Table9[[#This Row],[Committed]])</f>
        <v>0.61818181818181817</v>
      </c>
      <c r="W2" s="96" t="str">
        <f>IF(ISERR(P13),0,P13) &amp; "  (" &amp;TEXT(IF(ISERR(P13),0,P13)/Table9[[#This Row],[Committed]],"#%") &amp; ")"</f>
        <v>21  (50%)</v>
      </c>
      <c r="X2" s="97" t="str">
        <f>+IF(ISERR(Q13),0,Q13) &amp; " (" &amp; TEXT(S17, "#%") &amp; ")"</f>
        <v>13 (100%)</v>
      </c>
    </row>
    <row r="3" spans="1:24" x14ac:dyDescent="0.25">
      <c r="A3" s="81" t="str">
        <f t="shared" si="0"/>
        <v>262</v>
      </c>
      <c r="B3" t="s">
        <v>59</v>
      </c>
      <c r="C3" t="s">
        <v>33</v>
      </c>
      <c r="D3" s="109" t="s">
        <v>60</v>
      </c>
      <c r="E3" s="109">
        <v>8</v>
      </c>
      <c r="F3" s="109" t="s">
        <v>61</v>
      </c>
      <c r="G3" s="81" t="str">
        <f t="shared" si="1"/>
        <v>A</v>
      </c>
      <c r="H3" s="81"/>
      <c r="I3" s="111" t="s">
        <v>234</v>
      </c>
      <c r="J3" s="91" t="str">
        <f t="shared" si="2"/>
        <v/>
      </c>
      <c r="O3" t="s">
        <v>137</v>
      </c>
      <c r="P3">
        <f>+P10-Table9[[#This Row],[Blocked]]</f>
        <v>41</v>
      </c>
      <c r="Q3">
        <f>IF(ISERR(Q10),0,Q10)</f>
        <v>9</v>
      </c>
      <c r="R3">
        <f>IF(ISERR(R10),0,R10)</f>
        <v>0</v>
      </c>
      <c r="S3">
        <f>+IF(ISERR(S14),0,S14)</f>
        <v>44</v>
      </c>
      <c r="T3" s="95">
        <f>Table9[[#This Row],[Completed]]/Table9[[#This Row],[Committed]]</f>
        <v>1.0731707317073171</v>
      </c>
      <c r="U3" s="95">
        <f>Table9[[#This Row],[Completed]]/(Table9[[#This Row],[Added]]+Table9[[#This Row],[Committed]])</f>
        <v>0.88</v>
      </c>
      <c r="W3" s="96" t="str">
        <f>IF(ISERR(P14),0,P14) &amp; "  (" &amp;TEXT(IF(ISERR(P14),0,P14)/Table9[[#This Row],[Committed]],"#%") &amp; ")"</f>
        <v>35  (85%)</v>
      </c>
      <c r="X3" s="97" t="str">
        <f>+IF(ISERR(Q14),0,Q14) &amp; " (" &amp; TEXT(S18, "#%") &amp; ")"</f>
        <v>9 (100%)</v>
      </c>
    </row>
    <row r="4" spans="1:24" x14ac:dyDescent="0.25">
      <c r="A4" s="81" t="str">
        <f t="shared" si="0"/>
        <v>322</v>
      </c>
      <c r="B4" t="s">
        <v>117</v>
      </c>
      <c r="C4" t="s">
        <v>34</v>
      </c>
      <c r="D4" t="s">
        <v>114</v>
      </c>
      <c r="E4">
        <v>1</v>
      </c>
      <c r="F4" t="s">
        <v>64</v>
      </c>
      <c r="G4" s="81" t="str">
        <f t="shared" si="1"/>
        <v>A</v>
      </c>
      <c r="H4" s="81" t="s">
        <v>35</v>
      </c>
      <c r="I4" s="81" t="s">
        <v>35</v>
      </c>
      <c r="J4" s="91" t="str">
        <f t="shared" si="2"/>
        <v/>
      </c>
      <c r="P4" t="s">
        <v>140</v>
      </c>
      <c r="T4" t="s">
        <v>220</v>
      </c>
    </row>
    <row r="5" spans="1:24" x14ac:dyDescent="0.25">
      <c r="A5" s="81" t="str">
        <f t="shared" si="0"/>
        <v>323</v>
      </c>
      <c r="B5" t="s">
        <v>62</v>
      </c>
      <c r="C5" t="s">
        <v>34</v>
      </c>
      <c r="D5" t="s">
        <v>63</v>
      </c>
      <c r="E5">
        <v>3</v>
      </c>
      <c r="F5" t="s">
        <v>64</v>
      </c>
      <c r="G5" s="81" t="str">
        <f t="shared" si="1"/>
        <v>A</v>
      </c>
      <c r="H5" s="81"/>
      <c r="I5" s="81" t="s">
        <v>35</v>
      </c>
      <c r="J5" s="91" t="str">
        <f t="shared" si="2"/>
        <v/>
      </c>
    </row>
    <row r="6" spans="1:24" x14ac:dyDescent="0.25">
      <c r="A6" s="81" t="str">
        <f t="shared" si="0"/>
        <v>324</v>
      </c>
      <c r="B6" t="s">
        <v>118</v>
      </c>
      <c r="C6" t="s">
        <v>34</v>
      </c>
      <c r="D6" t="s">
        <v>115</v>
      </c>
      <c r="E6">
        <v>1</v>
      </c>
      <c r="F6" t="s">
        <v>58</v>
      </c>
      <c r="G6" s="81" t="str">
        <f t="shared" si="1"/>
        <v>A</v>
      </c>
      <c r="H6" s="81" t="s">
        <v>35</v>
      </c>
      <c r="I6" s="81" t="s">
        <v>35</v>
      </c>
      <c r="J6" s="91" t="str">
        <f t="shared" si="2"/>
        <v/>
      </c>
    </row>
    <row r="7" spans="1:24" x14ac:dyDescent="0.25">
      <c r="A7" s="81" t="str">
        <f t="shared" si="0"/>
        <v>387</v>
      </c>
      <c r="B7" t="s">
        <v>65</v>
      </c>
      <c r="C7" t="s">
        <v>34</v>
      </c>
      <c r="D7" s="108" t="s">
        <v>66</v>
      </c>
      <c r="E7" s="108">
        <v>3</v>
      </c>
      <c r="F7" s="108" t="s">
        <v>236</v>
      </c>
      <c r="G7" s="81" t="str">
        <f t="shared" si="1"/>
        <v>A</v>
      </c>
      <c r="H7" s="81"/>
      <c r="I7" s="81" t="s">
        <v>35</v>
      </c>
      <c r="J7" s="91" t="str">
        <f t="shared" si="2"/>
        <v/>
      </c>
      <c r="L7" s="80" t="s">
        <v>119</v>
      </c>
      <c r="M7" t="s">
        <v>120</v>
      </c>
      <c r="O7" t="s">
        <v>139</v>
      </c>
      <c r="S7" t="s">
        <v>138</v>
      </c>
    </row>
    <row r="8" spans="1:24" x14ac:dyDescent="0.25">
      <c r="A8" s="81" t="str">
        <f t="shared" si="0"/>
        <v>388</v>
      </c>
      <c r="B8" t="s">
        <v>67</v>
      </c>
      <c r="C8" t="s">
        <v>34</v>
      </c>
      <c r="D8" s="108" t="s">
        <v>68</v>
      </c>
      <c r="E8" s="108">
        <v>1</v>
      </c>
      <c r="F8" s="108" t="s">
        <v>236</v>
      </c>
      <c r="G8" s="81" t="str">
        <f t="shared" si="1"/>
        <v>A</v>
      </c>
      <c r="H8" s="81"/>
      <c r="I8" s="81" t="s">
        <v>35</v>
      </c>
      <c r="J8" s="91" t="str">
        <f t="shared" si="2"/>
        <v/>
      </c>
      <c r="L8" s="77" t="s">
        <v>37</v>
      </c>
      <c r="M8" s="76">
        <v>55</v>
      </c>
      <c r="O8" t="s">
        <v>133</v>
      </c>
      <c r="P8" t="s">
        <v>42</v>
      </c>
      <c r="Q8" t="s">
        <v>41</v>
      </c>
      <c r="R8" s="94" t="s">
        <v>135</v>
      </c>
      <c r="S8" t="s">
        <v>128</v>
      </c>
    </row>
    <row r="9" spans="1:24" x14ac:dyDescent="0.25">
      <c r="A9" s="81" t="str">
        <f t="shared" si="0"/>
        <v>392</v>
      </c>
      <c r="B9" t="s">
        <v>69</v>
      </c>
      <c r="C9" t="s">
        <v>34</v>
      </c>
      <c r="D9" t="s">
        <v>70</v>
      </c>
      <c r="E9">
        <v>3</v>
      </c>
      <c r="F9" t="s">
        <v>61</v>
      </c>
      <c r="G9" s="81" t="str">
        <f t="shared" si="1"/>
        <v>A</v>
      </c>
      <c r="H9" s="81"/>
      <c r="I9" s="81" t="s">
        <v>35</v>
      </c>
      <c r="J9" s="91" t="str">
        <f t="shared" si="2"/>
        <v/>
      </c>
      <c r="L9" s="79" t="s">
        <v>34</v>
      </c>
      <c r="M9" s="76">
        <v>34</v>
      </c>
      <c r="O9" t="s">
        <v>2</v>
      </c>
      <c r="P9">
        <f>+GETPIVOTDATA("Story Points2",$L$18,"Project","A","Added After",)</f>
        <v>42</v>
      </c>
      <c r="Q9">
        <f>+GETPIVOTDATA("Story Points2",$L$18,"Project","A","Added After","Y")</f>
        <v>13</v>
      </c>
      <c r="R9" s="93" t="e">
        <f>GETPIVOTDATA("Story Points2",$L$7,"Status","Blocked","Project","A")</f>
        <v>#REF!</v>
      </c>
      <c r="S9">
        <f t="shared" ref="S9:S10" si="3">+IF(ISERR(Q9),0,Q9)+IF(ISERR(P9),0,P9)</f>
        <v>55</v>
      </c>
    </row>
    <row r="10" spans="1:24" x14ac:dyDescent="0.25">
      <c r="A10" s="102" t="str">
        <f t="shared" si="0"/>
        <v>395</v>
      </c>
      <c r="B10" s="81" t="s">
        <v>232</v>
      </c>
      <c r="C10" s="81" t="s">
        <v>34</v>
      </c>
      <c r="D10" s="81" t="s">
        <v>233</v>
      </c>
      <c r="E10" s="81">
        <v>3</v>
      </c>
      <c r="F10" s="81" t="s">
        <v>58</v>
      </c>
      <c r="G10" s="102" t="str">
        <f t="shared" si="1"/>
        <v>A</v>
      </c>
      <c r="H10" s="81" t="s">
        <v>35</v>
      </c>
      <c r="I10" s="81" t="s">
        <v>35</v>
      </c>
      <c r="J10" s="103" t="str">
        <f t="shared" si="2"/>
        <v/>
      </c>
      <c r="L10" s="79" t="s">
        <v>33</v>
      </c>
      <c r="M10" s="76">
        <v>21</v>
      </c>
      <c r="O10" t="s">
        <v>3</v>
      </c>
      <c r="P10">
        <f>+GETPIVOTDATA("Story Points2",$L$18,"Project","U","Added After",)</f>
        <v>41</v>
      </c>
      <c r="Q10">
        <f>+GETPIVOTDATA("Story Points2",$L$18,"Project","U","Added After","Y")</f>
        <v>9</v>
      </c>
      <c r="R10" s="93" t="e">
        <f>GETPIVOTDATA("Story Points2",$L$7,"Status","Blocked","Project","U")</f>
        <v>#REF!</v>
      </c>
      <c r="S10">
        <f t="shared" si="3"/>
        <v>50</v>
      </c>
    </row>
    <row r="11" spans="1:24" x14ac:dyDescent="0.25">
      <c r="A11" s="81" t="str">
        <f t="shared" si="0"/>
        <v>401</v>
      </c>
      <c r="B11" t="s">
        <v>116</v>
      </c>
      <c r="C11" t="s">
        <v>34</v>
      </c>
      <c r="D11" t="s">
        <v>113</v>
      </c>
      <c r="E11">
        <v>3</v>
      </c>
      <c r="F11" t="s">
        <v>112</v>
      </c>
      <c r="G11" s="81" t="str">
        <f t="shared" si="1"/>
        <v>A</v>
      </c>
      <c r="H11" s="81" t="s">
        <v>35</v>
      </c>
      <c r="I11" s="81" t="s">
        <v>35</v>
      </c>
      <c r="J11" s="91" t="str">
        <f t="shared" si="2"/>
        <v/>
      </c>
      <c r="L11" s="77" t="s">
        <v>36</v>
      </c>
      <c r="M11" s="76">
        <v>50</v>
      </c>
    </row>
    <row r="12" spans="1:24" x14ac:dyDescent="0.25">
      <c r="A12" s="81" t="str">
        <f t="shared" si="0"/>
        <v>402</v>
      </c>
      <c r="B12" t="s">
        <v>71</v>
      </c>
      <c r="C12" t="s">
        <v>33</v>
      </c>
      <c r="D12" s="110" t="s">
        <v>237</v>
      </c>
      <c r="E12" s="110">
        <v>5</v>
      </c>
      <c r="F12" s="110" t="s">
        <v>72</v>
      </c>
      <c r="G12" s="81" t="str">
        <f t="shared" si="1"/>
        <v>A</v>
      </c>
      <c r="H12" s="81"/>
      <c r="I12" s="81" t="s">
        <v>35</v>
      </c>
      <c r="J12" s="91" t="str">
        <f t="shared" si="2"/>
        <v/>
      </c>
      <c r="L12" s="79" t="s">
        <v>34</v>
      </c>
      <c r="M12" s="76">
        <v>44</v>
      </c>
      <c r="O12" t="s">
        <v>34</v>
      </c>
      <c r="P12" t="s">
        <v>126</v>
      </c>
      <c r="Q12" t="s">
        <v>125</v>
      </c>
      <c r="R12" s="92" t="s">
        <v>40</v>
      </c>
      <c r="S12" t="s">
        <v>127</v>
      </c>
    </row>
    <row r="13" spans="1:24" x14ac:dyDescent="0.25">
      <c r="A13" s="81" t="str">
        <f t="shared" si="0"/>
        <v>404</v>
      </c>
      <c r="B13" t="s">
        <v>73</v>
      </c>
      <c r="C13" t="s">
        <v>34</v>
      </c>
      <c r="D13" t="s">
        <v>74</v>
      </c>
      <c r="E13">
        <v>3</v>
      </c>
      <c r="F13" t="s">
        <v>236</v>
      </c>
      <c r="G13" s="81" t="str">
        <f t="shared" si="1"/>
        <v>A</v>
      </c>
      <c r="H13" s="81"/>
      <c r="I13" s="81" t="s">
        <v>35</v>
      </c>
      <c r="J13" s="91" t="str">
        <f t="shared" si="2"/>
        <v/>
      </c>
      <c r="L13" s="79" t="s">
        <v>32</v>
      </c>
      <c r="M13" s="76">
        <v>6</v>
      </c>
      <c r="O13" t="s">
        <v>2</v>
      </c>
      <c r="P13">
        <f>+GETPIVOTDATA("Story Points2",$L$18,"Status","Done","Project","A","Added After",)</f>
        <v>21</v>
      </c>
      <c r="Q13">
        <f>+GETPIVOTDATA("Story Points2",$L$18,"Status","Done","Project","A","Added After","Y")</f>
        <v>13</v>
      </c>
      <c r="S13">
        <f t="shared" ref="S13:S14" si="4">+IF(ISERR(Q13),0,Q13)+IF(ISERR(P13),0,P13)</f>
        <v>34</v>
      </c>
    </row>
    <row r="14" spans="1:24" x14ac:dyDescent="0.25">
      <c r="A14" s="81" t="str">
        <f t="shared" si="0"/>
        <v>413</v>
      </c>
      <c r="B14" t="s">
        <v>75</v>
      </c>
      <c r="C14" t="s">
        <v>34</v>
      </c>
      <c r="D14" s="110" t="s">
        <v>76</v>
      </c>
      <c r="E14" s="110">
        <v>5</v>
      </c>
      <c r="F14" s="110" t="s">
        <v>72</v>
      </c>
      <c r="G14" s="81" t="str">
        <f t="shared" si="1"/>
        <v>A</v>
      </c>
      <c r="H14" s="81"/>
      <c r="I14" s="81" t="s">
        <v>35</v>
      </c>
      <c r="J14" s="91" t="str">
        <f t="shared" si="2"/>
        <v/>
      </c>
      <c r="L14" s="77" t="s">
        <v>31</v>
      </c>
      <c r="M14" s="76">
        <v>105</v>
      </c>
      <c r="O14" t="s">
        <v>3</v>
      </c>
      <c r="P14">
        <f>+GETPIVOTDATA("Story Points2",$L$18,"Status","Done","Project","U","Added After",)</f>
        <v>35</v>
      </c>
      <c r="Q14">
        <f>+GETPIVOTDATA("Story Points2",$L$18,"Status","Done","Project","U","Added After","Y")</f>
        <v>9</v>
      </c>
      <c r="S14">
        <f t="shared" si="4"/>
        <v>44</v>
      </c>
    </row>
    <row r="15" spans="1:24" x14ac:dyDescent="0.25">
      <c r="A15" s="81" t="str">
        <f t="shared" si="0"/>
        <v>414</v>
      </c>
      <c r="B15" t="s">
        <v>77</v>
      </c>
      <c r="C15" t="s">
        <v>34</v>
      </c>
      <c r="D15" s="108" t="s">
        <v>78</v>
      </c>
      <c r="E15" s="108">
        <v>3</v>
      </c>
      <c r="F15" s="108"/>
      <c r="G15" s="81" t="str">
        <f t="shared" si="1"/>
        <v>A</v>
      </c>
      <c r="H15" s="81"/>
      <c r="I15" s="81" t="s">
        <v>35</v>
      </c>
      <c r="J15" s="91" t="str">
        <f t="shared" si="2"/>
        <v/>
      </c>
    </row>
    <row r="16" spans="1:24" x14ac:dyDescent="0.25">
      <c r="A16" s="81" t="str">
        <f t="shared" si="0"/>
        <v>421</v>
      </c>
      <c r="B16" t="s">
        <v>221</v>
      </c>
      <c r="C16" t="s">
        <v>34</v>
      </c>
      <c r="D16" t="s">
        <v>222</v>
      </c>
      <c r="E16">
        <v>3</v>
      </c>
      <c r="F16" t="s">
        <v>61</v>
      </c>
      <c r="G16" s="81" t="str">
        <f t="shared" si="1"/>
        <v>A</v>
      </c>
      <c r="H16" s="81" t="s">
        <v>35</v>
      </c>
      <c r="I16" s="81" t="s">
        <v>35</v>
      </c>
      <c r="J16" s="91" t="str">
        <f t="shared" si="2"/>
        <v/>
      </c>
      <c r="O16" t="s">
        <v>34</v>
      </c>
      <c r="P16" t="s">
        <v>123</v>
      </c>
      <c r="Q16" t="s">
        <v>124</v>
      </c>
      <c r="R16" t="s">
        <v>126</v>
      </c>
      <c r="S16" t="s">
        <v>125</v>
      </c>
    </row>
    <row r="17" spans="1:19" x14ac:dyDescent="0.25">
      <c r="A17" s="81" t="str">
        <f t="shared" si="0"/>
        <v>425</v>
      </c>
      <c r="B17" t="s">
        <v>223</v>
      </c>
      <c r="C17" t="s">
        <v>34</v>
      </c>
      <c r="D17" t="s">
        <v>224</v>
      </c>
      <c r="E17">
        <v>1</v>
      </c>
      <c r="F17" t="s">
        <v>72</v>
      </c>
      <c r="G17" s="81" t="str">
        <f t="shared" si="1"/>
        <v>A</v>
      </c>
      <c r="H17" s="81" t="s">
        <v>35</v>
      </c>
      <c r="I17" s="81" t="s">
        <v>35</v>
      </c>
      <c r="J17" s="91" t="str">
        <f t="shared" si="2"/>
        <v/>
      </c>
      <c r="O17" t="s">
        <v>2</v>
      </c>
      <c r="P17" s="99">
        <f>+S13/P9</f>
        <v>0.80952380952380953</v>
      </c>
      <c r="Q17" s="72">
        <f t="shared" ref="Q17:Q18" si="5">+S13/S9</f>
        <v>0.61818181818181817</v>
      </c>
      <c r="R17" s="72">
        <f t="shared" ref="R17:R18" si="6">+IF(ISERR(P13),0,P13)/IF(ISERR(P9),1,P9)</f>
        <v>0.5</v>
      </c>
      <c r="S17" s="72">
        <f t="shared" ref="S17:S18" si="7">+IF(ISERR(Q13),0,Q13)/IF(ISERR(Q9),1,Q9)</f>
        <v>1</v>
      </c>
    </row>
    <row r="18" spans="1:19" x14ac:dyDescent="0.25">
      <c r="A18" s="102" t="str">
        <f t="shared" si="0"/>
        <v>430</v>
      </c>
      <c r="B18" t="s">
        <v>225</v>
      </c>
      <c r="C18" t="s">
        <v>34</v>
      </c>
      <c r="D18" t="s">
        <v>226</v>
      </c>
      <c r="E18">
        <v>1</v>
      </c>
      <c r="F18" t="s">
        <v>72</v>
      </c>
      <c r="G18" s="102" t="str">
        <f t="shared" si="1"/>
        <v>A</v>
      </c>
      <c r="H18" s="81" t="s">
        <v>35</v>
      </c>
      <c r="I18" s="81" t="s">
        <v>35</v>
      </c>
      <c r="J18" s="103" t="str">
        <f t="shared" si="2"/>
        <v/>
      </c>
      <c r="L18" s="80" t="s">
        <v>121</v>
      </c>
      <c r="M18" t="s">
        <v>120</v>
      </c>
      <c r="O18" t="s">
        <v>3</v>
      </c>
      <c r="P18" s="72">
        <f>+S14/P10</f>
        <v>1.0731707317073171</v>
      </c>
      <c r="Q18" s="72">
        <f t="shared" si="5"/>
        <v>0.88</v>
      </c>
      <c r="R18" s="72">
        <f t="shared" si="6"/>
        <v>0.85365853658536583</v>
      </c>
      <c r="S18" s="72">
        <f t="shared" si="7"/>
        <v>1</v>
      </c>
    </row>
    <row r="19" spans="1:19" x14ac:dyDescent="0.25">
      <c r="A19" s="81" t="str">
        <f t="shared" si="0"/>
        <v>579</v>
      </c>
      <c r="B19" t="s">
        <v>79</v>
      </c>
      <c r="C19" t="s">
        <v>32</v>
      </c>
      <c r="D19" s="109" t="s">
        <v>80</v>
      </c>
      <c r="E19" s="109">
        <v>3</v>
      </c>
      <c r="F19" s="109" t="s">
        <v>81</v>
      </c>
      <c r="G19" s="81" t="str">
        <f t="shared" si="1"/>
        <v>U</v>
      </c>
      <c r="H19" s="81"/>
      <c r="I19" s="111" t="s">
        <v>234</v>
      </c>
      <c r="J19" s="91" t="str">
        <f t="shared" si="2"/>
        <v/>
      </c>
      <c r="L19" s="77" t="s">
        <v>35</v>
      </c>
      <c r="M19" s="76">
        <v>22</v>
      </c>
    </row>
    <row r="20" spans="1:19" x14ac:dyDescent="0.25">
      <c r="A20" s="81" t="str">
        <f t="shared" si="0"/>
        <v>638</v>
      </c>
      <c r="B20" t="s">
        <v>82</v>
      </c>
      <c r="C20" t="s">
        <v>34</v>
      </c>
      <c r="D20" s="108" t="s">
        <v>83</v>
      </c>
      <c r="E20" s="108">
        <v>3</v>
      </c>
      <c r="F20" s="108" t="s">
        <v>84</v>
      </c>
      <c r="G20" s="81" t="str">
        <f t="shared" si="1"/>
        <v>U</v>
      </c>
      <c r="H20" s="81"/>
      <c r="I20" s="81" t="s">
        <v>35</v>
      </c>
      <c r="J20" s="91" t="str">
        <f t="shared" si="2"/>
        <v/>
      </c>
      <c r="L20" s="79" t="s">
        <v>37</v>
      </c>
      <c r="M20" s="76">
        <v>13</v>
      </c>
      <c r="O20" t="s">
        <v>49</v>
      </c>
      <c r="P20" t="s">
        <v>126</v>
      </c>
      <c r="Q20" t="s">
        <v>125</v>
      </c>
      <c r="R20" s="92" t="s">
        <v>239</v>
      </c>
      <c r="S20" t="s">
        <v>129</v>
      </c>
    </row>
    <row r="21" spans="1:19" x14ac:dyDescent="0.25">
      <c r="A21" s="81" t="str">
        <f t="shared" si="0"/>
        <v>693</v>
      </c>
      <c r="B21" t="s">
        <v>85</v>
      </c>
      <c r="C21" t="s">
        <v>34</v>
      </c>
      <c r="D21" s="108" t="s">
        <v>86</v>
      </c>
      <c r="E21" s="108">
        <v>1</v>
      </c>
      <c r="F21" s="108" t="s">
        <v>84</v>
      </c>
      <c r="G21" s="81" t="str">
        <f t="shared" si="1"/>
        <v>U</v>
      </c>
      <c r="H21" s="104"/>
      <c r="I21" s="81" t="s">
        <v>35</v>
      </c>
      <c r="J21" s="91" t="str">
        <f t="shared" si="2"/>
        <v/>
      </c>
      <c r="L21" s="78" t="s">
        <v>34</v>
      </c>
      <c r="M21" s="76">
        <v>13</v>
      </c>
      <c r="O21" t="s">
        <v>2</v>
      </c>
      <c r="P21">
        <f>+GETPIVOTDATA("Story Points",$L$38,"Project","A","Added After",)</f>
        <v>26</v>
      </c>
      <c r="Q21">
        <f>+GETPIVOTDATA("Story Points",$L$38,"Project","A","Added After","Y")</f>
        <v>13</v>
      </c>
      <c r="R21">
        <f>+IF(ISERR(GETPIVOTDATA("Story Points2",$L$18,"Status","To Do","Project","A","Added After",)),0,GETPIVOTDATA("Story Points2",$L$18,"Status","To Do","Project","A","Added After",))+IF(ISERR(GETPIVOTDATA("Story Points2",$L$18,"Status","In Progress","Project","A","Added After",)),0,GETPIVOTDATA("Story Points2",$L$18,"Status","In Progress","Project","A","Added After",))</f>
        <v>21</v>
      </c>
      <c r="S21">
        <f>+IF(ISERR(Q21),0,Q21)+IF(ISERR(P21),0,P21)</f>
        <v>39</v>
      </c>
    </row>
    <row r="22" spans="1:19" x14ac:dyDescent="0.25">
      <c r="A22" s="81" t="str">
        <f t="shared" si="0"/>
        <v>725</v>
      </c>
      <c r="B22" t="s">
        <v>87</v>
      </c>
      <c r="C22" t="s">
        <v>34</v>
      </c>
      <c r="D22" t="s">
        <v>88</v>
      </c>
      <c r="E22">
        <v>3</v>
      </c>
      <c r="F22" t="s">
        <v>89</v>
      </c>
      <c r="G22" s="81" t="str">
        <f t="shared" si="1"/>
        <v>U</v>
      </c>
      <c r="H22" s="81"/>
      <c r="I22" s="81" t="s">
        <v>35</v>
      </c>
      <c r="J22" s="91" t="str">
        <f t="shared" si="2"/>
        <v/>
      </c>
      <c r="L22" s="79" t="s">
        <v>36</v>
      </c>
      <c r="M22" s="76">
        <v>9</v>
      </c>
      <c r="O22" t="s">
        <v>3</v>
      </c>
      <c r="P22">
        <f>+GETPIVOTDATA("Story Points",$L$38,"Project","U","Added After",)</f>
        <v>35</v>
      </c>
      <c r="Q22">
        <f>+GETPIVOTDATA("Story Points",$L$38,"Project","U","Added After","Y")</f>
        <v>9</v>
      </c>
      <c r="R22">
        <f>+IF(ISERR(GETPIVOTDATA("Story Points2",$L$18,"Status","To Do","Project","U","Added After",)),0,GETPIVOTDATA("Story Points2",$L$18,"Status","To Do","Project","U","Added After",))+IF(ISERR(GETPIVOTDATA("Story Points2",$L$18,"Status","In Progress","Project","U","Added After",)),0,GETPIVOTDATA("Story Points2",$L$18,"Status","In Progress","Project","U","Added After",))</f>
        <v>6</v>
      </c>
      <c r="S22">
        <f>+IF(ISERR(Q22),0,Q22)+IF(ISERR(P22),0,P22)</f>
        <v>44</v>
      </c>
    </row>
    <row r="23" spans="1:19" x14ac:dyDescent="0.25">
      <c r="A23" s="81" t="str">
        <f t="shared" si="0"/>
        <v>727</v>
      </c>
      <c r="B23" t="s">
        <v>90</v>
      </c>
      <c r="C23" t="s">
        <v>34</v>
      </c>
      <c r="D23" s="108" t="s">
        <v>91</v>
      </c>
      <c r="E23" s="108">
        <v>3</v>
      </c>
      <c r="F23" s="108" t="s">
        <v>92</v>
      </c>
      <c r="G23" s="81" t="str">
        <f t="shared" si="1"/>
        <v>U</v>
      </c>
      <c r="H23" s="81"/>
      <c r="I23" s="81" t="s">
        <v>35</v>
      </c>
      <c r="J23" s="91" t="str">
        <f t="shared" si="2"/>
        <v/>
      </c>
      <c r="L23" s="78" t="s">
        <v>34</v>
      </c>
      <c r="M23" s="76">
        <v>9</v>
      </c>
    </row>
    <row r="24" spans="1:19" x14ac:dyDescent="0.25">
      <c r="A24" s="81" t="str">
        <f t="shared" si="0"/>
        <v>728</v>
      </c>
      <c r="B24" t="s">
        <v>93</v>
      </c>
      <c r="C24" t="s">
        <v>34</v>
      </c>
      <c r="D24" s="108" t="s">
        <v>94</v>
      </c>
      <c r="E24" s="108">
        <v>3</v>
      </c>
      <c r="F24" s="108" t="s">
        <v>92</v>
      </c>
      <c r="G24" s="81" t="str">
        <f t="shared" si="1"/>
        <v>U</v>
      </c>
      <c r="H24" s="81"/>
      <c r="I24" s="81" t="s">
        <v>35</v>
      </c>
      <c r="J24" s="91" t="str">
        <f t="shared" si="2"/>
        <v/>
      </c>
      <c r="L24" s="77" t="s">
        <v>122</v>
      </c>
      <c r="M24" s="76">
        <v>83</v>
      </c>
      <c r="O24" t="s">
        <v>49</v>
      </c>
      <c r="P24" t="s">
        <v>123</v>
      </c>
      <c r="Q24" t="s">
        <v>124</v>
      </c>
      <c r="R24" t="s">
        <v>126</v>
      </c>
      <c r="S24" t="s">
        <v>130</v>
      </c>
    </row>
    <row r="25" spans="1:19" x14ac:dyDescent="0.25">
      <c r="A25" s="81" t="str">
        <f t="shared" si="0"/>
        <v>729</v>
      </c>
      <c r="B25" t="s">
        <v>95</v>
      </c>
      <c r="C25" t="s">
        <v>34</v>
      </c>
      <c r="D25" s="108" t="s">
        <v>96</v>
      </c>
      <c r="E25" s="108">
        <v>2</v>
      </c>
      <c r="F25" s="108" t="s">
        <v>92</v>
      </c>
      <c r="G25" s="81" t="str">
        <f t="shared" si="1"/>
        <v>U</v>
      </c>
      <c r="H25" s="81"/>
      <c r="I25" s="81" t="s">
        <v>35</v>
      </c>
      <c r="J25" s="91" t="str">
        <f t="shared" si="2"/>
        <v/>
      </c>
      <c r="L25" s="79" t="s">
        <v>37</v>
      </c>
      <c r="M25" s="76">
        <v>42</v>
      </c>
      <c r="O25" t="s">
        <v>2</v>
      </c>
      <c r="P25" s="72">
        <f t="shared" ref="P25:P26" si="8">IF(ISERR(S21),0,S21)/IF(ISERR(P9), 1,P9)</f>
        <v>0.9285714285714286</v>
      </c>
      <c r="Q25" s="72">
        <f t="shared" ref="Q25:Q26" si="9">IF(ISERR(S21),0,S21)/IF(ISERR(S9),1,S9)</f>
        <v>0.70909090909090911</v>
      </c>
      <c r="R25" s="72">
        <f t="shared" ref="R25:R26" si="10">+IF(ISERR(P21),0,P21)/IF(ISERR(P9),1,P9)</f>
        <v>0.61904761904761907</v>
      </c>
      <c r="S25" s="72">
        <f t="shared" ref="S25:S26" si="11">+IF(ISERR(Q21),0,Q21)/IF(ISERR(Q9),1,Q9)</f>
        <v>1</v>
      </c>
    </row>
    <row r="26" spans="1:19" x14ac:dyDescent="0.25">
      <c r="A26" s="81" t="str">
        <f t="shared" si="0"/>
        <v>730</v>
      </c>
      <c r="B26" t="s">
        <v>97</v>
      </c>
      <c r="C26" t="s">
        <v>32</v>
      </c>
      <c r="D26" s="109" t="s">
        <v>98</v>
      </c>
      <c r="E26" s="109">
        <v>3</v>
      </c>
      <c r="F26" s="109" t="s">
        <v>92</v>
      </c>
      <c r="G26" s="81" t="str">
        <f t="shared" si="1"/>
        <v>U</v>
      </c>
      <c r="H26" s="81"/>
      <c r="I26" s="111" t="s">
        <v>234</v>
      </c>
      <c r="J26" s="91" t="str">
        <f t="shared" si="2"/>
        <v/>
      </c>
      <c r="L26" s="78" t="s">
        <v>34</v>
      </c>
      <c r="M26" s="76">
        <v>21</v>
      </c>
      <c r="O26" t="s">
        <v>3</v>
      </c>
      <c r="P26" s="72">
        <f t="shared" si="8"/>
        <v>1.0731707317073171</v>
      </c>
      <c r="Q26" s="72">
        <f t="shared" si="9"/>
        <v>0.88</v>
      </c>
      <c r="R26" s="72">
        <f t="shared" si="10"/>
        <v>0.85365853658536583</v>
      </c>
      <c r="S26" s="72">
        <f t="shared" si="11"/>
        <v>1</v>
      </c>
    </row>
    <row r="27" spans="1:19" x14ac:dyDescent="0.25">
      <c r="A27" s="81" t="str">
        <f t="shared" si="0"/>
        <v>732</v>
      </c>
      <c r="B27" t="s">
        <v>99</v>
      </c>
      <c r="C27" t="s">
        <v>34</v>
      </c>
      <c r="D27" s="110" t="s">
        <v>100</v>
      </c>
      <c r="E27" s="110">
        <v>3</v>
      </c>
      <c r="F27" s="110" t="s">
        <v>101</v>
      </c>
      <c r="G27" s="81" t="str">
        <f t="shared" si="1"/>
        <v>U</v>
      </c>
      <c r="H27" s="81"/>
      <c r="I27" s="81" t="s">
        <v>35</v>
      </c>
      <c r="J27" s="91" t="str">
        <f t="shared" si="2"/>
        <v/>
      </c>
      <c r="L27" s="78" t="s">
        <v>33</v>
      </c>
      <c r="M27" s="76">
        <v>21</v>
      </c>
    </row>
    <row r="28" spans="1:19" x14ac:dyDescent="0.25">
      <c r="A28" s="81" t="str">
        <f t="shared" si="0"/>
        <v>733</v>
      </c>
      <c r="B28" t="s">
        <v>102</v>
      </c>
      <c r="C28" t="s">
        <v>34</v>
      </c>
      <c r="D28" t="s">
        <v>103</v>
      </c>
      <c r="E28">
        <v>5</v>
      </c>
      <c r="F28" t="s">
        <v>101</v>
      </c>
      <c r="G28" s="81" t="str">
        <f t="shared" si="1"/>
        <v>U</v>
      </c>
      <c r="H28" s="81"/>
      <c r="I28" s="81" t="s">
        <v>35</v>
      </c>
      <c r="J28" s="91" t="str">
        <f t="shared" si="2"/>
        <v/>
      </c>
      <c r="L28" s="79" t="s">
        <v>36</v>
      </c>
      <c r="M28" s="76">
        <v>41</v>
      </c>
    </row>
    <row r="29" spans="1:19" x14ac:dyDescent="0.25">
      <c r="A29" s="81" t="str">
        <f t="shared" si="0"/>
        <v>734</v>
      </c>
      <c r="B29" t="s">
        <v>104</v>
      </c>
      <c r="C29" t="s">
        <v>34</v>
      </c>
      <c r="D29" s="110" t="s">
        <v>105</v>
      </c>
      <c r="E29" s="110">
        <v>3</v>
      </c>
      <c r="F29" s="110" t="s">
        <v>101</v>
      </c>
      <c r="G29" s="81" t="str">
        <f t="shared" si="1"/>
        <v>U</v>
      </c>
      <c r="H29" s="81"/>
      <c r="I29" s="81" t="s">
        <v>35</v>
      </c>
      <c r="J29" s="91" t="str">
        <f t="shared" si="2"/>
        <v/>
      </c>
      <c r="L29" s="78" t="s">
        <v>34</v>
      </c>
      <c r="M29" s="76">
        <v>35</v>
      </c>
    </row>
    <row r="30" spans="1:19" x14ac:dyDescent="0.25">
      <c r="A30" s="81" t="str">
        <f t="shared" si="0"/>
        <v>735</v>
      </c>
      <c r="B30" t="s">
        <v>106</v>
      </c>
      <c r="C30" t="s">
        <v>34</v>
      </c>
      <c r="D30" t="s">
        <v>107</v>
      </c>
      <c r="E30">
        <v>1</v>
      </c>
      <c r="F30" t="s">
        <v>235</v>
      </c>
      <c r="G30" s="81" t="str">
        <f t="shared" si="1"/>
        <v>U</v>
      </c>
      <c r="H30" s="81"/>
      <c r="I30" s="81" t="s">
        <v>35</v>
      </c>
      <c r="J30" s="91" t="str">
        <f t="shared" si="2"/>
        <v/>
      </c>
      <c r="L30" s="78" t="s">
        <v>32</v>
      </c>
      <c r="M30" s="76">
        <v>6</v>
      </c>
    </row>
    <row r="31" spans="1:19" x14ac:dyDescent="0.25">
      <c r="A31" s="81" t="str">
        <f t="shared" si="0"/>
        <v>736</v>
      </c>
      <c r="B31" t="s">
        <v>109</v>
      </c>
      <c r="C31" t="s">
        <v>34</v>
      </c>
      <c r="D31" t="s">
        <v>110</v>
      </c>
      <c r="E31">
        <v>5</v>
      </c>
      <c r="F31" t="s">
        <v>101</v>
      </c>
      <c r="G31" s="81" t="str">
        <f t="shared" si="1"/>
        <v>U</v>
      </c>
      <c r="H31" s="81"/>
      <c r="I31" s="81" t="s">
        <v>35</v>
      </c>
      <c r="J31" s="91" t="str">
        <f t="shared" si="2"/>
        <v/>
      </c>
      <c r="L31" s="77" t="s">
        <v>31</v>
      </c>
      <c r="M31" s="76">
        <v>105</v>
      </c>
    </row>
    <row r="32" spans="1:19" x14ac:dyDescent="0.25">
      <c r="A32" s="81" t="str">
        <f t="shared" si="0"/>
        <v>739</v>
      </c>
      <c r="B32" t="s">
        <v>111</v>
      </c>
      <c r="C32" t="s">
        <v>34</v>
      </c>
      <c r="D32" t="s">
        <v>78</v>
      </c>
      <c r="E32">
        <v>3</v>
      </c>
      <c r="G32" s="81" t="str">
        <f t="shared" si="1"/>
        <v>U</v>
      </c>
      <c r="H32" s="81"/>
      <c r="I32" s="81" t="s">
        <v>35</v>
      </c>
      <c r="J32" s="91" t="str">
        <f t="shared" si="2"/>
        <v/>
      </c>
    </row>
    <row r="33" spans="1:13" x14ac:dyDescent="0.25">
      <c r="A33" s="102" t="str">
        <f t="shared" si="0"/>
        <v>747</v>
      </c>
      <c r="B33" t="s">
        <v>227</v>
      </c>
      <c r="C33" t="s">
        <v>34</v>
      </c>
      <c r="D33" t="s">
        <v>228</v>
      </c>
      <c r="E33">
        <v>3</v>
      </c>
      <c r="F33" t="s">
        <v>89</v>
      </c>
      <c r="G33" s="102" t="str">
        <f t="shared" si="1"/>
        <v>U</v>
      </c>
      <c r="H33" s="81" t="s">
        <v>35</v>
      </c>
      <c r="I33" s="81" t="s">
        <v>35</v>
      </c>
      <c r="J33" s="103" t="str">
        <f t="shared" si="2"/>
        <v/>
      </c>
    </row>
    <row r="34" spans="1:13" x14ac:dyDescent="0.25">
      <c r="A34" s="102" t="str">
        <f t="shared" si="0"/>
        <v>748</v>
      </c>
      <c r="B34" t="s">
        <v>229</v>
      </c>
      <c r="C34" t="s">
        <v>34</v>
      </c>
      <c r="D34" t="s">
        <v>230</v>
      </c>
      <c r="E34">
        <v>3</v>
      </c>
      <c r="F34" t="s">
        <v>89</v>
      </c>
      <c r="G34" s="102" t="str">
        <f t="shared" si="1"/>
        <v>U</v>
      </c>
      <c r="H34" s="81" t="s">
        <v>35</v>
      </c>
      <c r="I34" s="81" t="s">
        <v>35</v>
      </c>
      <c r="J34" s="103" t="str">
        <f t="shared" si="2"/>
        <v/>
      </c>
    </row>
    <row r="35" spans="1:13" x14ac:dyDescent="0.25">
      <c r="A35" s="102" t="str">
        <f>MID(B35,8,3)</f>
        <v>770</v>
      </c>
      <c r="B35" t="s">
        <v>240</v>
      </c>
      <c r="C35" t="s">
        <v>34</v>
      </c>
      <c r="D35" t="s">
        <v>241</v>
      </c>
      <c r="E35">
        <v>3</v>
      </c>
      <c r="F35" t="s">
        <v>158</v>
      </c>
      <c r="G35" s="102" t="str">
        <f>MID(B35,4,1)</f>
        <v>U</v>
      </c>
      <c r="H35" s="81" t="s">
        <v>35</v>
      </c>
      <c r="I35" s="81" t="s">
        <v>35</v>
      </c>
      <c r="J35" s="103" t="str">
        <f>IF(C35="Done", IF(I35&lt;&gt;"Y", "ERR",""),"")</f>
        <v/>
      </c>
    </row>
    <row r="36" spans="1:13" x14ac:dyDescent="0.25">
      <c r="L36" s="80" t="s">
        <v>144</v>
      </c>
      <c r="M36" t="s">
        <v>35</v>
      </c>
    </row>
    <row r="38" spans="1:13" x14ac:dyDescent="0.25">
      <c r="L38" s="80" t="s">
        <v>39</v>
      </c>
      <c r="M38" t="s">
        <v>50</v>
      </c>
    </row>
    <row r="39" spans="1:13" x14ac:dyDescent="0.25">
      <c r="L39" s="77" t="s">
        <v>37</v>
      </c>
      <c r="M39" s="76"/>
    </row>
    <row r="40" spans="1:13" x14ac:dyDescent="0.25">
      <c r="L40" s="79" t="s">
        <v>35</v>
      </c>
      <c r="M40" s="76">
        <v>13</v>
      </c>
    </row>
    <row r="41" spans="1:13" x14ac:dyDescent="0.25">
      <c r="L41" s="79" t="s">
        <v>122</v>
      </c>
      <c r="M41" s="76">
        <v>26</v>
      </c>
    </row>
    <row r="42" spans="1:13" x14ac:dyDescent="0.25">
      <c r="L42" s="77" t="s">
        <v>131</v>
      </c>
      <c r="M42" s="76">
        <v>39</v>
      </c>
    </row>
    <row r="43" spans="1:13" x14ac:dyDescent="0.25">
      <c r="L43" s="77" t="s">
        <v>36</v>
      </c>
      <c r="M43" s="76"/>
    </row>
    <row r="44" spans="1:13" x14ac:dyDescent="0.25">
      <c r="L44" s="79" t="s">
        <v>35</v>
      </c>
      <c r="M44" s="76">
        <v>9</v>
      </c>
    </row>
    <row r="45" spans="1:13" x14ac:dyDescent="0.25">
      <c r="L45" s="79" t="s">
        <v>122</v>
      </c>
      <c r="M45" s="76">
        <v>35</v>
      </c>
    </row>
    <row r="46" spans="1:13" x14ac:dyDescent="0.25">
      <c r="L46" s="77" t="s">
        <v>132</v>
      </c>
      <c r="M46" s="76">
        <v>44</v>
      </c>
    </row>
    <row r="47" spans="1:13" x14ac:dyDescent="0.25">
      <c r="L47" s="77" t="s">
        <v>31</v>
      </c>
      <c r="M47" s="76">
        <v>83</v>
      </c>
    </row>
    <row r="54" spans="12:13" x14ac:dyDescent="0.25">
      <c r="L54" s="79"/>
      <c r="M54" s="76"/>
    </row>
    <row r="55" spans="12:13" x14ac:dyDescent="0.25">
      <c r="L55" s="77"/>
      <c r="M55" s="76"/>
    </row>
    <row r="56" spans="12:13" x14ac:dyDescent="0.25">
      <c r="L56" s="77"/>
      <c r="M56" s="76"/>
    </row>
  </sheetData>
  <conditionalFormatting sqref="I2:I35">
    <cfRule type="expression" dxfId="66" priority="3">
      <formula>$C2="Done"</formula>
    </cfRule>
  </conditionalFormatting>
  <conditionalFormatting sqref="C2:C35">
    <cfRule type="expression" dxfId="65" priority="1">
      <formula>C2="Done"</formula>
    </cfRule>
  </conditionalFormatting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7" name="Button 3">
              <controlPr defaultSize="0" print="0" autoFill="0" autoPict="0" macro="[0]!ResetSprintData">
                <anchor moveWithCells="1" sizeWithCells="1">
                  <from>
                    <xdr:col>19</xdr:col>
                    <xdr:colOff>952500</xdr:colOff>
                    <xdr:row>7</xdr:row>
                    <xdr:rowOff>9525</xdr:rowOff>
                  </from>
                  <to>
                    <xdr:col>24</xdr:col>
                    <xdr:colOff>0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7">
    <tablePart r:id="rId8"/>
    <tablePart r:id="rId9"/>
    <tablePart r:id="rId10"/>
    <tablePart r:id="rId11"/>
    <tablePart r:id="rId12"/>
    <tablePart r:id="rId13"/>
    <tablePart r:id="rId1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W60"/>
  <sheetViews>
    <sheetView workbookViewId="0">
      <selection activeCell="T11" sqref="T11"/>
    </sheetView>
  </sheetViews>
  <sheetFormatPr defaultRowHeight="15" x14ac:dyDescent="0.25"/>
  <cols>
    <col min="1" max="1" width="12.28515625" customWidth="1"/>
    <col min="2" max="2" width="11" customWidth="1"/>
    <col min="3" max="3" width="10.7109375" customWidth="1"/>
    <col min="4" max="4" width="8.85546875" customWidth="1"/>
    <col min="5" max="5" width="12.28515625" customWidth="1"/>
    <col min="6" max="6" width="14.42578125" customWidth="1"/>
    <col min="7" max="7" width="11.5703125" customWidth="1"/>
    <col min="8" max="8" width="4.5703125" customWidth="1"/>
    <col min="9" max="9" width="12" customWidth="1"/>
    <col min="10" max="10" width="10.85546875" hidden="1" customWidth="1"/>
    <col min="11" max="11" width="13.140625" hidden="1" customWidth="1"/>
    <col min="12" max="12" width="18.42578125" hidden="1" customWidth="1"/>
    <col min="13" max="13" width="4.28515625" customWidth="1"/>
    <col min="14" max="14" width="16.5703125" customWidth="1"/>
    <col min="15" max="15" width="22.7109375" customWidth="1"/>
    <col min="16" max="16" width="19" customWidth="1"/>
    <col min="17" max="17" width="16.28515625" customWidth="1"/>
    <col min="18" max="18" width="16.5703125" customWidth="1"/>
    <col min="19" max="19" width="16.140625" customWidth="1"/>
    <col min="20" max="20" width="13.140625" customWidth="1"/>
    <col min="21" max="21" width="4.140625" customWidth="1"/>
    <col min="22" max="23" width="15.42578125" customWidth="1"/>
  </cols>
  <sheetData>
    <row r="1" spans="1:23" ht="30" x14ac:dyDescent="0.25">
      <c r="A1" t="s">
        <v>48</v>
      </c>
      <c r="B1" t="s">
        <v>47</v>
      </c>
      <c r="C1" t="s">
        <v>46</v>
      </c>
      <c r="D1" t="s">
        <v>38</v>
      </c>
      <c r="E1" t="s">
        <v>45</v>
      </c>
      <c r="F1" t="s">
        <v>44</v>
      </c>
      <c r="G1" t="s">
        <v>43</v>
      </c>
      <c r="H1" t="s">
        <v>144</v>
      </c>
      <c r="I1" t="s">
        <v>40</v>
      </c>
      <c r="N1" t="s">
        <v>133</v>
      </c>
      <c r="O1" t="s">
        <v>134</v>
      </c>
      <c r="P1" t="s">
        <v>41</v>
      </c>
      <c r="Q1" t="s">
        <v>135</v>
      </c>
      <c r="R1" t="s">
        <v>136</v>
      </c>
      <c r="S1" s="98" t="s">
        <v>143</v>
      </c>
      <c r="T1" s="98" t="s">
        <v>141</v>
      </c>
      <c r="U1" s="92" t="s">
        <v>40</v>
      </c>
      <c r="V1" s="98" t="s">
        <v>142</v>
      </c>
      <c r="W1" s="98" t="s">
        <v>145</v>
      </c>
    </row>
    <row r="2" spans="1:23" x14ac:dyDescent="0.25">
      <c r="A2" t="s">
        <v>215</v>
      </c>
      <c r="B2" t="s">
        <v>34</v>
      </c>
      <c r="C2" t="s">
        <v>216</v>
      </c>
      <c r="D2">
        <v>5</v>
      </c>
      <c r="E2" t="s">
        <v>217</v>
      </c>
      <c r="F2" s="102" t="str">
        <f t="shared" ref="F2:F34" si="0">MID(A2,4,1)</f>
        <v>A</v>
      </c>
      <c r="G2" s="81"/>
      <c r="H2" s="81" t="s">
        <v>35</v>
      </c>
      <c r="I2" s="103" t="str">
        <f t="shared" ref="I2:I34" si="1">IF(B2="Done", IF(H2&lt;&gt;"Y", "ERR",""),"")</f>
        <v/>
      </c>
      <c r="N2" t="s">
        <v>2</v>
      </c>
      <c r="O2">
        <f>+O13-Table917[[#This Row],[Blocked]]</f>
        <v>55</v>
      </c>
      <c r="P2">
        <f>IF(ISERR(P13),0,P13)</f>
        <v>1</v>
      </c>
      <c r="Q2">
        <f>IF(ISERR(Q13),0,Q13)</f>
        <v>0</v>
      </c>
      <c r="R2">
        <f>+IF(ISERR(R17),0,R17)</f>
        <v>48</v>
      </c>
      <c r="S2" s="100">
        <f>Table917[[#This Row],[Completed]]/Table917[[#This Row],[Committed]]</f>
        <v>0.87272727272727268</v>
      </c>
      <c r="T2" s="95">
        <f>Table917[[#This Row],[Completed]]/(Table917[[#This Row],[Added]]+Table917[[#This Row],[Committed]])</f>
        <v>0.8571428571428571</v>
      </c>
      <c r="V2" s="96" t="str">
        <f>IF(ISERR(O17),0,O17) &amp; "  (" &amp;TEXT(IF(ISERR(O17),0,O17)/Table917[[#This Row],[Committed]],"#%") &amp; ")"</f>
        <v>47  (85%)</v>
      </c>
      <c r="W2" s="97" t="str">
        <f>+IF(ISERR(P17),0,P17) &amp; " (" &amp; TEXT(R21, "#%") &amp; ")"</f>
        <v>1 (100%)</v>
      </c>
    </row>
    <row r="3" spans="1:23" x14ac:dyDescent="0.25">
      <c r="A3" t="s">
        <v>213</v>
      </c>
      <c r="B3" t="s">
        <v>34</v>
      </c>
      <c r="C3" t="s">
        <v>214</v>
      </c>
      <c r="D3">
        <v>5</v>
      </c>
      <c r="E3" t="s">
        <v>152</v>
      </c>
      <c r="F3" s="102" t="str">
        <f t="shared" si="0"/>
        <v>A</v>
      </c>
      <c r="G3" s="81"/>
      <c r="H3" s="81" t="s">
        <v>35</v>
      </c>
      <c r="I3" s="103" t="str">
        <f t="shared" si="1"/>
        <v/>
      </c>
      <c r="N3" t="s">
        <v>137</v>
      </c>
      <c r="O3">
        <f>+O14-Table917[[#This Row],[Blocked]]</f>
        <v>60</v>
      </c>
      <c r="P3">
        <f>IF(ISERR(P14),0,P14)</f>
        <v>15</v>
      </c>
      <c r="Q3">
        <f>IF(ISERR(Q14),0,Q14)</f>
        <v>0</v>
      </c>
      <c r="R3">
        <f>+IF(ISERR(R18),0,R18)</f>
        <v>72</v>
      </c>
      <c r="S3" s="95">
        <f>Table917[[#This Row],[Completed]]/Table917[[#This Row],[Committed]]</f>
        <v>1.2</v>
      </c>
      <c r="T3" s="95">
        <f>Table917[[#This Row],[Completed]]/(Table917[[#This Row],[Added]]+Table917[[#This Row],[Committed]])</f>
        <v>0.96</v>
      </c>
      <c r="V3" s="96" t="str">
        <f>IF(ISERR(O18),0,O18) &amp; "  (" &amp;TEXT(IF(ISERR(O18),0,O18)/Table917[[#This Row],[Committed]],"#%") &amp; ")"</f>
        <v>57  (95%)</v>
      </c>
      <c r="W3" s="97" t="str">
        <f>+IF(ISERR(P18),0,P18) &amp; " (" &amp; TEXT(R22, "#%") &amp; ")"</f>
        <v>15 (100%)</v>
      </c>
    </row>
    <row r="4" spans="1:23" x14ac:dyDescent="0.25">
      <c r="A4" t="s">
        <v>211</v>
      </c>
      <c r="B4" t="s">
        <v>34</v>
      </c>
      <c r="C4" t="s">
        <v>212</v>
      </c>
      <c r="D4">
        <v>3</v>
      </c>
      <c r="E4" t="s">
        <v>210</v>
      </c>
      <c r="F4" s="81" t="str">
        <f t="shared" si="0"/>
        <v>A</v>
      </c>
      <c r="G4" s="81"/>
      <c r="H4" s="81" t="s">
        <v>35</v>
      </c>
      <c r="I4" s="91" t="str">
        <f t="shared" si="1"/>
        <v/>
      </c>
      <c r="Q4" t="s">
        <v>140</v>
      </c>
    </row>
    <row r="5" spans="1:23" x14ac:dyDescent="0.25">
      <c r="A5" t="s">
        <v>208</v>
      </c>
      <c r="B5" t="s">
        <v>34</v>
      </c>
      <c r="C5" t="s">
        <v>209</v>
      </c>
      <c r="D5">
        <v>5</v>
      </c>
      <c r="E5" t="s">
        <v>210</v>
      </c>
      <c r="F5" s="81" t="str">
        <f t="shared" si="0"/>
        <v>A</v>
      </c>
      <c r="G5" s="81"/>
      <c r="H5" s="81" t="s">
        <v>35</v>
      </c>
      <c r="I5" s="91" t="str">
        <f t="shared" si="1"/>
        <v/>
      </c>
    </row>
    <row r="6" spans="1:23" x14ac:dyDescent="0.25">
      <c r="A6" t="s">
        <v>206</v>
      </c>
      <c r="B6" t="s">
        <v>34</v>
      </c>
      <c r="C6" t="s">
        <v>207</v>
      </c>
      <c r="D6">
        <v>5</v>
      </c>
      <c r="E6" t="s">
        <v>203</v>
      </c>
      <c r="F6" s="81" t="str">
        <f t="shared" si="0"/>
        <v>A</v>
      </c>
      <c r="G6" s="81"/>
      <c r="H6" s="81" t="s">
        <v>35</v>
      </c>
      <c r="I6" s="91" t="str">
        <f t="shared" si="1"/>
        <v/>
      </c>
    </row>
    <row r="7" spans="1:23" x14ac:dyDescent="0.25">
      <c r="A7" t="s">
        <v>204</v>
      </c>
      <c r="B7" t="s">
        <v>34</v>
      </c>
      <c r="C7" t="s">
        <v>205</v>
      </c>
      <c r="D7">
        <v>5</v>
      </c>
      <c r="E7" t="s">
        <v>203</v>
      </c>
      <c r="F7" s="81" t="str">
        <f t="shared" si="0"/>
        <v>A</v>
      </c>
      <c r="G7" s="81"/>
      <c r="H7" s="81" t="s">
        <v>35</v>
      </c>
      <c r="I7" s="91" t="str">
        <f t="shared" si="1"/>
        <v/>
      </c>
    </row>
    <row r="8" spans="1:23" x14ac:dyDescent="0.25">
      <c r="A8" t="s">
        <v>201</v>
      </c>
      <c r="B8" t="s">
        <v>34</v>
      </c>
      <c r="C8" t="s">
        <v>202</v>
      </c>
      <c r="D8">
        <v>5</v>
      </c>
      <c r="E8" t="s">
        <v>203</v>
      </c>
      <c r="F8" s="81" t="str">
        <f t="shared" si="0"/>
        <v>A</v>
      </c>
      <c r="G8" s="81"/>
      <c r="H8" s="81" t="s">
        <v>35</v>
      </c>
      <c r="I8" s="91" t="str">
        <f t="shared" si="1"/>
        <v/>
      </c>
    </row>
    <row r="9" spans="1:23" x14ac:dyDescent="0.25">
      <c r="A9" t="s">
        <v>199</v>
      </c>
      <c r="B9" t="s">
        <v>34</v>
      </c>
      <c r="C9" t="s">
        <v>200</v>
      </c>
      <c r="D9">
        <v>1</v>
      </c>
      <c r="E9" t="s">
        <v>196</v>
      </c>
      <c r="F9" s="81" t="str">
        <f t="shared" si="0"/>
        <v>A</v>
      </c>
      <c r="G9" s="81"/>
      <c r="H9" s="81" t="s">
        <v>35</v>
      </c>
      <c r="I9" s="91" t="str">
        <f t="shared" si="1"/>
        <v/>
      </c>
    </row>
    <row r="10" spans="1:23" x14ac:dyDescent="0.25">
      <c r="A10" t="s">
        <v>197</v>
      </c>
      <c r="B10" t="s">
        <v>34</v>
      </c>
      <c r="C10" t="s">
        <v>198</v>
      </c>
      <c r="D10">
        <v>5</v>
      </c>
      <c r="E10" t="s">
        <v>196</v>
      </c>
      <c r="F10" s="81" t="str">
        <f t="shared" si="0"/>
        <v>A</v>
      </c>
      <c r="G10" s="81"/>
      <c r="H10" s="81" t="s">
        <v>35</v>
      </c>
      <c r="I10" s="91" t="str">
        <f t="shared" si="1"/>
        <v/>
      </c>
    </row>
    <row r="11" spans="1:23" x14ac:dyDescent="0.25">
      <c r="A11" t="s">
        <v>194</v>
      </c>
      <c r="B11" t="s">
        <v>34</v>
      </c>
      <c r="C11" t="s">
        <v>195</v>
      </c>
      <c r="D11">
        <v>3</v>
      </c>
      <c r="E11" t="s">
        <v>196</v>
      </c>
      <c r="F11" s="81" t="str">
        <f t="shared" si="0"/>
        <v>A</v>
      </c>
      <c r="G11" s="81"/>
      <c r="H11" s="81" t="s">
        <v>35</v>
      </c>
      <c r="I11" s="91" t="str">
        <f t="shared" si="1"/>
        <v/>
      </c>
      <c r="K11" s="80" t="s">
        <v>119</v>
      </c>
      <c r="L11" t="s">
        <v>120</v>
      </c>
      <c r="N11" t="s">
        <v>139</v>
      </c>
      <c r="R11" t="s">
        <v>138</v>
      </c>
    </row>
    <row r="12" spans="1:23" x14ac:dyDescent="0.25">
      <c r="A12" t="s">
        <v>192</v>
      </c>
      <c r="B12" t="s">
        <v>34</v>
      </c>
      <c r="C12" t="s">
        <v>193</v>
      </c>
      <c r="D12">
        <v>1</v>
      </c>
      <c r="E12" t="s">
        <v>152</v>
      </c>
      <c r="F12" s="81" t="str">
        <f t="shared" si="0"/>
        <v>A</v>
      </c>
      <c r="G12" s="81" t="s">
        <v>35</v>
      </c>
      <c r="H12" s="81" t="s">
        <v>35</v>
      </c>
      <c r="I12" s="91" t="str">
        <f t="shared" si="1"/>
        <v/>
      </c>
      <c r="K12" s="77" t="s">
        <v>37</v>
      </c>
      <c r="L12" s="76">
        <v>56</v>
      </c>
      <c r="N12" t="s">
        <v>133</v>
      </c>
      <c r="O12" t="s">
        <v>42</v>
      </c>
      <c r="P12" t="s">
        <v>41</v>
      </c>
      <c r="Q12" s="94" t="s">
        <v>135</v>
      </c>
      <c r="R12" t="s">
        <v>128</v>
      </c>
    </row>
    <row r="13" spans="1:23" x14ac:dyDescent="0.25">
      <c r="A13" t="s">
        <v>218</v>
      </c>
      <c r="B13" t="s">
        <v>34</v>
      </c>
      <c r="C13" t="s">
        <v>219</v>
      </c>
      <c r="D13">
        <v>5</v>
      </c>
      <c r="E13" t="s">
        <v>217</v>
      </c>
      <c r="F13" s="102" t="str">
        <f t="shared" si="0"/>
        <v>A</v>
      </c>
      <c r="G13" s="81"/>
      <c r="H13" s="81" t="s">
        <v>35</v>
      </c>
      <c r="I13" s="103" t="str">
        <f t="shared" si="1"/>
        <v/>
      </c>
      <c r="K13" s="79" t="s">
        <v>34</v>
      </c>
      <c r="L13" s="76">
        <v>48</v>
      </c>
      <c r="N13" t="s">
        <v>2</v>
      </c>
      <c r="O13">
        <f>+GETPIVOTDATA("Story Points2",$K$22,"Project","A","Added After",)</f>
        <v>55</v>
      </c>
      <c r="P13">
        <f>+GETPIVOTDATA("Story Points2",$K$22,"Project","A","Added After","Y")</f>
        <v>1</v>
      </c>
      <c r="Q13" s="93" t="e">
        <f>GETPIVOTDATA("Story Points2",$K$11,"Status","Blocked","Project","A")</f>
        <v>#REF!</v>
      </c>
      <c r="R13">
        <f t="shared" ref="R13:R14" si="2">+IF(ISERR(P13),0,P13)+IF(ISERR(O13),0,O13)</f>
        <v>56</v>
      </c>
    </row>
    <row r="14" spans="1:23" x14ac:dyDescent="0.25">
      <c r="A14" t="s">
        <v>56</v>
      </c>
      <c r="B14" t="s">
        <v>33</v>
      </c>
      <c r="C14" t="s">
        <v>57</v>
      </c>
      <c r="D14">
        <v>8</v>
      </c>
      <c r="E14" t="s">
        <v>210</v>
      </c>
      <c r="F14" s="102" t="str">
        <f t="shared" si="0"/>
        <v>A</v>
      </c>
      <c r="G14" s="81"/>
      <c r="H14" s="81"/>
      <c r="I14" s="103" t="str">
        <f t="shared" si="1"/>
        <v/>
      </c>
      <c r="K14" s="79" t="s">
        <v>33</v>
      </c>
      <c r="L14" s="76">
        <v>8</v>
      </c>
      <c r="N14" t="s">
        <v>3</v>
      </c>
      <c r="O14">
        <f>+GETPIVOTDATA("Story Points2",$K$22,"Project","U","Added After",)</f>
        <v>60</v>
      </c>
      <c r="P14">
        <f>+GETPIVOTDATA("Story Points2",$K$22,"Project","U","Added After","Y")</f>
        <v>15</v>
      </c>
      <c r="Q14" s="93" t="e">
        <f>GETPIVOTDATA("Story Points2",$K$11,"Status","Blocked","Project","U")</f>
        <v>#REF!</v>
      </c>
      <c r="R14">
        <f t="shared" si="2"/>
        <v>75</v>
      </c>
    </row>
    <row r="15" spans="1:23" x14ac:dyDescent="0.25">
      <c r="A15" t="s">
        <v>190</v>
      </c>
      <c r="B15" t="s">
        <v>34</v>
      </c>
      <c r="C15" t="s">
        <v>191</v>
      </c>
      <c r="D15">
        <v>3</v>
      </c>
      <c r="E15" t="s">
        <v>184</v>
      </c>
      <c r="F15" s="81" t="str">
        <f t="shared" si="0"/>
        <v>U</v>
      </c>
      <c r="G15" s="81"/>
      <c r="H15" s="81" t="s">
        <v>35</v>
      </c>
      <c r="I15" s="91" t="str">
        <f t="shared" si="1"/>
        <v/>
      </c>
      <c r="K15" s="77" t="s">
        <v>36</v>
      </c>
      <c r="L15" s="76">
        <v>75</v>
      </c>
    </row>
    <row r="16" spans="1:23" x14ac:dyDescent="0.25">
      <c r="A16" t="s">
        <v>82</v>
      </c>
      <c r="B16" t="s">
        <v>33</v>
      </c>
      <c r="C16" t="s">
        <v>83</v>
      </c>
      <c r="D16">
        <v>3</v>
      </c>
      <c r="E16" t="s">
        <v>158</v>
      </c>
      <c r="F16" s="81" t="str">
        <f t="shared" si="0"/>
        <v>U</v>
      </c>
      <c r="G16" s="81"/>
      <c r="H16" s="81"/>
      <c r="I16" s="91" t="str">
        <f t="shared" si="1"/>
        <v/>
      </c>
      <c r="K16" s="79" t="s">
        <v>34</v>
      </c>
      <c r="L16" s="76">
        <v>72</v>
      </c>
      <c r="N16" t="s">
        <v>34</v>
      </c>
      <c r="O16" t="s">
        <v>126</v>
      </c>
      <c r="P16" t="s">
        <v>125</v>
      </c>
      <c r="Q16" s="92" t="s">
        <v>40</v>
      </c>
      <c r="R16" t="s">
        <v>127</v>
      </c>
    </row>
    <row r="17" spans="1:18" x14ac:dyDescent="0.25">
      <c r="A17" t="s">
        <v>187</v>
      </c>
      <c r="B17" t="s">
        <v>34</v>
      </c>
      <c r="C17" t="s">
        <v>188</v>
      </c>
      <c r="D17">
        <v>3</v>
      </c>
      <c r="E17" t="s">
        <v>189</v>
      </c>
      <c r="F17" s="81" t="str">
        <f t="shared" si="0"/>
        <v>U</v>
      </c>
      <c r="G17" s="81"/>
      <c r="H17" s="81" t="s">
        <v>35</v>
      </c>
      <c r="I17" s="91" t="str">
        <f t="shared" si="1"/>
        <v/>
      </c>
      <c r="K17" s="79" t="s">
        <v>33</v>
      </c>
      <c r="L17" s="76">
        <v>3</v>
      </c>
      <c r="N17" t="s">
        <v>2</v>
      </c>
      <c r="O17">
        <f>+GETPIVOTDATA("Story Points2",$K$22,"Status","Done","Project","A","Added After",)</f>
        <v>47</v>
      </c>
      <c r="P17">
        <f>+GETPIVOTDATA("Story Points2",$K$22,"Status","Done","Project","A","Added After","Y")</f>
        <v>1</v>
      </c>
      <c r="R17">
        <f t="shared" ref="R17:R18" si="3">+IF(ISERR(P17),0,P17)+IF(ISERR(O17),0,O17)</f>
        <v>48</v>
      </c>
    </row>
    <row r="18" spans="1:18" x14ac:dyDescent="0.25">
      <c r="A18" t="s">
        <v>185</v>
      </c>
      <c r="B18" t="s">
        <v>34</v>
      </c>
      <c r="C18" t="s">
        <v>186</v>
      </c>
      <c r="D18">
        <v>2</v>
      </c>
      <c r="E18" t="s">
        <v>184</v>
      </c>
      <c r="F18" s="81" t="str">
        <f t="shared" si="0"/>
        <v>U</v>
      </c>
      <c r="G18" s="81"/>
      <c r="H18" s="81" t="s">
        <v>35</v>
      </c>
      <c r="I18" s="91" t="str">
        <f t="shared" si="1"/>
        <v/>
      </c>
      <c r="K18" s="77" t="s">
        <v>31</v>
      </c>
      <c r="L18" s="76">
        <v>131</v>
      </c>
      <c r="N18" t="s">
        <v>3</v>
      </c>
      <c r="O18">
        <f>+GETPIVOTDATA("Story Points2",$K$22,"Status","Done","Project","U","Added After",)</f>
        <v>57</v>
      </c>
      <c r="P18">
        <f>+GETPIVOTDATA("Story Points2",$K$22,"Status","Done","Project","U","Added After","Y")</f>
        <v>15</v>
      </c>
      <c r="R18">
        <f t="shared" si="3"/>
        <v>72</v>
      </c>
    </row>
    <row r="19" spans="1:18" x14ac:dyDescent="0.25">
      <c r="A19" t="s">
        <v>182</v>
      </c>
      <c r="B19" t="s">
        <v>34</v>
      </c>
      <c r="C19" t="s">
        <v>183</v>
      </c>
      <c r="D19">
        <v>2</v>
      </c>
      <c r="E19" t="s">
        <v>184</v>
      </c>
      <c r="F19" s="81" t="str">
        <f t="shared" si="0"/>
        <v>U</v>
      </c>
      <c r="G19" s="81"/>
      <c r="H19" s="81" t="s">
        <v>35</v>
      </c>
      <c r="I19" s="91" t="str">
        <f t="shared" si="1"/>
        <v/>
      </c>
    </row>
    <row r="20" spans="1:18" x14ac:dyDescent="0.25">
      <c r="A20" t="s">
        <v>180</v>
      </c>
      <c r="B20" t="s">
        <v>34</v>
      </c>
      <c r="C20" t="s">
        <v>181</v>
      </c>
      <c r="D20">
        <v>5</v>
      </c>
      <c r="F20" s="81" t="str">
        <f t="shared" si="0"/>
        <v>U</v>
      </c>
      <c r="G20" s="81"/>
      <c r="H20" s="81" t="s">
        <v>35</v>
      </c>
      <c r="I20" s="91" t="str">
        <f t="shared" si="1"/>
        <v/>
      </c>
      <c r="N20" t="s">
        <v>34</v>
      </c>
      <c r="O20" t="s">
        <v>123</v>
      </c>
      <c r="P20" t="s">
        <v>124</v>
      </c>
      <c r="Q20" t="s">
        <v>126</v>
      </c>
      <c r="R20" t="s">
        <v>125</v>
      </c>
    </row>
    <row r="21" spans="1:18" x14ac:dyDescent="0.25">
      <c r="A21" t="s">
        <v>177</v>
      </c>
      <c r="B21" t="s">
        <v>34</v>
      </c>
      <c r="C21" t="s">
        <v>178</v>
      </c>
      <c r="D21">
        <v>5</v>
      </c>
      <c r="E21" t="s">
        <v>179</v>
      </c>
      <c r="F21" s="81" t="str">
        <f t="shared" si="0"/>
        <v>U</v>
      </c>
      <c r="G21" s="81"/>
      <c r="H21" s="81" t="s">
        <v>35</v>
      </c>
      <c r="I21" s="91" t="str">
        <f t="shared" si="1"/>
        <v/>
      </c>
      <c r="N21" t="s">
        <v>2</v>
      </c>
      <c r="O21" s="99">
        <f>+R17/O13</f>
        <v>0.87272727272727268</v>
      </c>
      <c r="P21" s="72">
        <f t="shared" ref="P21:P22" si="4">+IF(ISERR(R17),0,R17)/IF(ISERR(R13),1,R13)</f>
        <v>0.8571428571428571</v>
      </c>
      <c r="Q21" s="72">
        <f t="shared" ref="Q21:R22" si="5">+IF(ISERR(O17),0,O17)/IF(ISERR(O13),1,O13)</f>
        <v>0.8545454545454545</v>
      </c>
      <c r="R21" s="72">
        <f t="shared" si="5"/>
        <v>1</v>
      </c>
    </row>
    <row r="22" spans="1:18" x14ac:dyDescent="0.25">
      <c r="A22" t="s">
        <v>175</v>
      </c>
      <c r="B22" t="s">
        <v>34</v>
      </c>
      <c r="C22" t="s">
        <v>176</v>
      </c>
      <c r="D22">
        <v>5</v>
      </c>
      <c r="E22" t="s">
        <v>155</v>
      </c>
      <c r="F22" s="81" t="str">
        <f t="shared" si="0"/>
        <v>U</v>
      </c>
      <c r="G22" s="81"/>
      <c r="H22" s="81" t="s">
        <v>35</v>
      </c>
      <c r="I22" s="91" t="str">
        <f t="shared" si="1"/>
        <v/>
      </c>
      <c r="K22" s="80" t="s">
        <v>121</v>
      </c>
      <c r="L22" t="s">
        <v>120</v>
      </c>
      <c r="N22" t="s">
        <v>3</v>
      </c>
      <c r="O22" s="72">
        <f>+R18/O14</f>
        <v>1.2</v>
      </c>
      <c r="P22" s="72">
        <f t="shared" si="4"/>
        <v>0.96</v>
      </c>
      <c r="Q22" s="72">
        <f t="shared" si="5"/>
        <v>0.95</v>
      </c>
      <c r="R22" s="72">
        <f t="shared" si="5"/>
        <v>1</v>
      </c>
    </row>
    <row r="23" spans="1:18" x14ac:dyDescent="0.25">
      <c r="A23" t="s">
        <v>173</v>
      </c>
      <c r="B23" t="s">
        <v>34</v>
      </c>
      <c r="C23" t="s">
        <v>174</v>
      </c>
      <c r="D23">
        <v>5</v>
      </c>
      <c r="E23" t="s">
        <v>155</v>
      </c>
      <c r="F23" s="81" t="str">
        <f t="shared" si="0"/>
        <v>U</v>
      </c>
      <c r="G23" s="81"/>
      <c r="H23" s="81" t="s">
        <v>35</v>
      </c>
      <c r="I23" s="91" t="str">
        <f t="shared" si="1"/>
        <v/>
      </c>
      <c r="K23" s="77" t="s">
        <v>35</v>
      </c>
      <c r="L23" s="76">
        <v>16</v>
      </c>
    </row>
    <row r="24" spans="1:18" x14ac:dyDescent="0.25">
      <c r="A24" t="s">
        <v>171</v>
      </c>
      <c r="B24" t="s">
        <v>34</v>
      </c>
      <c r="C24" t="s">
        <v>172</v>
      </c>
      <c r="D24">
        <v>3</v>
      </c>
      <c r="E24" t="s">
        <v>155</v>
      </c>
      <c r="F24" s="81" t="str">
        <f t="shared" si="0"/>
        <v>U</v>
      </c>
      <c r="G24" s="81"/>
      <c r="H24" s="81" t="s">
        <v>35</v>
      </c>
      <c r="I24" s="91" t="str">
        <f t="shared" si="1"/>
        <v/>
      </c>
      <c r="K24" s="79" t="s">
        <v>37</v>
      </c>
      <c r="L24" s="76">
        <v>1</v>
      </c>
      <c r="N24" t="s">
        <v>49</v>
      </c>
      <c r="O24" t="s">
        <v>126</v>
      </c>
      <c r="P24" t="s">
        <v>125</v>
      </c>
      <c r="Q24" s="92" t="s">
        <v>40</v>
      </c>
      <c r="R24" t="s">
        <v>129</v>
      </c>
    </row>
    <row r="25" spans="1:18" x14ac:dyDescent="0.25">
      <c r="A25" t="s">
        <v>169</v>
      </c>
      <c r="B25" t="s">
        <v>34</v>
      </c>
      <c r="C25" t="s">
        <v>170</v>
      </c>
      <c r="D25">
        <v>3</v>
      </c>
      <c r="E25" t="s">
        <v>155</v>
      </c>
      <c r="F25" s="81" t="str">
        <f t="shared" si="0"/>
        <v>U</v>
      </c>
      <c r="G25" s="81"/>
      <c r="H25" s="81" t="s">
        <v>35</v>
      </c>
      <c r="I25" s="91" t="str">
        <f t="shared" si="1"/>
        <v/>
      </c>
      <c r="K25" s="78" t="s">
        <v>34</v>
      </c>
      <c r="L25" s="76">
        <v>1</v>
      </c>
      <c r="N25" t="s">
        <v>2</v>
      </c>
      <c r="O25">
        <f>+GETPIVOTDATA("Story Points",$K$42,"Project","A","Added After",)</f>
        <v>47</v>
      </c>
      <c r="P25">
        <f>+GETPIVOTDATA("Story Points",$K$42,"Project","A","Added After","Y")</f>
        <v>1</v>
      </c>
      <c r="R25">
        <f>+IF(ISERR(P25),0,P25)+IF(ISERR(O25),0,O25)</f>
        <v>48</v>
      </c>
    </row>
    <row r="26" spans="1:18" x14ac:dyDescent="0.25">
      <c r="A26" t="s">
        <v>167</v>
      </c>
      <c r="B26" t="s">
        <v>34</v>
      </c>
      <c r="C26" t="s">
        <v>168</v>
      </c>
      <c r="D26">
        <v>3</v>
      </c>
      <c r="E26" t="s">
        <v>108</v>
      </c>
      <c r="F26" s="81" t="str">
        <f t="shared" si="0"/>
        <v>U</v>
      </c>
      <c r="G26" s="81"/>
      <c r="H26" s="81" t="s">
        <v>35</v>
      </c>
      <c r="I26" s="91" t="str">
        <f t="shared" si="1"/>
        <v/>
      </c>
      <c r="K26" s="79" t="s">
        <v>36</v>
      </c>
      <c r="L26" s="76">
        <v>15</v>
      </c>
      <c r="N26" t="s">
        <v>3</v>
      </c>
      <c r="O26">
        <f>+GETPIVOTDATA("Story Points",$K$42,"Project","U","Added After",)</f>
        <v>57</v>
      </c>
      <c r="P26">
        <f>+GETPIVOTDATA("Story Points",$K$42,"Project","U","Added After","Y")</f>
        <v>15</v>
      </c>
      <c r="R26">
        <f>+IF(ISERR(P26),0,P26)+IF(ISERR(O26),0,O26)</f>
        <v>72</v>
      </c>
    </row>
    <row r="27" spans="1:18" x14ac:dyDescent="0.25">
      <c r="A27" t="s">
        <v>165</v>
      </c>
      <c r="B27" t="s">
        <v>34</v>
      </c>
      <c r="C27" t="s">
        <v>166</v>
      </c>
      <c r="D27">
        <v>5</v>
      </c>
      <c r="E27" t="s">
        <v>108</v>
      </c>
      <c r="F27" s="81" t="str">
        <f t="shared" si="0"/>
        <v>U</v>
      </c>
      <c r="G27" s="81"/>
      <c r="H27" s="81" t="s">
        <v>35</v>
      </c>
      <c r="I27" s="91" t="str">
        <f t="shared" si="1"/>
        <v/>
      </c>
      <c r="K27" s="78" t="s">
        <v>34</v>
      </c>
      <c r="L27" s="76">
        <v>15</v>
      </c>
    </row>
    <row r="28" spans="1:18" x14ac:dyDescent="0.25">
      <c r="A28" t="s">
        <v>163</v>
      </c>
      <c r="B28" t="s">
        <v>34</v>
      </c>
      <c r="C28" t="s">
        <v>164</v>
      </c>
      <c r="D28">
        <v>5</v>
      </c>
      <c r="E28" t="s">
        <v>108</v>
      </c>
      <c r="F28" s="81" t="str">
        <f t="shared" si="0"/>
        <v>U</v>
      </c>
      <c r="G28" s="81"/>
      <c r="H28" s="81" t="s">
        <v>35</v>
      </c>
      <c r="I28" s="91" t="str">
        <f t="shared" si="1"/>
        <v/>
      </c>
      <c r="K28" s="77" t="s">
        <v>122</v>
      </c>
      <c r="L28" s="76">
        <v>115</v>
      </c>
      <c r="N28" t="s">
        <v>49</v>
      </c>
      <c r="O28" t="s">
        <v>123</v>
      </c>
      <c r="P28" t="s">
        <v>124</v>
      </c>
      <c r="Q28" t="s">
        <v>126</v>
      </c>
      <c r="R28" t="s">
        <v>130</v>
      </c>
    </row>
    <row r="29" spans="1:18" x14ac:dyDescent="0.25">
      <c r="A29" t="s">
        <v>161</v>
      </c>
      <c r="B29" t="s">
        <v>34</v>
      </c>
      <c r="C29" t="s">
        <v>162</v>
      </c>
      <c r="D29">
        <v>8</v>
      </c>
      <c r="E29" t="s">
        <v>108</v>
      </c>
      <c r="F29" s="81" t="str">
        <f t="shared" si="0"/>
        <v>U</v>
      </c>
      <c r="G29" s="81"/>
      <c r="H29" s="81" t="s">
        <v>35</v>
      </c>
      <c r="I29" s="91" t="str">
        <f t="shared" si="1"/>
        <v/>
      </c>
      <c r="K29" s="79" t="s">
        <v>37</v>
      </c>
      <c r="L29" s="76">
        <v>55</v>
      </c>
      <c r="N29" t="s">
        <v>2</v>
      </c>
      <c r="O29" s="72">
        <f t="shared" ref="O29:O30" si="6">IF(ISERR(R25),0,R25)/IF(ISERR(O13), 1,O13)</f>
        <v>0.87272727272727268</v>
      </c>
      <c r="P29" s="72">
        <f t="shared" ref="P29:P30" si="7">IF(ISERR(R25),0,R25)/IF(ISERR(R13),1,R13)</f>
        <v>0.8571428571428571</v>
      </c>
      <c r="Q29" s="72">
        <f t="shared" ref="Q29:R30" si="8">+IF(ISERR(O25),0,O25)/IF(ISERR(O13),1,O13)</f>
        <v>0.8545454545454545</v>
      </c>
      <c r="R29" s="72">
        <f t="shared" si="8"/>
        <v>1</v>
      </c>
    </row>
    <row r="30" spans="1:18" x14ac:dyDescent="0.25">
      <c r="A30" t="s">
        <v>159</v>
      </c>
      <c r="B30" t="s">
        <v>34</v>
      </c>
      <c r="C30" t="s">
        <v>160</v>
      </c>
      <c r="D30">
        <v>5</v>
      </c>
      <c r="E30" t="s">
        <v>152</v>
      </c>
      <c r="F30" s="81" t="str">
        <f t="shared" si="0"/>
        <v>U</v>
      </c>
      <c r="G30" s="81" t="s">
        <v>35</v>
      </c>
      <c r="H30" s="81" t="s">
        <v>35</v>
      </c>
      <c r="I30" s="91" t="str">
        <f t="shared" si="1"/>
        <v/>
      </c>
      <c r="K30" s="78" t="s">
        <v>34</v>
      </c>
      <c r="L30" s="76">
        <v>47</v>
      </c>
      <c r="N30" t="s">
        <v>3</v>
      </c>
      <c r="O30" s="72">
        <f t="shared" si="6"/>
        <v>1.2</v>
      </c>
      <c r="P30" s="72">
        <f t="shared" si="7"/>
        <v>0.96</v>
      </c>
      <c r="Q30" s="72">
        <f t="shared" si="8"/>
        <v>0.95</v>
      </c>
      <c r="R30" s="72">
        <f t="shared" si="8"/>
        <v>1</v>
      </c>
    </row>
    <row r="31" spans="1:18" x14ac:dyDescent="0.25">
      <c r="A31" t="s">
        <v>156</v>
      </c>
      <c r="B31" t="s">
        <v>34</v>
      </c>
      <c r="C31" t="s">
        <v>157</v>
      </c>
      <c r="D31">
        <v>1</v>
      </c>
      <c r="E31" t="s">
        <v>158</v>
      </c>
      <c r="F31" s="81" t="str">
        <f t="shared" si="0"/>
        <v>U</v>
      </c>
      <c r="G31" s="81" t="s">
        <v>35</v>
      </c>
      <c r="H31" s="81" t="s">
        <v>35</v>
      </c>
      <c r="I31" s="91" t="str">
        <f t="shared" si="1"/>
        <v/>
      </c>
      <c r="K31" s="78" t="s">
        <v>33</v>
      </c>
      <c r="L31" s="76">
        <v>8</v>
      </c>
    </row>
    <row r="32" spans="1:18" x14ac:dyDescent="0.25">
      <c r="A32" t="s">
        <v>153</v>
      </c>
      <c r="B32" t="s">
        <v>34</v>
      </c>
      <c r="C32" t="s">
        <v>154</v>
      </c>
      <c r="D32">
        <v>3</v>
      </c>
      <c r="E32" t="s">
        <v>155</v>
      </c>
      <c r="F32" s="81" t="str">
        <f t="shared" si="0"/>
        <v>U</v>
      </c>
      <c r="G32" s="81" t="s">
        <v>35</v>
      </c>
      <c r="H32" s="81" t="s">
        <v>35</v>
      </c>
      <c r="I32" s="91" t="str">
        <f t="shared" si="1"/>
        <v/>
      </c>
      <c r="K32" s="79" t="s">
        <v>36</v>
      </c>
      <c r="L32" s="76">
        <v>60</v>
      </c>
    </row>
    <row r="33" spans="1:12" x14ac:dyDescent="0.25">
      <c r="A33" t="s">
        <v>150</v>
      </c>
      <c r="B33" t="s">
        <v>34</v>
      </c>
      <c r="C33" t="s">
        <v>151</v>
      </c>
      <c r="D33">
        <v>5</v>
      </c>
      <c r="E33" t="s">
        <v>152</v>
      </c>
      <c r="F33" s="81" t="str">
        <f t="shared" si="0"/>
        <v>U</v>
      </c>
      <c r="G33" s="81" t="s">
        <v>35</v>
      </c>
      <c r="H33" s="81" t="s">
        <v>35</v>
      </c>
      <c r="I33" s="91" t="str">
        <f t="shared" si="1"/>
        <v/>
      </c>
      <c r="K33" s="78" t="s">
        <v>34</v>
      </c>
      <c r="L33" s="76">
        <v>57</v>
      </c>
    </row>
    <row r="34" spans="1:12" x14ac:dyDescent="0.25">
      <c r="A34" t="s">
        <v>148</v>
      </c>
      <c r="B34" t="s">
        <v>34</v>
      </c>
      <c r="C34" t="s">
        <v>149</v>
      </c>
      <c r="D34">
        <v>1</v>
      </c>
      <c r="E34" t="s">
        <v>108</v>
      </c>
      <c r="F34" s="81" t="str">
        <f t="shared" si="0"/>
        <v>U</v>
      </c>
      <c r="G34" s="81" t="s">
        <v>35</v>
      </c>
      <c r="H34" s="81" t="s">
        <v>35</v>
      </c>
      <c r="I34" s="91" t="str">
        <f t="shared" si="1"/>
        <v/>
      </c>
      <c r="K34" s="78" t="s">
        <v>33</v>
      </c>
      <c r="L34" s="76">
        <v>3</v>
      </c>
    </row>
    <row r="35" spans="1:12" x14ac:dyDescent="0.25">
      <c r="K35" s="77" t="s">
        <v>31</v>
      </c>
      <c r="L35" s="76">
        <v>131</v>
      </c>
    </row>
    <row r="40" spans="1:12" x14ac:dyDescent="0.25">
      <c r="K40" s="80" t="s">
        <v>144</v>
      </c>
      <c r="L40" t="s">
        <v>35</v>
      </c>
    </row>
    <row r="42" spans="1:12" x14ac:dyDescent="0.25">
      <c r="K42" s="80" t="s">
        <v>39</v>
      </c>
      <c r="L42" t="s">
        <v>50</v>
      </c>
    </row>
    <row r="43" spans="1:12" x14ac:dyDescent="0.25">
      <c r="K43" s="77" t="s">
        <v>37</v>
      </c>
      <c r="L43" s="76"/>
    </row>
    <row r="44" spans="1:12" x14ac:dyDescent="0.25">
      <c r="K44" s="79" t="s">
        <v>35</v>
      </c>
      <c r="L44" s="76">
        <v>1</v>
      </c>
    </row>
    <row r="45" spans="1:12" x14ac:dyDescent="0.25">
      <c r="K45" s="79" t="s">
        <v>122</v>
      </c>
      <c r="L45" s="76">
        <v>47</v>
      </c>
    </row>
    <row r="46" spans="1:12" x14ac:dyDescent="0.25">
      <c r="K46" s="77" t="s">
        <v>131</v>
      </c>
      <c r="L46" s="76">
        <v>48</v>
      </c>
    </row>
    <row r="47" spans="1:12" x14ac:dyDescent="0.25">
      <c r="K47" s="77" t="s">
        <v>36</v>
      </c>
      <c r="L47" s="76"/>
    </row>
    <row r="48" spans="1:12" x14ac:dyDescent="0.25">
      <c r="K48" s="79" t="s">
        <v>35</v>
      </c>
      <c r="L48" s="76">
        <v>15</v>
      </c>
    </row>
    <row r="49" spans="11:12" x14ac:dyDescent="0.25">
      <c r="K49" s="79" t="s">
        <v>122</v>
      </c>
      <c r="L49" s="76">
        <v>57</v>
      </c>
    </row>
    <row r="50" spans="11:12" x14ac:dyDescent="0.25">
      <c r="K50" s="77" t="s">
        <v>132</v>
      </c>
      <c r="L50" s="76">
        <v>72</v>
      </c>
    </row>
    <row r="51" spans="11:12" x14ac:dyDescent="0.25">
      <c r="K51" s="77" t="s">
        <v>31</v>
      </c>
      <c r="L51" s="76">
        <v>120</v>
      </c>
    </row>
    <row r="58" spans="11:12" x14ac:dyDescent="0.25">
      <c r="K58" s="79"/>
      <c r="L58" s="76"/>
    </row>
    <row r="59" spans="11:12" x14ac:dyDescent="0.25">
      <c r="K59" s="77"/>
      <c r="L59" s="76"/>
    </row>
    <row r="60" spans="11:12" x14ac:dyDescent="0.25">
      <c r="K60" s="77"/>
      <c r="L60" s="76"/>
    </row>
  </sheetData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7" name="Button 1">
              <controlPr defaultSize="0" print="0" autoFill="0" autoPict="0" macro="[0]!ResetSprintData">
                <anchor moveWithCells="1" sizeWithCells="1">
                  <from>
                    <xdr:col>13</xdr:col>
                    <xdr:colOff>9525</xdr:colOff>
                    <xdr:row>5</xdr:row>
                    <xdr:rowOff>0</xdr:rowOff>
                  </from>
                  <to>
                    <xdr:col>18</xdr:col>
                    <xdr:colOff>28575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7">
    <tablePart r:id="rId8"/>
    <tablePart r:id="rId9"/>
    <tablePart r:id="rId10"/>
    <tablePart r:id="rId11"/>
    <tablePart r:id="rId12"/>
    <tablePart r:id="rId13"/>
    <tablePart r:id="rId1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Velocity</vt:lpstr>
      <vt:lpstr>Committed_Velocity</vt:lpstr>
      <vt:lpstr>Sprint 2018-03-27</vt:lpstr>
      <vt:lpstr>Sprint 2018-03-13</vt:lpstr>
      <vt:lpstr>Sprint 2018-02-26</vt:lpstr>
      <vt:lpstr>Sprint 2018-02-12</vt:lpstr>
      <vt:lpstr>Sprint_2018-01-29</vt:lpstr>
      <vt:lpstr>Sprint_2018-01-15</vt:lpstr>
      <vt:lpstr>Committed_Velocity!CV_Entirety_Label</vt:lpstr>
      <vt:lpstr>Committed_Velocity!CV_EntiretyLabel</vt:lpstr>
      <vt:lpstr>Committed_Velocity!CV_Last3Period_Label</vt:lpstr>
      <vt:lpstr>Committed_Velocity!CV_Last3Periods</vt:lpstr>
      <vt:lpstr>Committed_Velocity!CV_Last6Period_Label</vt:lpstr>
      <vt:lpstr>Committed_Velocity!CV_Overall_AIX</vt:lpstr>
      <vt:lpstr>Committed_Velocity!CV_Overall_LINUX</vt:lpstr>
      <vt:lpstr>Committed_Velocity!CV_Overall_Overall</vt:lpstr>
      <vt:lpstr>Committed_Velocity!CV_Period_3_AIX</vt:lpstr>
      <vt:lpstr>Committed_Velocity!CV_Period_3_LINUX</vt:lpstr>
      <vt:lpstr>Committed_Velocity!CV_Period_3_Overall</vt:lpstr>
      <vt:lpstr>Committed_Velocity!CV_Period_6_AIX</vt:lpstr>
      <vt:lpstr>Committed_Velocity!CV_Period_6_LINUX</vt:lpstr>
      <vt:lpstr>Committed_Velocity!CV_Period_6_OverAll</vt:lpstr>
      <vt:lpstr>Entirety_Label</vt:lpstr>
      <vt:lpstr>EntiretyLabel</vt:lpstr>
      <vt:lpstr>Last3Period_Label</vt:lpstr>
      <vt:lpstr>Last3Periods</vt:lpstr>
      <vt:lpstr>Last6Period_Label</vt:lpstr>
      <vt:lpstr>Overall_AIX</vt:lpstr>
      <vt:lpstr>Overall_LINUX</vt:lpstr>
      <vt:lpstr>Overall_Overall</vt:lpstr>
      <vt:lpstr>Period_3_AIX</vt:lpstr>
      <vt:lpstr>Period_3_LINUX</vt:lpstr>
      <vt:lpstr>Period_3_Overall</vt:lpstr>
      <vt:lpstr>Period_6_AIX</vt:lpstr>
      <vt:lpstr>Period_6_LINUX</vt:lpstr>
      <vt:lpstr>Period_6_OverAll</vt:lpstr>
    </vt:vector>
  </TitlesOfParts>
  <Company>SmartSource Rentals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Costanzo, Stephen</dc:creator>
  <cp:lastModifiedBy>Costanzo, Stephen</cp:lastModifiedBy>
  <dcterms:created xsi:type="dcterms:W3CDTF">2017-12-18T17:16:08Z</dcterms:created>
  <dcterms:modified xsi:type="dcterms:W3CDTF">2018-04-10T18:08:08Z</dcterms:modified>
</cp:coreProperties>
</file>