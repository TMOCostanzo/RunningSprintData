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pivotCache/pivotCacheDefinition12.xml" ContentType="application/vnd.openxmlformats-officedocument.spreadsheetml.pivotCacheDefinition+xml"/>
  <Override PartName="/xl/pivotCache/pivotCacheRecords12.xml" ContentType="application/vnd.openxmlformats-officedocument.spreadsheetml.pivotCacheRecords+xml"/>
  <Override PartName="/xl/pivotCache/pivotCacheDefinition13.xml" ContentType="application/vnd.openxmlformats-officedocument.spreadsheetml.pivotCacheDefinition+xml"/>
  <Override PartName="/xl/pivotCache/pivotCacheRecords13.xml" ContentType="application/vnd.openxmlformats-officedocument.spreadsheetml.pivotCacheRecords+xml"/>
  <Override PartName="/xl/pivotCache/pivotCacheDefinition14.xml" ContentType="application/vnd.openxmlformats-officedocument.spreadsheetml.pivotCacheDefinition+xml"/>
  <Override PartName="/xl/pivotCache/pivotCacheRecords14.xml" ContentType="application/vnd.openxmlformats-officedocument.spreadsheetml.pivotCacheRecords+xml"/>
  <Override PartName="/xl/pivotCache/pivotCacheDefinition15.xml" ContentType="application/vnd.openxmlformats-officedocument.spreadsheetml.pivotCacheDefinition+xml"/>
  <Override PartName="/xl/pivotCache/pivotCacheRecords15.xml" ContentType="application/vnd.openxmlformats-officedocument.spreadsheetml.pivotCacheRecords+xml"/>
  <Override PartName="/xl/pivotCache/pivotCacheDefinition16.xml" ContentType="application/vnd.openxmlformats-officedocument.spreadsheetml.pivotCacheDefinition+xml"/>
  <Override PartName="/xl/pivotCache/pivotCacheRecords16.xml" ContentType="application/vnd.openxmlformats-officedocument.spreadsheetml.pivotCacheRecords+xml"/>
  <Override PartName="/xl/pivotCache/pivotCacheDefinition17.xml" ContentType="application/vnd.openxmlformats-officedocument.spreadsheetml.pivotCacheDefinition+xml"/>
  <Override PartName="/xl/pivotCache/pivotCacheRecords17.xml" ContentType="application/vnd.openxmlformats-officedocument.spreadsheetml.pivotCacheRecords+xml"/>
  <Override PartName="/xl/pivotCache/pivotCacheDefinition18.xml" ContentType="application/vnd.openxmlformats-officedocument.spreadsheetml.pivotCacheDefinition+xml"/>
  <Override PartName="/xl/pivotCache/pivotCacheRecords18.xml" ContentType="application/vnd.openxmlformats-officedocument.spreadsheetml.pivotCacheRecords+xml"/>
  <Override PartName="/xl/pivotCache/pivotCacheDefinition19.xml" ContentType="application/vnd.openxmlformats-officedocument.spreadsheetml.pivotCacheDefinition+xml"/>
  <Override PartName="/xl/pivotCache/pivotCacheRecords19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trlProps/ctrlProp7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3.xml" ContentType="application/vnd.openxmlformats-officedocument.spreadsheetml.comments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ctrlProps/ctrlProp8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6.xml" ContentType="application/vnd.openxmlformats-officedocument.drawing+xml"/>
  <Override PartName="/xl/ctrlProps/ctrlProp9.xml" ContentType="application/vnd.ms-excel.controlproperties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drawings/drawing7.xml" ContentType="application/vnd.openxmlformats-officedocument.drawing+xml"/>
  <Override PartName="/xl/ctrlProps/ctrlProp10.xml" ContentType="application/vnd.ms-excel.controlproperties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drawings/drawing8.xml" ContentType="application/vnd.openxmlformats-officedocument.drawing+xml"/>
  <Override PartName="/xl/ctrlProps/ctrlProp11.xml" ContentType="application/vnd.ms-excel.controlproperties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9.xml" ContentType="application/vnd.openxmlformats-officedocument.drawing+xml"/>
  <Override PartName="/xl/ctrlProps/ctrlProp12.xml" ContentType="application/vnd.ms-excel.controlproperties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drawings/drawing10.xml" ContentType="application/vnd.openxmlformats-officedocument.drawing+xml"/>
  <Override PartName="/xl/ctrlProps/ctrlProp13.xml" ContentType="application/vnd.ms-excel.controlproperties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drawings/drawing11.xml" ContentType="application/vnd.openxmlformats-officedocument.drawing+xml"/>
  <Override PartName="/xl/ctrlProps/ctrlProp14.xml" ContentType="application/vnd.ms-excel.controlproperties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drawings/drawing12.xml" ContentType="application/vnd.openxmlformats-officedocument.drawing+xml"/>
  <Override PartName="/xl/ctrlProps/ctrlProp15.xml" ContentType="application/vnd.ms-excel.controlproperties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13.xml" ContentType="application/vnd.openxmlformats-officedocument.drawing+xml"/>
  <Override PartName="/xl/ctrlProps/ctrlProp16.xml" ContentType="application/vnd.ms-excel.controlproperties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drawings/drawing14.xml" ContentType="application/vnd.openxmlformats-officedocument.drawing+xml"/>
  <Override PartName="/xl/ctrlProps/ctrlProp17.xml" ContentType="application/vnd.ms-excel.controlproperties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15.xml" ContentType="application/vnd.openxmlformats-officedocument.drawing+xml"/>
  <Override PartName="/xl/ctrlProps/ctrlProp18.xml" ContentType="application/vnd.ms-excel.controlproperties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drawings/drawing16.xml" ContentType="application/vnd.openxmlformats-officedocument.drawing+xml"/>
  <Override PartName="/xl/ctrlProps/ctrlProp19.xml" ContentType="application/vnd.ms-excel.controlproperties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tables/table96.xml" ContentType="application/vnd.openxmlformats-officedocument.spreadsheetml.table+xml"/>
  <Override PartName="/xl/tables/table97.xml" ContentType="application/vnd.openxmlformats-officedocument.spreadsheetml.table+xml"/>
  <Override PartName="/xl/tables/table98.xml" ContentType="application/vnd.openxmlformats-officedocument.spreadsheetml.table+xml"/>
  <Override PartName="/xl/tables/table99.xml" ContentType="application/vnd.openxmlformats-officedocument.spreadsheetml.table+xml"/>
  <Override PartName="/xl/tables/table100.xml" ContentType="application/vnd.openxmlformats-officedocument.spreadsheetml.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drawings/drawing17.xml" ContentType="application/vnd.openxmlformats-officedocument.drawing+xml"/>
  <Override PartName="/xl/ctrlProps/ctrlProp20.xml" ContentType="application/vnd.ms-excel.controlproperties+xml"/>
  <Override PartName="/xl/tables/table101.xml" ContentType="application/vnd.openxmlformats-officedocument.spreadsheetml.table+xml"/>
  <Override PartName="/xl/tables/table102.xml" ContentType="application/vnd.openxmlformats-officedocument.spreadsheetml.table+xml"/>
  <Override PartName="/xl/tables/table103.xml" ContentType="application/vnd.openxmlformats-officedocument.spreadsheetml.table+xml"/>
  <Override PartName="/xl/tables/table104.xml" ContentType="application/vnd.openxmlformats-officedocument.spreadsheetml.table+xml"/>
  <Override PartName="/xl/tables/table105.xml" ContentType="application/vnd.openxmlformats-officedocument.spreadsheetml.table+xml"/>
  <Override PartName="/xl/tables/table106.xml" ContentType="application/vnd.openxmlformats-officedocument.spreadsheetml.table+xml"/>
  <Override PartName="/xl/tables/table107.xml" ContentType="application/vnd.openxmlformats-officedocument.spreadsheetml.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drawings/drawing18.xml" ContentType="application/vnd.openxmlformats-officedocument.drawing+xml"/>
  <Override PartName="/xl/ctrlProps/ctrlProp21.xml" ContentType="application/vnd.ms-excel.controlproperties+xml"/>
  <Override PartName="/xl/tables/table108.xml" ContentType="application/vnd.openxmlformats-officedocument.spreadsheetml.table+xml"/>
  <Override PartName="/xl/tables/table109.xml" ContentType="application/vnd.openxmlformats-officedocument.spreadsheetml.table+xml"/>
  <Override PartName="/xl/tables/table110.xml" ContentType="application/vnd.openxmlformats-officedocument.spreadsheetml.table+xml"/>
  <Override PartName="/xl/tables/table111.xml" ContentType="application/vnd.openxmlformats-officedocument.spreadsheetml.table+xml"/>
  <Override PartName="/xl/tables/table112.xml" ContentType="application/vnd.openxmlformats-officedocument.spreadsheetml.table+xml"/>
  <Override PartName="/xl/tables/table113.xml" ContentType="application/vnd.openxmlformats-officedocument.spreadsheetml.table+xml"/>
  <Override PartName="/xl/tables/table114.xml" ContentType="application/vnd.openxmlformats-officedocument.spreadsheetml.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drawings/drawing19.xml" ContentType="application/vnd.openxmlformats-officedocument.drawing+xml"/>
  <Override PartName="/xl/ctrlProps/ctrlProp22.xml" ContentType="application/vnd.ms-excel.controlproperties+xml"/>
  <Override PartName="/xl/tables/table115.xml" ContentType="application/vnd.openxmlformats-officedocument.spreadsheetml.table+xml"/>
  <Override PartName="/xl/tables/table116.xml" ContentType="application/vnd.openxmlformats-officedocument.spreadsheetml.table+xml"/>
  <Override PartName="/xl/tables/table117.xml" ContentType="application/vnd.openxmlformats-officedocument.spreadsheetml.table+xml"/>
  <Override PartName="/xl/tables/table118.xml" ContentType="application/vnd.openxmlformats-officedocument.spreadsheetml.table+xml"/>
  <Override PartName="/xl/tables/table119.xml" ContentType="application/vnd.openxmlformats-officedocument.spreadsheetml.table+xml"/>
  <Override PartName="/xl/tables/table120.xml" ContentType="application/vnd.openxmlformats-officedocument.spreadsheetml.table+xml"/>
  <Override PartName="/xl/tables/table121.xml" ContentType="application/vnd.openxmlformats-officedocument.spreadsheetml.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drawings/drawing20.xml" ContentType="application/vnd.openxmlformats-officedocument.drawing+xml"/>
  <Override PartName="/xl/ctrlProps/ctrlProp23.xml" ContentType="application/vnd.ms-excel.controlproperties+xml"/>
  <Override PartName="/xl/tables/table122.xml" ContentType="application/vnd.openxmlformats-officedocument.spreadsheetml.table+xml"/>
  <Override PartName="/xl/tables/table123.xml" ContentType="application/vnd.openxmlformats-officedocument.spreadsheetml.table+xml"/>
  <Override PartName="/xl/tables/table124.xml" ContentType="application/vnd.openxmlformats-officedocument.spreadsheetml.table+xml"/>
  <Override PartName="/xl/tables/table125.xml" ContentType="application/vnd.openxmlformats-officedocument.spreadsheetml.table+xml"/>
  <Override PartName="/xl/tables/table126.xml" ContentType="application/vnd.openxmlformats-officedocument.spreadsheetml.table+xml"/>
  <Override PartName="/xl/tables/table127.xml" ContentType="application/vnd.openxmlformats-officedocument.spreadsheetml.table+xml"/>
  <Override PartName="/xl/tables/table128.xml" ContentType="application/vnd.openxmlformats-officedocument.spreadsheetml.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drawings/drawing21.xml" ContentType="application/vnd.openxmlformats-officedocument.drawing+xml"/>
  <Override PartName="/xl/ctrlProps/ctrlProp24.xml" ContentType="application/vnd.ms-excel.controlproperties+xml"/>
  <Override PartName="/xl/tables/table129.xml" ContentType="application/vnd.openxmlformats-officedocument.spreadsheetml.table+xml"/>
  <Override PartName="/xl/tables/table130.xml" ContentType="application/vnd.openxmlformats-officedocument.spreadsheetml.table+xml"/>
  <Override PartName="/xl/tables/table131.xml" ContentType="application/vnd.openxmlformats-officedocument.spreadsheetml.table+xml"/>
  <Override PartName="/xl/tables/table132.xml" ContentType="application/vnd.openxmlformats-officedocument.spreadsheetml.table+xml"/>
  <Override PartName="/xl/tables/table133.xml" ContentType="application/vnd.openxmlformats-officedocument.spreadsheetml.table+xml"/>
  <Override PartName="/xl/tables/table134.xml" ContentType="application/vnd.openxmlformats-officedocument.spreadsheetml.table+xml"/>
  <Override PartName="/xl/tables/table135.xml" ContentType="application/vnd.openxmlformats-officedocument.spreadsheetml.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0.xml" ContentType="application/vnd.openxmlformats-officedocument.spreadsheetml.pivotTable+xml"/>
  <Override PartName="/xl/drawings/drawing22.xml" ContentType="application/vnd.openxmlformats-officedocument.drawing+xml"/>
  <Override PartName="/xl/ctrlProps/ctrlProp25.xml" ContentType="application/vnd.ms-excel.controlproperties+xml"/>
  <Override PartName="/xl/tables/table136.xml" ContentType="application/vnd.openxmlformats-officedocument.spreadsheetml.table+xml"/>
  <Override PartName="/xl/tables/table137.xml" ContentType="application/vnd.openxmlformats-officedocument.spreadsheetml.table+xml"/>
  <Override PartName="/xl/tables/table138.xml" ContentType="application/vnd.openxmlformats-officedocument.spreadsheetml.table+xml"/>
  <Override PartName="/xl/tables/table139.xml" ContentType="application/vnd.openxmlformats-officedocument.spreadsheetml.table+xml"/>
  <Override PartName="/xl/tables/table140.xml" ContentType="application/vnd.openxmlformats-officedocument.spreadsheetml.table+xml"/>
  <Override PartName="/xl/tables/table141.xml" ContentType="application/vnd.openxmlformats-officedocument.spreadsheetml.table+xml"/>
  <Override PartName="/xl/tables/table14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showInkAnnotation="0"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tmobileusa-my.sharepoint.com/personal/stephen_costanzo_t-mobile_com/Documents/JIRA/"/>
    </mc:Choice>
  </mc:AlternateContent>
  <xr:revisionPtr revIDLastSave="0" documentId="10_ncr:100000_{A01884A6-A83D-403C-99D8-DEA9B5482A09}" xr6:coauthVersionLast="31" xr6:coauthVersionMax="31" xr10:uidLastSave="{00000000-0000-0000-0000-000000000000}"/>
  <bookViews>
    <workbookView xWindow="0" yWindow="0" windowWidth="28800" windowHeight="12210" activeTab="2" xr2:uid="{00000000-000D-0000-FFFF-FFFF00000000}"/>
  </bookViews>
  <sheets>
    <sheet name="Scope Changes" sheetId="26" r:id="rId1"/>
    <sheet name="Velocity" sheetId="1" r:id="rId2"/>
    <sheet name="Committed_Velocity" sheetId="2" r:id="rId3"/>
    <sheet name="Sprint 2018-09-25" sheetId="27" r:id="rId4"/>
    <sheet name="Sprint 2018-09-11" sheetId="25" r:id="rId5"/>
    <sheet name="Sprint 2018-08-28" sheetId="24" r:id="rId6"/>
    <sheet name="Sprint 2018-08-14" sheetId="23" r:id="rId7"/>
    <sheet name="Sprint 2018-07-31" sheetId="22" r:id="rId8"/>
    <sheet name="Sprint 2018-07-17" sheetId="20" r:id="rId9"/>
    <sheet name="Sprint 2018-07-03" sheetId="19" r:id="rId10"/>
    <sheet name="Sprint 2018-06-19" sheetId="18" r:id="rId11"/>
    <sheet name="Sprint 2018-06-05" sheetId="17" r:id="rId12"/>
    <sheet name="Sprint 2018-05-22" sheetId="16" r:id="rId13"/>
    <sheet name="Sprint 2018-05-08" sheetId="15" r:id="rId14"/>
    <sheet name="Sprint 2018-04-24" sheetId="14" r:id="rId15"/>
    <sheet name="Sprint 2018-04-10" sheetId="13" r:id="rId16"/>
    <sheet name="Sprint 2018-03-27" sheetId="11" r:id="rId17"/>
    <sheet name="Sprint 2018-03-13" sheetId="10" r:id="rId18"/>
    <sheet name="Sprint 2018-02-26" sheetId="9" r:id="rId19"/>
    <sheet name="Sprint 2018-02-12" sheetId="7" r:id="rId20"/>
    <sheet name="Sprint_2018-01-29" sheetId="4" r:id="rId21"/>
    <sheet name="Sprint_2018-01-15" sheetId="6" r:id="rId22"/>
  </sheets>
  <functionGroups builtInGroupCount="19"/>
  <definedNames>
    <definedName name="CV_Entirety_Label" localSheetId="2">Committed_Velocity!$B$11</definedName>
    <definedName name="CV_EntiretyLabel" localSheetId="2">Committed_Velocity!$B$11</definedName>
    <definedName name="CV_Last3Period_Label" localSheetId="2">Committed_Velocity!$B$16</definedName>
    <definedName name="CV_Last3Periods" localSheetId="2">Committed_Velocity!$B$16</definedName>
    <definedName name="CV_Last6Period_Label" localSheetId="2">Committed_Velocity!$B$21</definedName>
    <definedName name="CV_Overall_AIX" localSheetId="2">Committed_Velocity!$F$5:$Z$5</definedName>
    <definedName name="CV_Overall_LINUX" localSheetId="2">Committed_Velocity!$F$6:$Z$6</definedName>
    <definedName name="CV_Overall_Overall" localSheetId="2">Committed_Velocity!$F$4:$Z$4</definedName>
    <definedName name="CV_Period_3_AIX" localSheetId="2">Committed_Velocity!$X$5:$Z$5</definedName>
    <definedName name="CV_Period_3_LINUX" localSheetId="2">Committed_Velocity!$X$6:$Z$6</definedName>
    <definedName name="CV_Period_3_Overall" localSheetId="2">Committed_Velocity!$X$4:$Z$4</definedName>
    <definedName name="CV_Period_6_AIX" localSheetId="2">Committed_Velocity!$U$5:$Z$5</definedName>
    <definedName name="CV_Period_6_LINUX" localSheetId="2">Committed_Velocity!$U$6:$Z$6</definedName>
    <definedName name="CV_Period_6_OverAll" localSheetId="2">Committed_Velocity!$U$4:$Z$4</definedName>
    <definedName name="Entirety_Label">Velocity!$B$11</definedName>
    <definedName name="EntiretyLabel">Velocity!$B$11</definedName>
    <definedName name="Last3Period_Label">Velocity!$B$16</definedName>
    <definedName name="Last3Periods">Velocity!$B$16</definedName>
    <definedName name="Last6Period_Label">Velocity!$B$21</definedName>
    <definedName name="Overall_AIX">Velocity!$F$5:$AB$5</definedName>
    <definedName name="Overall_LINUX">Velocity!$F$6:$AB$6</definedName>
    <definedName name="Overall_Overall">Velocity!$F$4:$AB$4</definedName>
    <definedName name="Period_3_AIX">Velocity!$Z$5:$AB$5</definedName>
    <definedName name="Period_3_LINUX">Velocity!$Z$6:$AB$6</definedName>
    <definedName name="Period_3_Overall">Velocity!$Z$4:$AB$4</definedName>
    <definedName name="Period_6_AIX">Velocity!$W$5:$AB$5</definedName>
    <definedName name="Period_6_LINUX">Velocity!$W$6:$AB$6</definedName>
    <definedName name="Period_6_OverAll">Velocity!$W$4:$AB$4</definedName>
  </definedNames>
  <calcPr calcId="179017"/>
  <pivotCaches>
    <pivotCache cacheId="0" r:id="rId23"/>
    <pivotCache cacheId="1" r:id="rId24"/>
    <pivotCache cacheId="2" r:id="rId25"/>
    <pivotCache cacheId="3" r:id="rId26"/>
    <pivotCache cacheId="4" r:id="rId27"/>
    <pivotCache cacheId="5" r:id="rId28"/>
    <pivotCache cacheId="6" r:id="rId29"/>
    <pivotCache cacheId="7" r:id="rId30"/>
    <pivotCache cacheId="8" r:id="rId31"/>
    <pivotCache cacheId="9" r:id="rId32"/>
    <pivotCache cacheId="10" r:id="rId33"/>
    <pivotCache cacheId="11" r:id="rId34"/>
    <pivotCache cacheId="12" r:id="rId35"/>
    <pivotCache cacheId="13" r:id="rId36"/>
    <pivotCache cacheId="14" r:id="rId37"/>
    <pivotCache cacheId="15" r:id="rId38"/>
    <pivotCache cacheId="16" r:id="rId39"/>
    <pivotCache cacheId="52" r:id="rId40"/>
    <pivotCache cacheId="64" r:id="rId4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27" l="1"/>
  <c r="G4" i="27"/>
  <c r="G5" i="27"/>
  <c r="G6" i="27"/>
  <c r="G7" i="27"/>
  <c r="G8" i="27"/>
  <c r="G9" i="27"/>
  <c r="G10" i="27"/>
  <c r="G11" i="27"/>
  <c r="G12" i="27"/>
  <c r="G13" i="27"/>
  <c r="G14" i="27"/>
  <c r="G15" i="27"/>
  <c r="G16" i="27"/>
  <c r="G17" i="27"/>
  <c r="G18" i="27"/>
  <c r="G19" i="27"/>
  <c r="G20" i="27"/>
  <c r="G21" i="27"/>
  <c r="G22" i="27"/>
  <c r="G23" i="27"/>
  <c r="G24" i="27"/>
  <c r="G25" i="27"/>
  <c r="G26" i="27"/>
  <c r="G27" i="27"/>
  <c r="G28" i="27"/>
  <c r="G29" i="27"/>
  <c r="G30" i="27"/>
  <c r="G31" i="27"/>
  <c r="G32" i="27"/>
  <c r="G33" i="27"/>
  <c r="G34" i="27"/>
  <c r="G35" i="27"/>
  <c r="G36" i="27"/>
  <c r="G37" i="27"/>
  <c r="G38" i="27"/>
  <c r="G2" i="27"/>
  <c r="G53" i="27"/>
  <c r="G52" i="27"/>
  <c r="G51" i="27"/>
  <c r="G50" i="27"/>
  <c r="G49" i="27"/>
  <c r="G48" i="27"/>
  <c r="G47" i="27"/>
  <c r="G46" i="27"/>
  <c r="G45" i="27"/>
  <c r="G44" i="27"/>
  <c r="G43" i="27"/>
  <c r="G42" i="27"/>
  <c r="G41" i="27"/>
  <c r="G40" i="27"/>
  <c r="G39" i="27"/>
  <c r="AD15" i="27"/>
  <c r="AC14" i="27"/>
  <c r="AD11" i="27"/>
  <c r="AC10" i="27"/>
  <c r="AC22" i="27"/>
  <c r="O12" i="27"/>
  <c r="AD22" i="27"/>
  <c r="AC15" i="27"/>
  <c r="O13" i="27"/>
  <c r="AC11" i="27"/>
  <c r="AD23" i="27"/>
  <c r="AC23" i="27"/>
  <c r="AD14" i="27"/>
  <c r="AD10" i="27"/>
  <c r="Q12" i="27" l="1"/>
  <c r="Q2" i="27" s="1"/>
  <c r="O2" i="27" s="1"/>
  <c r="P16" i="27"/>
  <c r="O25" i="27"/>
  <c r="P25" i="27"/>
  <c r="P13" i="27"/>
  <c r="O17" i="27"/>
  <c r="P24" i="27"/>
  <c r="O24" i="27"/>
  <c r="P12" i="27"/>
  <c r="Q13" i="27"/>
  <c r="Q3" i="27" s="1"/>
  <c r="O3" i="27" s="1"/>
  <c r="O16" i="27"/>
  <c r="P17" i="27"/>
  <c r="C2" i="26"/>
  <c r="D2" i="26"/>
  <c r="E2" i="26"/>
  <c r="F2" i="26" s="1"/>
  <c r="I3" i="26"/>
  <c r="I4" i="26"/>
  <c r="I5" i="26"/>
  <c r="C8" i="26"/>
  <c r="D8" i="26"/>
  <c r="E8" i="26"/>
  <c r="F8" i="26"/>
  <c r="G8" i="26" s="1"/>
  <c r="I9" i="26"/>
  <c r="I10" i="26"/>
  <c r="I11" i="26"/>
  <c r="R8" i="19"/>
  <c r="Q8" i="19"/>
  <c r="P8" i="19"/>
  <c r="R7" i="19"/>
  <c r="Q7" i="19"/>
  <c r="P7" i="19"/>
  <c r="R8" i="20"/>
  <c r="Q8" i="20"/>
  <c r="P8" i="20"/>
  <c r="R7" i="20"/>
  <c r="Q7" i="20"/>
  <c r="P7" i="20"/>
  <c r="R8" i="23"/>
  <c r="Q8" i="23"/>
  <c r="P8" i="23"/>
  <c r="R7" i="23"/>
  <c r="Q7" i="23"/>
  <c r="P7" i="23"/>
  <c r="Q7" i="22"/>
  <c r="P8" i="22"/>
  <c r="O4" i="27" l="1"/>
  <c r="V4" i="27" s="1"/>
  <c r="V2" i="27"/>
  <c r="Q20" i="27"/>
  <c r="R21" i="27"/>
  <c r="W3" i="27" s="1"/>
  <c r="R17" i="27"/>
  <c r="R24" i="27"/>
  <c r="Q28" i="27"/>
  <c r="Q21" i="27"/>
  <c r="V3" i="27"/>
  <c r="R29" i="27"/>
  <c r="R25" i="27"/>
  <c r="Q29" i="27"/>
  <c r="Q24" i="27"/>
  <c r="Q25" i="27"/>
  <c r="R16" i="27"/>
  <c r="R20" i="27"/>
  <c r="W2" i="27" s="1"/>
  <c r="P2" i="27"/>
  <c r="R12" i="27"/>
  <c r="R28" i="27"/>
  <c r="P3" i="27"/>
  <c r="R13" i="27"/>
  <c r="Q4" i="27"/>
  <c r="AC4" i="1"/>
  <c r="Q8" i="27" l="1"/>
  <c r="Q7" i="27"/>
  <c r="O20" i="27"/>
  <c r="P20" i="27"/>
  <c r="R2" i="27"/>
  <c r="O29" i="27"/>
  <c r="P29" i="27"/>
  <c r="R3" i="27"/>
  <c r="O21" i="27"/>
  <c r="P21" i="27"/>
  <c r="P8" i="27"/>
  <c r="P7" i="27"/>
  <c r="P4" i="27"/>
  <c r="O28" i="27"/>
  <c r="P28" i="27"/>
  <c r="G53" i="25"/>
  <c r="G52" i="25"/>
  <c r="G51" i="25"/>
  <c r="G50" i="25"/>
  <c r="G49" i="25"/>
  <c r="G48" i="25"/>
  <c r="G47" i="25"/>
  <c r="G46" i="25"/>
  <c r="G45" i="25"/>
  <c r="G44" i="25"/>
  <c r="G43" i="25"/>
  <c r="G42" i="25"/>
  <c r="G41" i="25"/>
  <c r="G40" i="25"/>
  <c r="G39" i="25"/>
  <c r="G38" i="25"/>
  <c r="G37" i="25"/>
  <c r="G36" i="25"/>
  <c r="G35" i="25"/>
  <c r="G34" i="25"/>
  <c r="G33" i="25"/>
  <c r="G32" i="25"/>
  <c r="G31" i="25"/>
  <c r="G15" i="25"/>
  <c r="G30" i="25"/>
  <c r="G14" i="25"/>
  <c r="G11" i="25"/>
  <c r="G12" i="25"/>
  <c r="G26" i="25"/>
  <c r="G25" i="25"/>
  <c r="G9" i="25"/>
  <c r="G8" i="25"/>
  <c r="G13" i="25"/>
  <c r="G29" i="25"/>
  <c r="G28" i="25"/>
  <c r="G10" i="25"/>
  <c r="G24" i="25"/>
  <c r="G23" i="25"/>
  <c r="G22" i="25"/>
  <c r="G27" i="25"/>
  <c r="G21" i="25"/>
  <c r="G6" i="25"/>
  <c r="G5" i="25"/>
  <c r="G4" i="25"/>
  <c r="G7" i="25"/>
  <c r="G20" i="25"/>
  <c r="G19" i="25"/>
  <c r="G18" i="25"/>
  <c r="G17" i="25"/>
  <c r="G16" i="25"/>
  <c r="G3" i="25"/>
  <c r="G2" i="25"/>
  <c r="AA4" i="2"/>
  <c r="AD14" i="25"/>
  <c r="AC15" i="25"/>
  <c r="AC23" i="25"/>
  <c r="AC14" i="25"/>
  <c r="AD10" i="25"/>
  <c r="AC11" i="25"/>
  <c r="AD15" i="25"/>
  <c r="AD23" i="25"/>
  <c r="AD11" i="25"/>
  <c r="O13" i="25"/>
  <c r="O12" i="25"/>
  <c r="AC22" i="25"/>
  <c r="AC10" i="25"/>
  <c r="AD22" i="25"/>
  <c r="T3" i="27" l="1"/>
  <c r="S3" i="27"/>
  <c r="R8" i="27"/>
  <c r="R7" i="27"/>
  <c r="S2" i="27"/>
  <c r="R4" i="27"/>
  <c r="T2" i="27"/>
  <c r="Q12" i="25"/>
  <c r="Q2" i="25" s="1"/>
  <c r="O2" i="25" s="1"/>
  <c r="O25" i="25"/>
  <c r="P17" i="25"/>
  <c r="O24" i="25"/>
  <c r="P25" i="25"/>
  <c r="P13" i="25"/>
  <c r="O16" i="25"/>
  <c r="P24" i="25"/>
  <c r="O17" i="25"/>
  <c r="P12" i="25"/>
  <c r="Q13" i="25"/>
  <c r="Q3" i="25" s="1"/>
  <c r="O3" i="25" s="1"/>
  <c r="P16" i="25"/>
  <c r="Z4" i="2"/>
  <c r="Y4" i="2"/>
  <c r="AB4" i="1"/>
  <c r="AA4" i="1"/>
  <c r="G53" i="24"/>
  <c r="G52" i="24"/>
  <c r="G51" i="24"/>
  <c r="G50" i="24"/>
  <c r="G49" i="24"/>
  <c r="G48" i="24"/>
  <c r="G47" i="24"/>
  <c r="G46" i="24"/>
  <c r="G45" i="24"/>
  <c r="G44" i="24"/>
  <c r="G43" i="24"/>
  <c r="G42" i="24"/>
  <c r="G41" i="24"/>
  <c r="G40" i="24"/>
  <c r="G39" i="24"/>
  <c r="G38" i="24"/>
  <c r="G37" i="24"/>
  <c r="G36" i="24"/>
  <c r="G35" i="24"/>
  <c r="G34" i="24"/>
  <c r="Q35" i="24"/>
  <c r="G33" i="24"/>
  <c r="G32" i="24"/>
  <c r="G31" i="24"/>
  <c r="G30" i="24"/>
  <c r="G29" i="24"/>
  <c r="G28" i="24"/>
  <c r="G27" i="24"/>
  <c r="G26" i="24"/>
  <c r="G25" i="24"/>
  <c r="G24" i="24"/>
  <c r="G23" i="24"/>
  <c r="G22" i="24"/>
  <c r="G21" i="24"/>
  <c r="G20" i="24"/>
  <c r="G19" i="24"/>
  <c r="G18" i="24"/>
  <c r="G17" i="24"/>
  <c r="G16" i="24"/>
  <c r="G15" i="24"/>
  <c r="G14" i="24"/>
  <c r="G13" i="24"/>
  <c r="G12" i="24"/>
  <c r="G11" i="24"/>
  <c r="G10" i="24"/>
  <c r="G9" i="24"/>
  <c r="G8" i="24"/>
  <c r="G7" i="24"/>
  <c r="G6" i="24"/>
  <c r="G5" i="24"/>
  <c r="G4" i="24"/>
  <c r="G3" i="24"/>
  <c r="G2" i="24"/>
  <c r="AD14" i="24"/>
  <c r="AC14" i="24"/>
  <c r="AD11" i="24"/>
  <c r="AC23" i="24"/>
  <c r="AC10" i="24"/>
  <c r="AC11" i="24"/>
  <c r="AD15" i="24"/>
  <c r="AC15" i="24"/>
  <c r="O13" i="24"/>
  <c r="AD10" i="24"/>
  <c r="AD22" i="24"/>
  <c r="AC22" i="24"/>
  <c r="O12" i="24"/>
  <c r="AD23" i="24"/>
  <c r="S4" i="27" l="1"/>
  <c r="W4" i="27"/>
  <c r="T4" i="27"/>
  <c r="R29" i="25"/>
  <c r="Q4" i="25"/>
  <c r="O4" i="25"/>
  <c r="V4" i="25" s="1"/>
  <c r="Q20" i="25"/>
  <c r="V2" i="25"/>
  <c r="R20" i="25"/>
  <c r="W2" i="25" s="1"/>
  <c r="R16" i="25"/>
  <c r="Q24" i="25"/>
  <c r="P3" i="25"/>
  <c r="Q7" i="25" s="1"/>
  <c r="R13" i="25"/>
  <c r="Q28" i="25"/>
  <c r="R24" i="25"/>
  <c r="V3" i="25"/>
  <c r="Q21" i="25"/>
  <c r="Q25" i="25"/>
  <c r="R17" i="25"/>
  <c r="R21" i="25"/>
  <c r="W3" i="25" s="1"/>
  <c r="R12" i="25"/>
  <c r="P2" i="25"/>
  <c r="P8" i="25" s="1"/>
  <c r="R28" i="25"/>
  <c r="R25" i="25"/>
  <c r="Q29" i="25"/>
  <c r="Q12" i="24"/>
  <c r="Q2" i="24" s="1"/>
  <c r="O2" i="24" s="1"/>
  <c r="P17" i="24"/>
  <c r="O24" i="24"/>
  <c r="P25" i="24"/>
  <c r="P13" i="24"/>
  <c r="O16" i="24"/>
  <c r="P24" i="24"/>
  <c r="P12" i="24"/>
  <c r="Q13" i="24"/>
  <c r="Q3" i="24" s="1"/>
  <c r="O3" i="24" s="1"/>
  <c r="P16" i="24"/>
  <c r="O17" i="24"/>
  <c r="O25" i="24"/>
  <c r="G53" i="23"/>
  <c r="G52" i="23"/>
  <c r="G51" i="23"/>
  <c r="G50" i="23"/>
  <c r="G49" i="23"/>
  <c r="G48" i="23"/>
  <c r="G47" i="23"/>
  <c r="G46" i="23"/>
  <c r="G45" i="23"/>
  <c r="G44" i="23"/>
  <c r="G43" i="23"/>
  <c r="G42" i="23"/>
  <c r="G41" i="23"/>
  <c r="G40" i="23"/>
  <c r="G39" i="23"/>
  <c r="G38" i="23"/>
  <c r="G37" i="23"/>
  <c r="G36" i="23"/>
  <c r="G35" i="23"/>
  <c r="G34" i="23"/>
  <c r="Q35" i="23"/>
  <c r="G33" i="23"/>
  <c r="G32" i="23"/>
  <c r="G31" i="23"/>
  <c r="G30" i="23"/>
  <c r="G29" i="23"/>
  <c r="G28" i="23"/>
  <c r="G27" i="23"/>
  <c r="G26" i="23"/>
  <c r="G25" i="23"/>
  <c r="G24" i="23"/>
  <c r="G23" i="23"/>
  <c r="G22" i="23"/>
  <c r="G21" i="23"/>
  <c r="G20" i="23"/>
  <c r="G19" i="23"/>
  <c r="G18" i="23"/>
  <c r="G17" i="23"/>
  <c r="G16" i="23"/>
  <c r="G15" i="23"/>
  <c r="G14" i="23"/>
  <c r="G13" i="23"/>
  <c r="G12" i="23"/>
  <c r="G11" i="23"/>
  <c r="G10" i="23"/>
  <c r="G9" i="23"/>
  <c r="G8" i="23"/>
  <c r="G7" i="23"/>
  <c r="G6" i="23"/>
  <c r="G5" i="23"/>
  <c r="G4" i="23"/>
  <c r="G3" i="23"/>
  <c r="G2" i="23"/>
  <c r="O13" i="23"/>
  <c r="AD23" i="23"/>
  <c r="AC22" i="23"/>
  <c r="AC10" i="23"/>
  <c r="AC14" i="23"/>
  <c r="AC23" i="23"/>
  <c r="AD10" i="23"/>
  <c r="AC11" i="23"/>
  <c r="O12" i="23"/>
  <c r="AD22" i="23"/>
  <c r="AD15" i="23"/>
  <c r="AC15" i="23"/>
  <c r="AD11" i="23"/>
  <c r="AD14" i="23"/>
  <c r="R29" i="24" l="1"/>
  <c r="Q24" i="24"/>
  <c r="P4" i="25"/>
  <c r="P7" i="25"/>
  <c r="Q8" i="25"/>
  <c r="P29" i="25"/>
  <c r="O29" i="25"/>
  <c r="P21" i="25"/>
  <c r="R3" i="25"/>
  <c r="O21" i="25"/>
  <c r="P28" i="25"/>
  <c r="O28" i="25"/>
  <c r="P20" i="25"/>
  <c r="R2" i="25"/>
  <c r="O20" i="25"/>
  <c r="R28" i="24"/>
  <c r="O4" i="24"/>
  <c r="V4" i="24" s="1"/>
  <c r="Q20" i="24"/>
  <c r="V2" i="24"/>
  <c r="R12" i="24"/>
  <c r="P2" i="24"/>
  <c r="Q21" i="24"/>
  <c r="V3" i="24"/>
  <c r="R13" i="24"/>
  <c r="P3" i="24"/>
  <c r="R24" i="24"/>
  <c r="Q28" i="24"/>
  <c r="Q29" i="24"/>
  <c r="R25" i="24"/>
  <c r="R20" i="24"/>
  <c r="W2" i="24"/>
  <c r="R16" i="24"/>
  <c r="Q25" i="24"/>
  <c r="R17" i="24"/>
  <c r="R21" i="24"/>
  <c r="W3" i="24" s="1"/>
  <c r="Q4" i="24"/>
  <c r="P17" i="23"/>
  <c r="O24" i="23"/>
  <c r="P25" i="23"/>
  <c r="R29" i="23" s="1"/>
  <c r="P13" i="23"/>
  <c r="O16" i="23"/>
  <c r="P24" i="23"/>
  <c r="P12" i="23"/>
  <c r="Q13" i="23"/>
  <c r="Q3" i="23" s="1"/>
  <c r="O3" i="23" s="1"/>
  <c r="P16" i="23"/>
  <c r="Q12" i="23"/>
  <c r="Q2" i="23" s="1"/>
  <c r="O2" i="23" s="1"/>
  <c r="O17" i="23"/>
  <c r="O25" i="23"/>
  <c r="Z4" i="1"/>
  <c r="X4" i="2"/>
  <c r="W4" i="2"/>
  <c r="Y4" i="1"/>
  <c r="G53" i="22"/>
  <c r="G52" i="22"/>
  <c r="G51" i="22"/>
  <c r="G50" i="22"/>
  <c r="G49" i="22"/>
  <c r="G48" i="22"/>
  <c r="G47" i="22"/>
  <c r="G46" i="22"/>
  <c r="G45" i="22"/>
  <c r="G44" i="22"/>
  <c r="G43" i="22"/>
  <c r="G42" i="22"/>
  <c r="G41" i="22"/>
  <c r="G40" i="22"/>
  <c r="G39" i="22"/>
  <c r="G38" i="22"/>
  <c r="G37" i="22"/>
  <c r="G36" i="22"/>
  <c r="G35" i="22"/>
  <c r="G34" i="22"/>
  <c r="G33" i="22"/>
  <c r="G32" i="22"/>
  <c r="G31" i="22"/>
  <c r="G30" i="22"/>
  <c r="G29" i="22"/>
  <c r="Q35" i="22"/>
  <c r="G28" i="22"/>
  <c r="G27" i="22"/>
  <c r="G26" i="22"/>
  <c r="G25" i="22"/>
  <c r="G24" i="22"/>
  <c r="G23" i="22"/>
  <c r="G22" i="22"/>
  <c r="G21" i="22"/>
  <c r="G20" i="22"/>
  <c r="G19" i="22"/>
  <c r="G18" i="22"/>
  <c r="G17" i="22"/>
  <c r="G16" i="22"/>
  <c r="G15" i="22"/>
  <c r="G14" i="22"/>
  <c r="G13" i="22"/>
  <c r="G12" i="22"/>
  <c r="G11" i="22"/>
  <c r="G10" i="22"/>
  <c r="G9" i="22"/>
  <c r="G8" i="22"/>
  <c r="G7" i="22"/>
  <c r="G6" i="22"/>
  <c r="G5" i="22"/>
  <c r="G4" i="22"/>
  <c r="G3" i="22"/>
  <c r="G2" i="22"/>
  <c r="AC10" i="22"/>
  <c r="AC23" i="22"/>
  <c r="AD10" i="22"/>
  <c r="AC14" i="22"/>
  <c r="O12" i="22"/>
  <c r="AD14" i="22"/>
  <c r="AD23" i="22"/>
  <c r="AC22" i="22"/>
  <c r="AC11" i="22"/>
  <c r="AD22" i="22"/>
  <c r="AD11" i="22"/>
  <c r="AC15" i="22"/>
  <c r="AD15" i="22"/>
  <c r="O13" i="22"/>
  <c r="Q8" i="24" l="1"/>
  <c r="P8" i="24"/>
  <c r="Q7" i="24"/>
  <c r="P7" i="24"/>
  <c r="R7" i="25"/>
  <c r="R8" i="25"/>
  <c r="S2" i="25"/>
  <c r="T2" i="25"/>
  <c r="R4" i="25"/>
  <c r="T3" i="25"/>
  <c r="S3" i="25"/>
  <c r="O4" i="23"/>
  <c r="V4" i="23" s="1"/>
  <c r="P29" i="24"/>
  <c r="O29" i="24"/>
  <c r="P4" i="24"/>
  <c r="P20" i="24"/>
  <c r="R2" i="24"/>
  <c r="O20" i="24"/>
  <c r="R3" i="24"/>
  <c r="P21" i="24"/>
  <c r="O21" i="24"/>
  <c r="P28" i="24"/>
  <c r="O28" i="24"/>
  <c r="R28" i="23"/>
  <c r="P2" i="23"/>
  <c r="R12" i="23"/>
  <c r="Q21" i="23"/>
  <c r="V3" i="23"/>
  <c r="Q20" i="23"/>
  <c r="V2" i="23"/>
  <c r="P3" i="23"/>
  <c r="R13" i="23"/>
  <c r="R24" i="23"/>
  <c r="Q28" i="23"/>
  <c r="Q29" i="23"/>
  <c r="R25" i="23"/>
  <c r="Q4" i="23"/>
  <c r="R20" i="23"/>
  <c r="W2" i="23" s="1"/>
  <c r="R16" i="23"/>
  <c r="Q24" i="23"/>
  <c r="Q25" i="23"/>
  <c r="R17" i="23"/>
  <c r="R21" i="23"/>
  <c r="W3" i="23" s="1"/>
  <c r="P24" i="22"/>
  <c r="Q13" i="22"/>
  <c r="Q3" i="22" s="1"/>
  <c r="O3" i="22" s="1"/>
  <c r="P16" i="22"/>
  <c r="Q12" i="22"/>
  <c r="Q2" i="22" s="1"/>
  <c r="O17" i="22"/>
  <c r="O25" i="22"/>
  <c r="P13" i="22"/>
  <c r="O16" i="22"/>
  <c r="P12" i="22"/>
  <c r="P17" i="22"/>
  <c r="O24" i="22"/>
  <c r="P25" i="22"/>
  <c r="V4" i="2"/>
  <c r="U4" i="2"/>
  <c r="G62" i="20"/>
  <c r="A62" i="20"/>
  <c r="G61" i="20"/>
  <c r="A61" i="20"/>
  <c r="G60" i="20"/>
  <c r="A60" i="20"/>
  <c r="G59" i="20"/>
  <c r="A59" i="20"/>
  <c r="G58" i="20"/>
  <c r="A58" i="20"/>
  <c r="G57" i="20"/>
  <c r="A57" i="20"/>
  <c r="G56" i="20"/>
  <c r="A56" i="20"/>
  <c r="G55" i="20"/>
  <c r="A55" i="20"/>
  <c r="G54" i="20"/>
  <c r="G53" i="20"/>
  <c r="G52" i="20"/>
  <c r="G51" i="20"/>
  <c r="G50" i="20"/>
  <c r="G49" i="20"/>
  <c r="G48" i="20"/>
  <c r="G47" i="20"/>
  <c r="G46" i="20"/>
  <c r="G45" i="20"/>
  <c r="G44" i="20"/>
  <c r="G43" i="20"/>
  <c r="G42" i="20"/>
  <c r="G41" i="20"/>
  <c r="G40" i="20"/>
  <c r="G39" i="20"/>
  <c r="G38" i="20"/>
  <c r="G37" i="20"/>
  <c r="G36" i="20"/>
  <c r="G35" i="20"/>
  <c r="G34" i="20"/>
  <c r="Q35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1" i="20"/>
  <c r="G10" i="20"/>
  <c r="G9" i="20"/>
  <c r="G8" i="20"/>
  <c r="G7" i="20"/>
  <c r="G6" i="20"/>
  <c r="G5" i="20"/>
  <c r="G4" i="20"/>
  <c r="G3" i="20"/>
  <c r="G2" i="20"/>
  <c r="X4" i="1"/>
  <c r="AD22" i="20"/>
  <c r="AC14" i="20"/>
  <c r="AC11" i="20"/>
  <c r="AD10" i="20"/>
  <c r="AC15" i="20"/>
  <c r="O13" i="20"/>
  <c r="AC22" i="20"/>
  <c r="AC10" i="20"/>
  <c r="AD11" i="20"/>
  <c r="AC23" i="20"/>
  <c r="AD23" i="20"/>
  <c r="AD14" i="20"/>
  <c r="O12" i="20"/>
  <c r="AD15" i="20"/>
  <c r="R8" i="24" l="1"/>
  <c r="R7" i="24"/>
  <c r="T4" i="25"/>
  <c r="W4" i="25"/>
  <c r="S4" i="25"/>
  <c r="T3" i="24"/>
  <c r="S3" i="24"/>
  <c r="R4" i="24"/>
  <c r="T2" i="24"/>
  <c r="S2" i="24"/>
  <c r="P20" i="23"/>
  <c r="R2" i="23"/>
  <c r="O20" i="23"/>
  <c r="P29" i="23"/>
  <c r="O29" i="23"/>
  <c r="P21" i="23"/>
  <c r="R3" i="23"/>
  <c r="O21" i="23"/>
  <c r="P28" i="23"/>
  <c r="O28" i="23"/>
  <c r="P4" i="23"/>
  <c r="R29" i="22"/>
  <c r="Q29" i="22"/>
  <c r="R25" i="22"/>
  <c r="Q4" i="22"/>
  <c r="Q24" i="22"/>
  <c r="Q20" i="22"/>
  <c r="Q28" i="22"/>
  <c r="R24" i="22"/>
  <c r="R13" i="22"/>
  <c r="P3" i="22"/>
  <c r="Q21" i="22"/>
  <c r="V3" i="22"/>
  <c r="O2" i="22"/>
  <c r="O4" i="22" s="1"/>
  <c r="V4" i="22" s="1"/>
  <c r="R21" i="22"/>
  <c r="W3" i="22" s="1"/>
  <c r="R17" i="22"/>
  <c r="Q25" i="22"/>
  <c r="P2" i="22"/>
  <c r="R12" i="22"/>
  <c r="R16" i="22"/>
  <c r="R20" i="22"/>
  <c r="W2" i="22" s="1"/>
  <c r="R28" i="22"/>
  <c r="O25" i="20"/>
  <c r="P13" i="20"/>
  <c r="O16" i="20"/>
  <c r="P24" i="20"/>
  <c r="P12" i="20"/>
  <c r="Q13" i="20"/>
  <c r="Q3" i="20" s="1"/>
  <c r="O3" i="20" s="1"/>
  <c r="P16" i="20"/>
  <c r="Q12" i="20"/>
  <c r="Q2" i="20" s="1"/>
  <c r="O17" i="20"/>
  <c r="P17" i="20"/>
  <c r="O24" i="20"/>
  <c r="P25" i="20"/>
  <c r="G62" i="19"/>
  <c r="A62" i="19"/>
  <c r="G61" i="19"/>
  <c r="A61" i="19"/>
  <c r="G60" i="19"/>
  <c r="A60" i="19"/>
  <c r="G59" i="19"/>
  <c r="A59" i="19"/>
  <c r="G58" i="19"/>
  <c r="A58" i="19"/>
  <c r="G57" i="19"/>
  <c r="A57" i="19"/>
  <c r="G56" i="19"/>
  <c r="A56" i="19"/>
  <c r="G55" i="19"/>
  <c r="A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Q35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AD10" i="19"/>
  <c r="AC14" i="19"/>
  <c r="AC11" i="19"/>
  <c r="AD22" i="19"/>
  <c r="O13" i="19"/>
  <c r="AC15" i="19"/>
  <c r="AC22" i="19"/>
  <c r="AD15" i="19"/>
  <c r="AD23" i="19"/>
  <c r="AD11" i="19"/>
  <c r="AC10" i="19"/>
  <c r="AC23" i="19"/>
  <c r="O12" i="19"/>
  <c r="AD14" i="19"/>
  <c r="P7" i="22" l="1"/>
  <c r="Q8" i="22"/>
  <c r="T4" i="24"/>
  <c r="W4" i="24"/>
  <c r="S4" i="24"/>
  <c r="S3" i="23"/>
  <c r="T3" i="23"/>
  <c r="R4" i="23"/>
  <c r="T2" i="23"/>
  <c r="S2" i="23"/>
  <c r="P4" i="22"/>
  <c r="R29" i="20"/>
  <c r="O20" i="22"/>
  <c r="R2" i="22"/>
  <c r="P20" i="22"/>
  <c r="P21" i="22"/>
  <c r="R3" i="22"/>
  <c r="O21" i="22"/>
  <c r="P29" i="22"/>
  <c r="O29" i="22"/>
  <c r="O28" i="22"/>
  <c r="P28" i="22"/>
  <c r="V2" i="22"/>
  <c r="Q4" i="20"/>
  <c r="R28" i="20"/>
  <c r="O2" i="20"/>
  <c r="O4" i="20" s="1"/>
  <c r="V4" i="20" s="1"/>
  <c r="R13" i="20"/>
  <c r="P3" i="20"/>
  <c r="R24" i="20"/>
  <c r="Q28" i="20"/>
  <c r="R16" i="20"/>
  <c r="R20" i="20"/>
  <c r="W2" i="20" s="1"/>
  <c r="Q24" i="20"/>
  <c r="Q25" i="20"/>
  <c r="R21" i="20"/>
  <c r="W3" i="20" s="1"/>
  <c r="R17" i="20"/>
  <c r="V3" i="20"/>
  <c r="Q21" i="20"/>
  <c r="R12" i="20"/>
  <c r="P2" i="20"/>
  <c r="Q20" i="20"/>
  <c r="R25" i="20"/>
  <c r="Q29" i="20"/>
  <c r="P13" i="19"/>
  <c r="O16" i="19"/>
  <c r="P12" i="19"/>
  <c r="Q12" i="19"/>
  <c r="Q2" i="19" s="1"/>
  <c r="O17" i="19"/>
  <c r="O25" i="19"/>
  <c r="P24" i="19"/>
  <c r="R28" i="19" s="1"/>
  <c r="O2" i="19"/>
  <c r="Q13" i="19"/>
  <c r="Q3" i="19" s="1"/>
  <c r="O3" i="19" s="1"/>
  <c r="P16" i="19"/>
  <c r="P17" i="19"/>
  <c r="O24" i="19"/>
  <c r="P25" i="19"/>
  <c r="R29" i="19" s="1"/>
  <c r="W4" i="1"/>
  <c r="V4" i="1"/>
  <c r="R8" i="22" l="1"/>
  <c r="R7" i="22"/>
  <c r="P4" i="20"/>
  <c r="W4" i="23"/>
  <c r="T4" i="23"/>
  <c r="S4" i="23"/>
  <c r="T2" i="22"/>
  <c r="R4" i="22"/>
  <c r="S2" i="22"/>
  <c r="T3" i="22"/>
  <c r="S3" i="22"/>
  <c r="V2" i="20"/>
  <c r="P29" i="20"/>
  <c r="O29" i="20"/>
  <c r="P21" i="20"/>
  <c r="R3" i="20"/>
  <c r="O21" i="20"/>
  <c r="O28" i="20"/>
  <c r="P28" i="20"/>
  <c r="O20" i="20"/>
  <c r="P20" i="20"/>
  <c r="R2" i="20"/>
  <c r="V2" i="19"/>
  <c r="Q20" i="19"/>
  <c r="R24" i="19"/>
  <c r="Q28" i="19"/>
  <c r="Q24" i="19"/>
  <c r="Q25" i="19"/>
  <c r="Q29" i="19"/>
  <c r="R25" i="19"/>
  <c r="O4" i="19"/>
  <c r="V4" i="19" s="1"/>
  <c r="V3" i="19"/>
  <c r="Q21" i="19"/>
  <c r="R13" i="19"/>
  <c r="P3" i="19"/>
  <c r="R21" i="19"/>
  <c r="W3" i="19" s="1"/>
  <c r="R17" i="19"/>
  <c r="Q4" i="19"/>
  <c r="R16" i="19"/>
  <c r="R20" i="19"/>
  <c r="W2" i="19" s="1"/>
  <c r="R12" i="19"/>
  <c r="P2" i="19"/>
  <c r="Q33" i="18"/>
  <c r="A55" i="18"/>
  <c r="G51" i="18"/>
  <c r="G52" i="18"/>
  <c r="G53" i="18"/>
  <c r="G54" i="18"/>
  <c r="G55" i="18"/>
  <c r="G62" i="18"/>
  <c r="A62" i="18"/>
  <c r="G61" i="18"/>
  <c r="A61" i="18"/>
  <c r="G60" i="18"/>
  <c r="A60" i="18"/>
  <c r="G59" i="18"/>
  <c r="A59" i="18"/>
  <c r="G58" i="18"/>
  <c r="A58" i="18"/>
  <c r="G57" i="18"/>
  <c r="A57" i="18"/>
  <c r="G56" i="18"/>
  <c r="A56" i="18"/>
  <c r="G50" i="18"/>
  <c r="G49" i="18"/>
  <c r="G48" i="18"/>
  <c r="G8" i="18"/>
  <c r="G7" i="18"/>
  <c r="G31" i="18"/>
  <c r="G29" i="18"/>
  <c r="G2" i="18"/>
  <c r="G3" i="18"/>
  <c r="G4" i="18"/>
  <c r="G41" i="18"/>
  <c r="G28" i="18"/>
  <c r="G13" i="18"/>
  <c r="G39" i="18"/>
  <c r="G19" i="18"/>
  <c r="G20" i="18"/>
  <c r="G21" i="18"/>
  <c r="G33" i="18"/>
  <c r="G15" i="18"/>
  <c r="G12" i="18"/>
  <c r="G14" i="18"/>
  <c r="G27" i="18"/>
  <c r="G5" i="18"/>
  <c r="G42" i="18"/>
  <c r="G10" i="18"/>
  <c r="G36" i="18"/>
  <c r="G16" i="18"/>
  <c r="G26" i="18"/>
  <c r="G6" i="18"/>
  <c r="G47" i="18"/>
  <c r="G46" i="18"/>
  <c r="G23" i="18"/>
  <c r="G40" i="18"/>
  <c r="G22" i="18"/>
  <c r="G18" i="18"/>
  <c r="G38" i="18"/>
  <c r="G35" i="18"/>
  <c r="G37" i="18"/>
  <c r="G17" i="18"/>
  <c r="G30" i="18"/>
  <c r="G11" i="18"/>
  <c r="G32" i="18"/>
  <c r="G9" i="18"/>
  <c r="G25" i="18"/>
  <c r="G43" i="18"/>
  <c r="G44" i="18"/>
  <c r="G45" i="18"/>
  <c r="G24" i="18"/>
  <c r="G34" i="18"/>
  <c r="AC10" i="18"/>
  <c r="AD23" i="18"/>
  <c r="AC22" i="18"/>
  <c r="AC23" i="18"/>
  <c r="AC15" i="18"/>
  <c r="AC14" i="18"/>
  <c r="AD15" i="18"/>
  <c r="AD14" i="18"/>
  <c r="AD10" i="18"/>
  <c r="AD22" i="18"/>
  <c r="AD11" i="18"/>
  <c r="AC11" i="18"/>
  <c r="O10" i="18"/>
  <c r="O11" i="18"/>
  <c r="S4" i="22" l="1"/>
  <c r="W4" i="22"/>
  <c r="T4" i="22"/>
  <c r="O29" i="19"/>
  <c r="R4" i="20"/>
  <c r="T2" i="20"/>
  <c r="S2" i="20"/>
  <c r="T3" i="20"/>
  <c r="S3" i="20"/>
  <c r="P4" i="19"/>
  <c r="P29" i="19"/>
  <c r="R3" i="19"/>
  <c r="O21" i="19"/>
  <c r="P21" i="19"/>
  <c r="O28" i="19"/>
  <c r="P28" i="19"/>
  <c r="O20" i="19"/>
  <c r="P20" i="19"/>
  <c r="R2" i="19"/>
  <c r="P10" i="18"/>
  <c r="Q11" i="18"/>
  <c r="Q3" i="18" s="1"/>
  <c r="O3" i="18" s="1"/>
  <c r="P14" i="18"/>
  <c r="P22" i="18"/>
  <c r="Q10" i="18"/>
  <c r="Q2" i="18" s="1"/>
  <c r="O2" i="18" s="1"/>
  <c r="O15" i="18"/>
  <c r="O23" i="18"/>
  <c r="P11" i="18"/>
  <c r="O14" i="18"/>
  <c r="P15" i="18"/>
  <c r="O22" i="18"/>
  <c r="P23" i="18"/>
  <c r="T4" i="2"/>
  <c r="G2" i="16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A47" i="16"/>
  <c r="S4" i="20" l="1"/>
  <c r="W4" i="20"/>
  <c r="T4" i="20"/>
  <c r="T3" i="19"/>
  <c r="S3" i="19"/>
  <c r="R4" i="19"/>
  <c r="T2" i="19"/>
  <c r="S2" i="19"/>
  <c r="R27" i="18"/>
  <c r="R26" i="18"/>
  <c r="O4" i="18"/>
  <c r="V4" i="18" s="1"/>
  <c r="R11" i="18"/>
  <c r="P3" i="18"/>
  <c r="R22" i="18"/>
  <c r="Q26" i="18"/>
  <c r="Q27" i="18"/>
  <c r="R23" i="18"/>
  <c r="Q23" i="18"/>
  <c r="P2" i="18"/>
  <c r="R10" i="18"/>
  <c r="R19" i="18"/>
  <c r="W3" i="18" s="1"/>
  <c r="R15" i="18"/>
  <c r="V3" i="18"/>
  <c r="Q19" i="18"/>
  <c r="V2" i="18"/>
  <c r="Q18" i="18"/>
  <c r="Q4" i="18"/>
  <c r="R14" i="18"/>
  <c r="R18" i="18"/>
  <c r="W2" i="18" s="1"/>
  <c r="Q22" i="18"/>
  <c r="G57" i="17"/>
  <c r="A57" i="17"/>
  <c r="G56" i="17"/>
  <c r="A56" i="17"/>
  <c r="G55" i="17"/>
  <c r="A55" i="17"/>
  <c r="G54" i="17"/>
  <c r="A54" i="17"/>
  <c r="G53" i="17"/>
  <c r="A53" i="17"/>
  <c r="G52" i="17"/>
  <c r="A52" i="17"/>
  <c r="G51" i="17"/>
  <c r="A51" i="17"/>
  <c r="G50" i="17"/>
  <c r="A50" i="17"/>
  <c r="G49" i="17"/>
  <c r="A49" i="17"/>
  <c r="G48" i="17"/>
  <c r="A48" i="17"/>
  <c r="G47" i="17"/>
  <c r="G46" i="17"/>
  <c r="G45" i="17"/>
  <c r="G44" i="17"/>
  <c r="G43" i="17"/>
  <c r="G42" i="17"/>
  <c r="G41" i="17"/>
  <c r="G40" i="17"/>
  <c r="G39" i="17"/>
  <c r="G38" i="17"/>
  <c r="G37" i="17"/>
  <c r="G36" i="17"/>
  <c r="G35" i="17"/>
  <c r="G34" i="17"/>
  <c r="G33" i="17"/>
  <c r="G32" i="17"/>
  <c r="G31" i="17"/>
  <c r="G30" i="17"/>
  <c r="G29" i="17"/>
  <c r="G28" i="17"/>
  <c r="G27" i="17"/>
  <c r="G26" i="17"/>
  <c r="G25" i="17"/>
  <c r="G24" i="17"/>
  <c r="G23" i="17"/>
  <c r="G22" i="17"/>
  <c r="G21" i="17"/>
  <c r="G20" i="17"/>
  <c r="G19" i="17"/>
  <c r="G18" i="17"/>
  <c r="G17" i="17"/>
  <c r="G16" i="17"/>
  <c r="G15" i="17"/>
  <c r="G14" i="17"/>
  <c r="G13" i="17"/>
  <c r="G12" i="17"/>
  <c r="G11" i="17"/>
  <c r="G10" i="17"/>
  <c r="G9" i="17"/>
  <c r="G8" i="17"/>
  <c r="G7" i="17"/>
  <c r="G6" i="17"/>
  <c r="G5" i="17"/>
  <c r="G4" i="17"/>
  <c r="G3" i="17"/>
  <c r="G2" i="17"/>
  <c r="AD22" i="17"/>
  <c r="AC14" i="17"/>
  <c r="AD10" i="17"/>
  <c r="AC23" i="17"/>
  <c r="AD15" i="17"/>
  <c r="AC11" i="17"/>
  <c r="AD11" i="17"/>
  <c r="AC10" i="17"/>
  <c r="O10" i="17"/>
  <c r="AC15" i="17"/>
  <c r="O11" i="17"/>
  <c r="AD14" i="17"/>
  <c r="AD23" i="17"/>
  <c r="AC22" i="17"/>
  <c r="S4" i="19" l="1"/>
  <c r="W4" i="19"/>
  <c r="T4" i="19"/>
  <c r="O26" i="18"/>
  <c r="P26" i="18"/>
  <c r="O18" i="18"/>
  <c r="P18" i="18"/>
  <c r="R2" i="18"/>
  <c r="O27" i="18"/>
  <c r="P27" i="18"/>
  <c r="R3" i="18"/>
  <c r="O19" i="18"/>
  <c r="P19" i="18"/>
  <c r="P4" i="18"/>
  <c r="Q10" i="17"/>
  <c r="Q2" i="17" s="1"/>
  <c r="O15" i="17"/>
  <c r="O23" i="17"/>
  <c r="P10" i="17"/>
  <c r="P14" i="17"/>
  <c r="P15" i="17"/>
  <c r="O22" i="17"/>
  <c r="P23" i="17"/>
  <c r="Q11" i="17"/>
  <c r="Q3" i="17" s="1"/>
  <c r="O3" i="17" s="1"/>
  <c r="P11" i="17"/>
  <c r="O14" i="17"/>
  <c r="P22" i="17"/>
  <c r="R26" i="17" s="1"/>
  <c r="U4" i="1"/>
  <c r="S4" i="2"/>
  <c r="G57" i="16"/>
  <c r="A57" i="16"/>
  <c r="G56" i="16"/>
  <c r="A56" i="16"/>
  <c r="G55" i="16"/>
  <c r="A55" i="16"/>
  <c r="G54" i="16"/>
  <c r="A54" i="16"/>
  <c r="G53" i="16"/>
  <c r="A53" i="16"/>
  <c r="G52" i="16"/>
  <c r="A52" i="16"/>
  <c r="G51" i="16"/>
  <c r="A51" i="16"/>
  <c r="G50" i="16"/>
  <c r="A50" i="16"/>
  <c r="G49" i="16"/>
  <c r="A49" i="16"/>
  <c r="G48" i="16"/>
  <c r="A48" i="16"/>
  <c r="G47" i="16"/>
  <c r="G46" i="16"/>
  <c r="G45" i="16"/>
  <c r="G44" i="16"/>
  <c r="G43" i="16"/>
  <c r="G42" i="16"/>
  <c r="G41" i="16"/>
  <c r="AD11" i="16"/>
  <c r="O11" i="16"/>
  <c r="AC10" i="16"/>
  <c r="AC15" i="16"/>
  <c r="AD22" i="16"/>
  <c r="AC22" i="16"/>
  <c r="AC14" i="16"/>
  <c r="AD10" i="16"/>
  <c r="AD15" i="16"/>
  <c r="AC11" i="16"/>
  <c r="O10" i="16"/>
  <c r="AD14" i="16"/>
  <c r="AC23" i="16"/>
  <c r="AD23" i="16"/>
  <c r="T3" i="18" l="1"/>
  <c r="S3" i="18"/>
  <c r="R4" i="18"/>
  <c r="S2" i="18"/>
  <c r="T2" i="18"/>
  <c r="Q23" i="17"/>
  <c r="V3" i="17"/>
  <c r="Q19" i="17"/>
  <c r="Q18" i="17"/>
  <c r="R14" i="17"/>
  <c r="R18" i="17"/>
  <c r="W2" i="17" s="1"/>
  <c r="Q4" i="17"/>
  <c r="R11" i="17"/>
  <c r="P3" i="17"/>
  <c r="R27" i="17"/>
  <c r="R10" i="17"/>
  <c r="P2" i="17"/>
  <c r="Q22" i="17"/>
  <c r="R15" i="17"/>
  <c r="R19" i="17"/>
  <c r="W3" i="17" s="1"/>
  <c r="Q26" i="17"/>
  <c r="R22" i="17"/>
  <c r="R23" i="17"/>
  <c r="Q27" i="17"/>
  <c r="O2" i="17"/>
  <c r="O4" i="17" s="1"/>
  <c r="V4" i="17" s="1"/>
  <c r="P10" i="16"/>
  <c r="Q11" i="16"/>
  <c r="Q3" i="16" s="1"/>
  <c r="O3" i="16" s="1"/>
  <c r="P14" i="16"/>
  <c r="Q10" i="16"/>
  <c r="Q2" i="16" s="1"/>
  <c r="P15" i="16"/>
  <c r="O22" i="16"/>
  <c r="P23" i="16"/>
  <c r="O15" i="16"/>
  <c r="O23" i="16"/>
  <c r="P11" i="16"/>
  <c r="O14" i="16"/>
  <c r="P22" i="16"/>
  <c r="R4" i="2"/>
  <c r="Q4" i="2"/>
  <c r="P4" i="2"/>
  <c r="T4" i="1"/>
  <c r="S4" i="1"/>
  <c r="R4" i="1"/>
  <c r="S4" i="18" l="1"/>
  <c r="W4" i="18"/>
  <c r="T4" i="18"/>
  <c r="P4" i="17"/>
  <c r="V2" i="17"/>
  <c r="O27" i="17"/>
  <c r="P27" i="17"/>
  <c r="P26" i="17"/>
  <c r="O26" i="17"/>
  <c r="O19" i="17"/>
  <c r="P19" i="17"/>
  <c r="R3" i="17"/>
  <c r="P18" i="17"/>
  <c r="R2" i="17"/>
  <c r="O18" i="17"/>
  <c r="Q4" i="16"/>
  <c r="Q22" i="16"/>
  <c r="Q23" i="16"/>
  <c r="R26" i="16"/>
  <c r="R27" i="16"/>
  <c r="R18" i="16"/>
  <c r="W2" i="16" s="1"/>
  <c r="R14" i="16"/>
  <c r="Q18" i="16"/>
  <c r="Q27" i="16"/>
  <c r="R23" i="16"/>
  <c r="P3" i="16"/>
  <c r="R11" i="16"/>
  <c r="V3" i="16"/>
  <c r="Q19" i="16"/>
  <c r="R22" i="16"/>
  <c r="Q26" i="16"/>
  <c r="O2" i="16"/>
  <c r="O4" i="16" s="1"/>
  <c r="V4" i="16" s="1"/>
  <c r="R19" i="16"/>
  <c r="W3" i="16" s="1"/>
  <c r="R15" i="16"/>
  <c r="R10" i="16"/>
  <c r="P2" i="16"/>
  <c r="G24" i="14"/>
  <c r="G23" i="14"/>
  <c r="G22" i="14"/>
  <c r="G21" i="14"/>
  <c r="G20" i="14"/>
  <c r="G19" i="14"/>
  <c r="G18" i="14"/>
  <c r="G17" i="14"/>
  <c r="G16" i="14"/>
  <c r="G15" i="14"/>
  <c r="G14" i="14"/>
  <c r="G13" i="14"/>
  <c r="G12" i="14"/>
  <c r="G11" i="14"/>
  <c r="G10" i="14"/>
  <c r="G9" i="14"/>
  <c r="G8" i="14"/>
  <c r="G7" i="14"/>
  <c r="G6" i="14"/>
  <c r="G5" i="14"/>
  <c r="G4" i="14"/>
  <c r="G3" i="14"/>
  <c r="G2" i="14"/>
  <c r="G45" i="14"/>
  <c r="G44" i="14"/>
  <c r="G43" i="14"/>
  <c r="G42" i="14"/>
  <c r="G41" i="14"/>
  <c r="G40" i="14"/>
  <c r="G39" i="14"/>
  <c r="G38" i="14"/>
  <c r="G37" i="14"/>
  <c r="G36" i="14"/>
  <c r="G35" i="14"/>
  <c r="G34" i="14"/>
  <c r="G33" i="14"/>
  <c r="G32" i="14"/>
  <c r="G31" i="14"/>
  <c r="G30" i="14"/>
  <c r="G29" i="14"/>
  <c r="G28" i="14"/>
  <c r="G27" i="14"/>
  <c r="G26" i="14"/>
  <c r="G25" i="14"/>
  <c r="G57" i="15"/>
  <c r="A57" i="15"/>
  <c r="G56" i="15"/>
  <c r="A56" i="15"/>
  <c r="G55" i="15"/>
  <c r="A55" i="15"/>
  <c r="G54" i="15"/>
  <c r="A54" i="15"/>
  <c r="G53" i="15"/>
  <c r="A53" i="15"/>
  <c r="G52" i="15"/>
  <c r="A52" i="15"/>
  <c r="G51" i="15"/>
  <c r="A51" i="15"/>
  <c r="G50" i="15"/>
  <c r="A50" i="15"/>
  <c r="G49" i="15"/>
  <c r="A49" i="15"/>
  <c r="G48" i="15"/>
  <c r="A48" i="15"/>
  <c r="G47" i="15"/>
  <c r="A47" i="15"/>
  <c r="G46" i="15"/>
  <c r="G2" i="15"/>
  <c r="G3" i="15"/>
  <c r="G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3" i="15"/>
  <c r="G24" i="15"/>
  <c r="G25" i="15"/>
  <c r="G26" i="15"/>
  <c r="G27" i="15"/>
  <c r="G28" i="15"/>
  <c r="G29" i="15"/>
  <c r="G30" i="15"/>
  <c r="G31" i="15"/>
  <c r="G32" i="15"/>
  <c r="G33" i="15"/>
  <c r="G34" i="15"/>
  <c r="G35" i="15"/>
  <c r="G36" i="15"/>
  <c r="G37" i="15"/>
  <c r="G38" i="15"/>
  <c r="G39" i="15"/>
  <c r="G40" i="15"/>
  <c r="G41" i="15"/>
  <c r="G22" i="15"/>
  <c r="G21" i="15"/>
  <c r="G42" i="15"/>
  <c r="G43" i="15"/>
  <c r="G44" i="15"/>
  <c r="G45" i="15"/>
  <c r="O10" i="15"/>
  <c r="O11" i="15"/>
  <c r="AD14" i="15"/>
  <c r="AD10" i="15"/>
  <c r="AC22" i="15"/>
  <c r="AC14" i="15"/>
  <c r="AD15" i="15"/>
  <c r="AC10" i="15"/>
  <c r="AD23" i="15"/>
  <c r="AD22" i="15"/>
  <c r="AC11" i="15"/>
  <c r="AC15" i="15"/>
  <c r="AC23" i="15"/>
  <c r="AD11" i="15"/>
  <c r="T3" i="17" l="1"/>
  <c r="S3" i="17"/>
  <c r="S2" i="17"/>
  <c r="R4" i="17"/>
  <c r="T2" i="17"/>
  <c r="V2" i="16"/>
  <c r="P26" i="16"/>
  <c r="O26" i="16"/>
  <c r="P4" i="16"/>
  <c r="O27" i="16"/>
  <c r="P27" i="16"/>
  <c r="P18" i="16"/>
  <c r="R2" i="16"/>
  <c r="O18" i="16"/>
  <c r="O19" i="16"/>
  <c r="P19" i="16"/>
  <c r="R3" i="16"/>
  <c r="P10" i="15"/>
  <c r="P11" i="15"/>
  <c r="P14" i="15"/>
  <c r="Q10" i="15"/>
  <c r="Q2" i="15" s="1"/>
  <c r="Q11" i="15"/>
  <c r="Q3" i="15" s="1"/>
  <c r="O15" i="15"/>
  <c r="O22" i="15"/>
  <c r="O23" i="15"/>
  <c r="O3" i="15"/>
  <c r="O14" i="15"/>
  <c r="P15" i="15"/>
  <c r="P22" i="15"/>
  <c r="P23" i="15"/>
  <c r="G57" i="14"/>
  <c r="A57" i="14"/>
  <c r="G56" i="14"/>
  <c r="A56" i="14"/>
  <c r="G55" i="14"/>
  <c r="A55" i="14"/>
  <c r="G54" i="14"/>
  <c r="A54" i="14"/>
  <c r="G53" i="14"/>
  <c r="A53" i="14"/>
  <c r="G52" i="14"/>
  <c r="A52" i="14"/>
  <c r="G51" i="14"/>
  <c r="A51" i="14"/>
  <c r="G50" i="14"/>
  <c r="A50" i="14"/>
  <c r="G49" i="14"/>
  <c r="A49" i="14"/>
  <c r="G48" i="14"/>
  <c r="A48" i="14"/>
  <c r="G47" i="14"/>
  <c r="A47" i="14"/>
  <c r="G46" i="14"/>
  <c r="A46" i="14"/>
  <c r="A24" i="14"/>
  <c r="A25" i="14"/>
  <c r="A26" i="14"/>
  <c r="A27" i="14"/>
  <c r="A28" i="14"/>
  <c r="A29" i="14"/>
  <c r="A30" i="14"/>
  <c r="A31" i="14"/>
  <c r="A32" i="14"/>
  <c r="A33" i="14"/>
  <c r="A34" i="14"/>
  <c r="A35" i="14"/>
  <c r="A36" i="14"/>
  <c r="A37" i="14"/>
  <c r="A38" i="14"/>
  <c r="A39" i="14"/>
  <c r="A40" i="14"/>
  <c r="A41" i="14"/>
  <c r="A42" i="14"/>
  <c r="A43" i="14"/>
  <c r="A44" i="14"/>
  <c r="A45" i="14"/>
  <c r="A2" i="14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D10" i="14"/>
  <c r="AD14" i="14"/>
  <c r="AC10" i="14"/>
  <c r="AC11" i="14"/>
  <c r="AD22" i="14"/>
  <c r="AD15" i="14"/>
  <c r="O11" i="14"/>
  <c r="AD11" i="14"/>
  <c r="AD23" i="14"/>
  <c r="AC15" i="14"/>
  <c r="AC22" i="14"/>
  <c r="AC14" i="14"/>
  <c r="O10" i="14"/>
  <c r="AC23" i="14"/>
  <c r="T4" i="17" l="1"/>
  <c r="S4" i="17"/>
  <c r="W4" i="17"/>
  <c r="T3" i="16"/>
  <c r="S3" i="16"/>
  <c r="R4" i="16"/>
  <c r="T2" i="16"/>
  <c r="S2" i="16"/>
  <c r="Q4" i="15"/>
  <c r="R27" i="15"/>
  <c r="R26" i="15"/>
  <c r="Q23" i="15"/>
  <c r="Q26" i="15"/>
  <c r="R22" i="15"/>
  <c r="R14" i="15"/>
  <c r="R18" i="15"/>
  <c r="W2" i="15" s="1"/>
  <c r="R19" i="15"/>
  <c r="W3" i="15" s="1"/>
  <c r="R15" i="15"/>
  <c r="O2" i="15"/>
  <c r="O4" i="15" s="1"/>
  <c r="V4" i="15" s="1"/>
  <c r="V3" i="15"/>
  <c r="Q19" i="15"/>
  <c r="R11" i="15"/>
  <c r="P3" i="15"/>
  <c r="Q27" i="15"/>
  <c r="R23" i="15"/>
  <c r="Q18" i="15"/>
  <c r="V2" i="15"/>
  <c r="Q22" i="15"/>
  <c r="R10" i="15"/>
  <c r="P2" i="15"/>
  <c r="Q10" i="14"/>
  <c r="Q2" i="14" s="1"/>
  <c r="O2" i="14" s="1"/>
  <c r="Q11" i="14"/>
  <c r="Q3" i="14" s="1"/>
  <c r="O3" i="14" s="1"/>
  <c r="P14" i="14"/>
  <c r="O15" i="14"/>
  <c r="O22" i="14"/>
  <c r="O23" i="14"/>
  <c r="P10" i="14"/>
  <c r="P11" i="14"/>
  <c r="O14" i="14"/>
  <c r="P15" i="14"/>
  <c r="P22" i="14"/>
  <c r="R26" i="14" s="1"/>
  <c r="P23" i="14"/>
  <c r="A30" i="13"/>
  <c r="G30" i="13"/>
  <c r="A29" i="13"/>
  <c r="G29" i="13"/>
  <c r="A28" i="13"/>
  <c r="G28" i="13"/>
  <c r="A50" i="13"/>
  <c r="G50" i="13"/>
  <c r="T4" i="16" l="1"/>
  <c r="S4" i="16"/>
  <c r="W4" i="16"/>
  <c r="R27" i="14"/>
  <c r="P4" i="15"/>
  <c r="O19" i="15"/>
  <c r="R3" i="15"/>
  <c r="P19" i="15"/>
  <c r="P26" i="15"/>
  <c r="O26" i="15"/>
  <c r="P18" i="15"/>
  <c r="R2" i="15"/>
  <c r="O18" i="15"/>
  <c r="P27" i="15"/>
  <c r="O27" i="15"/>
  <c r="O4" i="14"/>
  <c r="V4" i="14" s="1"/>
  <c r="Q22" i="14"/>
  <c r="R10" i="14"/>
  <c r="P2" i="14"/>
  <c r="R14" i="14"/>
  <c r="R18" i="14"/>
  <c r="W2" i="14" s="1"/>
  <c r="Q27" i="14"/>
  <c r="R23" i="14"/>
  <c r="Q23" i="14"/>
  <c r="R11" i="14"/>
  <c r="P3" i="14"/>
  <c r="V3" i="14"/>
  <c r="Q19" i="14"/>
  <c r="R19" i="14"/>
  <c r="W3" i="14" s="1"/>
  <c r="R15" i="14"/>
  <c r="V2" i="14"/>
  <c r="Q18" i="14"/>
  <c r="Q26" i="14"/>
  <c r="R22" i="14"/>
  <c r="Q4" i="14"/>
  <c r="A56" i="13"/>
  <c r="A57" i="13"/>
  <c r="G56" i="13"/>
  <c r="G57" i="13"/>
  <c r="A55" i="13"/>
  <c r="G55" i="13"/>
  <c r="G21" i="13"/>
  <c r="G22" i="13"/>
  <c r="G23" i="13"/>
  <c r="G24" i="13"/>
  <c r="G25" i="13"/>
  <c r="G26" i="13"/>
  <c r="G27" i="13"/>
  <c r="T3" i="15" l="1"/>
  <c r="S3" i="15"/>
  <c r="R4" i="15"/>
  <c r="T2" i="15"/>
  <c r="S2" i="15"/>
  <c r="P18" i="14"/>
  <c r="R2" i="14"/>
  <c r="O18" i="14"/>
  <c r="P26" i="14"/>
  <c r="O26" i="14"/>
  <c r="P19" i="14"/>
  <c r="R3" i="14"/>
  <c r="O19" i="14"/>
  <c r="P4" i="14"/>
  <c r="O27" i="14"/>
  <c r="P27" i="14"/>
  <c r="A27" i="13"/>
  <c r="A26" i="13"/>
  <c r="A25" i="13"/>
  <c r="A24" i="13"/>
  <c r="A23" i="13"/>
  <c r="A22" i="13"/>
  <c r="A21" i="13"/>
  <c r="G2" i="13"/>
  <c r="A2" i="13"/>
  <c r="G3" i="13"/>
  <c r="A3" i="13"/>
  <c r="G4" i="13"/>
  <c r="A4" i="13"/>
  <c r="G5" i="13"/>
  <c r="A5" i="13"/>
  <c r="G6" i="13"/>
  <c r="A6" i="13"/>
  <c r="G7" i="13"/>
  <c r="A7" i="13"/>
  <c r="G8" i="13"/>
  <c r="A8" i="13"/>
  <c r="G9" i="13"/>
  <c r="A9" i="13"/>
  <c r="G10" i="13"/>
  <c r="A10" i="13"/>
  <c r="G11" i="13"/>
  <c r="A11" i="13"/>
  <c r="G12" i="13"/>
  <c r="A12" i="13"/>
  <c r="G13" i="13"/>
  <c r="A13" i="13"/>
  <c r="G14" i="13"/>
  <c r="A14" i="13"/>
  <c r="G15" i="13"/>
  <c r="A15" i="13"/>
  <c r="G16" i="13"/>
  <c r="A16" i="13"/>
  <c r="G17" i="13"/>
  <c r="A17" i="13"/>
  <c r="G18" i="13"/>
  <c r="A18" i="13"/>
  <c r="G19" i="13"/>
  <c r="A19" i="13"/>
  <c r="G20" i="13"/>
  <c r="A20" i="13"/>
  <c r="G31" i="13"/>
  <c r="A31" i="13"/>
  <c r="G32" i="13"/>
  <c r="A32" i="13"/>
  <c r="G33" i="13"/>
  <c r="A33" i="13"/>
  <c r="G34" i="13"/>
  <c r="A34" i="13"/>
  <c r="G35" i="13"/>
  <c r="A35" i="13"/>
  <c r="G36" i="13"/>
  <c r="A36" i="13"/>
  <c r="G37" i="13"/>
  <c r="A37" i="13"/>
  <c r="G38" i="13"/>
  <c r="A38" i="13"/>
  <c r="G39" i="13"/>
  <c r="A39" i="13"/>
  <c r="G40" i="13"/>
  <c r="A40" i="13"/>
  <c r="G41" i="13"/>
  <c r="A41" i="13"/>
  <c r="G42" i="13"/>
  <c r="A42" i="13"/>
  <c r="G43" i="13"/>
  <c r="A43" i="13"/>
  <c r="G44" i="13"/>
  <c r="A44" i="13"/>
  <c r="G45" i="13"/>
  <c r="A45" i="13"/>
  <c r="G46" i="13"/>
  <c r="A46" i="13"/>
  <c r="G47" i="13"/>
  <c r="A47" i="13"/>
  <c r="G48" i="13"/>
  <c r="A48" i="13"/>
  <c r="G49" i="13"/>
  <c r="A49" i="13"/>
  <c r="G51" i="13"/>
  <c r="A51" i="13"/>
  <c r="G52" i="13"/>
  <c r="A52" i="13"/>
  <c r="G53" i="13"/>
  <c r="A53" i="13"/>
  <c r="G54" i="13"/>
  <c r="A54" i="13"/>
  <c r="AC23" i="13"/>
  <c r="AC11" i="13"/>
  <c r="AD10" i="13"/>
  <c r="AD23" i="13"/>
  <c r="O11" i="13"/>
  <c r="AC14" i="13"/>
  <c r="AC22" i="13"/>
  <c r="AD15" i="13"/>
  <c r="AC15" i="13"/>
  <c r="AD14" i="13"/>
  <c r="AC10" i="13"/>
  <c r="AD11" i="13"/>
  <c r="AD22" i="13"/>
  <c r="O10" i="13"/>
  <c r="W4" i="15" l="1"/>
  <c r="T4" i="15"/>
  <c r="S4" i="15"/>
  <c r="T3" i="14"/>
  <c r="S3" i="14"/>
  <c r="R4" i="14"/>
  <c r="S2" i="14"/>
  <c r="T2" i="14"/>
  <c r="P14" i="13"/>
  <c r="O22" i="13"/>
  <c r="Q26" i="13" s="1"/>
  <c r="O14" i="13"/>
  <c r="Q18" i="13" s="1"/>
  <c r="O23" i="13"/>
  <c r="Q27" i="13" s="1"/>
  <c r="O15" i="13"/>
  <c r="Q19" i="13" s="1"/>
  <c r="P22" i="13"/>
  <c r="P11" i="13"/>
  <c r="P3" i="13" s="1"/>
  <c r="P15" i="13"/>
  <c r="R19" i="13" s="1"/>
  <c r="P23" i="13"/>
  <c r="R22" i="13"/>
  <c r="P10" i="13"/>
  <c r="Q10" i="13"/>
  <c r="Q11" i="13"/>
  <c r="T11" i="11"/>
  <c r="T10" i="11"/>
  <c r="W4" i="14" l="1"/>
  <c r="T4" i="14"/>
  <c r="S4" i="14"/>
  <c r="R26" i="13"/>
  <c r="R15" i="13"/>
  <c r="O19" i="13" s="1"/>
  <c r="R11" i="13"/>
  <c r="R18" i="13"/>
  <c r="W2" i="13" s="1"/>
  <c r="R14" i="13"/>
  <c r="R2" i="13" s="1"/>
  <c r="R23" i="13"/>
  <c r="O27" i="13" s="1"/>
  <c r="W3" i="13"/>
  <c r="R27" i="13"/>
  <c r="P2" i="13"/>
  <c r="P4" i="13" s="1"/>
  <c r="R10" i="13"/>
  <c r="P26" i="13" s="1"/>
  <c r="O26" i="13"/>
  <c r="Q3" i="13"/>
  <c r="O3" i="13" s="1"/>
  <c r="V3" i="13" s="1"/>
  <c r="Q23" i="13"/>
  <c r="Q2" i="13"/>
  <c r="O2" i="13" s="1"/>
  <c r="Q22" i="13"/>
  <c r="P19" i="13"/>
  <c r="Q10" i="11"/>
  <c r="Q11" i="11"/>
  <c r="Q4" i="1"/>
  <c r="R3" i="13" l="1"/>
  <c r="T3" i="13" s="1"/>
  <c r="P27" i="13"/>
  <c r="O18" i="13"/>
  <c r="P18" i="13"/>
  <c r="Q4" i="13"/>
  <c r="S3" i="13"/>
  <c r="R4" i="13"/>
  <c r="S2" i="13"/>
  <c r="T2" i="13"/>
  <c r="O4" i="13"/>
  <c r="V4" i="13" s="1"/>
  <c r="V2" i="13"/>
  <c r="A49" i="11"/>
  <c r="G49" i="11"/>
  <c r="G25" i="11"/>
  <c r="G24" i="11"/>
  <c r="G23" i="11"/>
  <c r="A3" i="11"/>
  <c r="G3" i="11"/>
  <c r="A24" i="11"/>
  <c r="A25" i="11"/>
  <c r="A23" i="11"/>
  <c r="A37" i="11"/>
  <c r="A47" i="11"/>
  <c r="G37" i="11"/>
  <c r="G47" i="11"/>
  <c r="W4" i="13" l="1"/>
  <c r="T4" i="13"/>
  <c r="S4" i="13"/>
  <c r="O4" i="2"/>
  <c r="A10" i="10" l="1"/>
  <c r="G10" i="10"/>
  <c r="P4" i="1"/>
  <c r="G35" i="11"/>
  <c r="A35" i="11"/>
  <c r="G31" i="11"/>
  <c r="A31" i="11"/>
  <c r="G26" i="11"/>
  <c r="A26" i="11"/>
  <c r="G27" i="11"/>
  <c r="A27" i="11"/>
  <c r="G28" i="11"/>
  <c r="A28" i="11"/>
  <c r="G29" i="11"/>
  <c r="A29" i="11"/>
  <c r="G30" i="11"/>
  <c r="A30" i="11"/>
  <c r="G32" i="11"/>
  <c r="A32" i="11"/>
  <c r="G33" i="11"/>
  <c r="A33" i="11"/>
  <c r="G34" i="11"/>
  <c r="A34" i="11"/>
  <c r="G36" i="11"/>
  <c r="A36" i="11"/>
  <c r="G38" i="11"/>
  <c r="A38" i="11"/>
  <c r="G39" i="11"/>
  <c r="A39" i="11"/>
  <c r="G40" i="11"/>
  <c r="A40" i="11"/>
  <c r="G41" i="11"/>
  <c r="A41" i="11"/>
  <c r="G42" i="11"/>
  <c r="A42" i="11"/>
  <c r="G43" i="11"/>
  <c r="A43" i="11"/>
  <c r="G44" i="11"/>
  <c r="A44" i="11"/>
  <c r="G45" i="11"/>
  <c r="A45" i="11"/>
  <c r="G46" i="11"/>
  <c r="A46" i="11"/>
  <c r="G48" i="11"/>
  <c r="A48" i="11"/>
  <c r="G50" i="11"/>
  <c r="A50" i="11"/>
  <c r="G2" i="11"/>
  <c r="A2" i="11"/>
  <c r="G4" i="11"/>
  <c r="A4" i="11"/>
  <c r="G5" i="11"/>
  <c r="A5" i="11"/>
  <c r="G6" i="11"/>
  <c r="A6" i="11"/>
  <c r="G7" i="11"/>
  <c r="A7" i="11"/>
  <c r="G8" i="11"/>
  <c r="A8" i="11"/>
  <c r="G9" i="11"/>
  <c r="A9" i="11"/>
  <c r="G10" i="11"/>
  <c r="A10" i="11"/>
  <c r="G11" i="11"/>
  <c r="A11" i="11"/>
  <c r="G12" i="11"/>
  <c r="A12" i="11"/>
  <c r="G13" i="11"/>
  <c r="A13" i="11"/>
  <c r="G14" i="11"/>
  <c r="A14" i="11"/>
  <c r="G15" i="11"/>
  <c r="A15" i="11"/>
  <c r="G16" i="11"/>
  <c r="A16" i="11"/>
  <c r="G17" i="11"/>
  <c r="A17" i="11"/>
  <c r="G18" i="11"/>
  <c r="A18" i="11"/>
  <c r="G19" i="11"/>
  <c r="A19" i="11"/>
  <c r="G20" i="11"/>
  <c r="A20" i="11"/>
  <c r="G21" i="11"/>
  <c r="A21" i="11"/>
  <c r="G22" i="11"/>
  <c r="A22" i="11"/>
  <c r="P14" i="11"/>
  <c r="O23" i="11"/>
  <c r="O15" i="11"/>
  <c r="O10" i="11"/>
  <c r="O11" i="11"/>
  <c r="P10" i="11"/>
  <c r="P23" i="11"/>
  <c r="O22" i="11"/>
  <c r="P11" i="11"/>
  <c r="P15" i="11"/>
  <c r="P22" i="11"/>
  <c r="O14" i="11"/>
  <c r="Q22" i="11" l="1"/>
  <c r="Q18" i="11"/>
  <c r="R10" i="11"/>
  <c r="P2" i="11"/>
  <c r="R14" i="11"/>
  <c r="R18" i="11"/>
  <c r="W2" i="11" s="1"/>
  <c r="Q19" i="11"/>
  <c r="R27" i="11"/>
  <c r="R23" i="11"/>
  <c r="Q3" i="11"/>
  <c r="O3" i="11" s="1"/>
  <c r="V3" i="11" s="1"/>
  <c r="Q27" i="11"/>
  <c r="Q2" i="11"/>
  <c r="Q23" i="11"/>
  <c r="R19" i="11"/>
  <c r="W3" i="11" s="1"/>
  <c r="R15" i="11"/>
  <c r="Q26" i="11"/>
  <c r="R11" i="11"/>
  <c r="P3" i="11"/>
  <c r="R26" i="11"/>
  <c r="R22" i="11"/>
  <c r="A26" i="10"/>
  <c r="G26" i="10"/>
  <c r="A46" i="10"/>
  <c r="G46" i="10"/>
  <c r="A38" i="10"/>
  <c r="G38" i="10"/>
  <c r="Q4" i="11" l="1"/>
  <c r="O19" i="11"/>
  <c r="P19" i="11"/>
  <c r="R3" i="11"/>
  <c r="P18" i="11"/>
  <c r="O18" i="11"/>
  <c r="R2" i="11"/>
  <c r="P26" i="11"/>
  <c r="O26" i="11"/>
  <c r="P4" i="11"/>
  <c r="O27" i="11"/>
  <c r="P27" i="11"/>
  <c r="O2" i="11"/>
  <c r="A39" i="10"/>
  <c r="G39" i="10"/>
  <c r="O4" i="11" l="1"/>
  <c r="V4" i="11" s="1"/>
  <c r="V2" i="11"/>
  <c r="T3" i="11"/>
  <c r="S3" i="11"/>
  <c r="R4" i="11"/>
  <c r="T2" i="11"/>
  <c r="S2" i="11"/>
  <c r="N4" i="2"/>
  <c r="S4" i="11" l="1"/>
  <c r="W4" i="11"/>
  <c r="T4" i="11"/>
  <c r="G2" i="10"/>
  <c r="A2" i="10"/>
  <c r="G17" i="10"/>
  <c r="A17" i="10"/>
  <c r="G19" i="10"/>
  <c r="A19" i="10"/>
  <c r="G20" i="10"/>
  <c r="A20" i="10"/>
  <c r="G21" i="10"/>
  <c r="A21" i="10"/>
  <c r="G22" i="10"/>
  <c r="A22" i="10"/>
  <c r="G23" i="10"/>
  <c r="A23" i="10"/>
  <c r="G24" i="10"/>
  <c r="A24" i="10"/>
  <c r="G25" i="10"/>
  <c r="A25" i="10"/>
  <c r="G27" i="10"/>
  <c r="A27" i="10"/>
  <c r="G28" i="10"/>
  <c r="A28" i="10"/>
  <c r="G29" i="10"/>
  <c r="A29" i="10"/>
  <c r="G30" i="10"/>
  <c r="A30" i="10"/>
  <c r="G31" i="10"/>
  <c r="A31" i="10"/>
  <c r="G32" i="10"/>
  <c r="A32" i="10"/>
  <c r="G33" i="10"/>
  <c r="A33" i="10"/>
  <c r="G34" i="10"/>
  <c r="A34" i="10"/>
  <c r="G35" i="10"/>
  <c r="A35" i="10"/>
  <c r="G36" i="10"/>
  <c r="A36" i="10"/>
  <c r="G37" i="10"/>
  <c r="A37" i="10"/>
  <c r="G40" i="10"/>
  <c r="A40" i="10"/>
  <c r="G41" i="10"/>
  <c r="A41" i="10"/>
  <c r="G42" i="10"/>
  <c r="A42" i="10"/>
  <c r="G43" i="10"/>
  <c r="A43" i="10"/>
  <c r="G44" i="10"/>
  <c r="A44" i="10"/>
  <c r="G45" i="10"/>
  <c r="A45" i="10"/>
  <c r="G3" i="10"/>
  <c r="A3" i="10"/>
  <c r="G4" i="10"/>
  <c r="A4" i="10"/>
  <c r="G5" i="10"/>
  <c r="A5" i="10"/>
  <c r="G6" i="10"/>
  <c r="A6" i="10"/>
  <c r="G7" i="10"/>
  <c r="A7" i="10"/>
  <c r="G8" i="10"/>
  <c r="A8" i="10"/>
  <c r="G9" i="10"/>
  <c r="A9" i="10"/>
  <c r="G11" i="10"/>
  <c r="A11" i="10"/>
  <c r="G12" i="10"/>
  <c r="A12" i="10"/>
  <c r="G13" i="10"/>
  <c r="A13" i="10"/>
  <c r="G14" i="10"/>
  <c r="A14" i="10"/>
  <c r="G15" i="10"/>
  <c r="A15" i="10"/>
  <c r="G16" i="10"/>
  <c r="A16" i="10"/>
  <c r="G18" i="10"/>
  <c r="A18" i="10"/>
  <c r="O22" i="10"/>
  <c r="O23" i="10"/>
  <c r="P22" i="10"/>
  <c r="O15" i="10"/>
  <c r="Q10" i="10"/>
  <c r="P11" i="10"/>
  <c r="O11" i="10"/>
  <c r="P10" i="10"/>
  <c r="O14" i="10"/>
  <c r="P14" i="10"/>
  <c r="P15" i="10"/>
  <c r="O10" i="10"/>
  <c r="P23" i="10"/>
  <c r="Q11" i="10"/>
  <c r="Q19" i="10" l="1"/>
  <c r="Q26" i="10"/>
  <c r="R23" i="10"/>
  <c r="R27" i="10"/>
  <c r="Q23" i="10"/>
  <c r="R19" i="10"/>
  <c r="W3" i="10" s="1"/>
  <c r="R15" i="10"/>
  <c r="R22" i="10"/>
  <c r="R26" i="10"/>
  <c r="Q2" i="10"/>
  <c r="O2" i="10" s="1"/>
  <c r="Q22" i="10"/>
  <c r="P3" i="10"/>
  <c r="R11" i="10"/>
  <c r="Q18" i="10"/>
  <c r="R10" i="10"/>
  <c r="P2" i="10"/>
  <c r="P4" i="10" s="1"/>
  <c r="Q3" i="10"/>
  <c r="O3" i="10" s="1"/>
  <c r="V3" i="10" s="1"/>
  <c r="R18" i="10"/>
  <c r="W2" i="10" s="1"/>
  <c r="R14" i="10"/>
  <c r="Q27" i="10"/>
  <c r="O4" i="1"/>
  <c r="O4" i="10" l="1"/>
  <c r="V4" i="10" s="1"/>
  <c r="V2" i="10"/>
  <c r="P27" i="10"/>
  <c r="O27" i="10"/>
  <c r="O26" i="10"/>
  <c r="P26" i="10"/>
  <c r="P18" i="10"/>
  <c r="R2" i="10"/>
  <c r="O18" i="10"/>
  <c r="Q4" i="10"/>
  <c r="O19" i="10"/>
  <c r="R3" i="10"/>
  <c r="P19" i="10"/>
  <c r="A20" i="9"/>
  <c r="G20" i="9"/>
  <c r="J20" i="9"/>
  <c r="T3" i="10" l="1"/>
  <c r="S3" i="10"/>
  <c r="R4" i="10"/>
  <c r="T2" i="10"/>
  <c r="S2" i="10"/>
  <c r="A41" i="9"/>
  <c r="G41" i="9"/>
  <c r="J41" i="9"/>
  <c r="Q22" i="9"/>
  <c r="P23" i="9"/>
  <c r="P22" i="9"/>
  <c r="Q23" i="9"/>
  <c r="W4" i="10" l="1"/>
  <c r="T4" i="10"/>
  <c r="S4" i="10"/>
  <c r="M4" i="2"/>
  <c r="J30" i="9"/>
  <c r="G30" i="9"/>
  <c r="A30" i="9"/>
  <c r="J25" i="9"/>
  <c r="G25" i="9"/>
  <c r="A25" i="9"/>
  <c r="G24" i="9"/>
  <c r="A24" i="9"/>
  <c r="J23" i="9"/>
  <c r="G23" i="9"/>
  <c r="A23" i="9"/>
  <c r="J22" i="9"/>
  <c r="G22" i="9"/>
  <c r="A22" i="9"/>
  <c r="J21" i="9"/>
  <c r="G21" i="9"/>
  <c r="A21" i="9"/>
  <c r="J19" i="9"/>
  <c r="G19" i="9"/>
  <c r="A19" i="9"/>
  <c r="J18" i="9"/>
  <c r="G18" i="9"/>
  <c r="A18" i="9"/>
  <c r="J17" i="9"/>
  <c r="G17" i="9"/>
  <c r="A17" i="9"/>
  <c r="J16" i="9"/>
  <c r="G16" i="9"/>
  <c r="A16" i="9"/>
  <c r="J9" i="9"/>
  <c r="G9" i="9"/>
  <c r="A9" i="9"/>
  <c r="J8" i="9"/>
  <c r="G8" i="9"/>
  <c r="A8" i="9"/>
  <c r="J26" i="9"/>
  <c r="G26" i="9"/>
  <c r="A26" i="9"/>
  <c r="J27" i="9"/>
  <c r="G27" i="9"/>
  <c r="A27" i="9"/>
  <c r="J28" i="9"/>
  <c r="G28" i="9"/>
  <c r="A28" i="9"/>
  <c r="J29" i="9"/>
  <c r="G29" i="9"/>
  <c r="A29" i="9"/>
  <c r="J31" i="9"/>
  <c r="G31" i="9"/>
  <c r="A31" i="9"/>
  <c r="J32" i="9"/>
  <c r="G32" i="9"/>
  <c r="A32" i="9"/>
  <c r="J33" i="9"/>
  <c r="G33" i="9"/>
  <c r="A33" i="9"/>
  <c r="J34" i="9"/>
  <c r="G34" i="9"/>
  <c r="A34" i="9"/>
  <c r="J35" i="9"/>
  <c r="G35" i="9"/>
  <c r="A35" i="9"/>
  <c r="J36" i="9"/>
  <c r="G36" i="9"/>
  <c r="A36" i="9"/>
  <c r="J37" i="9"/>
  <c r="G37" i="9"/>
  <c r="A37" i="9"/>
  <c r="J38" i="9"/>
  <c r="G38" i="9"/>
  <c r="A38" i="9"/>
  <c r="J39" i="9"/>
  <c r="G39" i="9"/>
  <c r="A39" i="9"/>
  <c r="J40" i="9"/>
  <c r="G40" i="9"/>
  <c r="A40" i="9"/>
  <c r="J2" i="9"/>
  <c r="G2" i="9"/>
  <c r="A2" i="9"/>
  <c r="J3" i="9"/>
  <c r="G3" i="9"/>
  <c r="A3" i="9"/>
  <c r="J4" i="9"/>
  <c r="G4" i="9"/>
  <c r="A4" i="9"/>
  <c r="J5" i="9"/>
  <c r="G5" i="9"/>
  <c r="A5" i="9"/>
  <c r="J6" i="9"/>
  <c r="G6" i="9"/>
  <c r="A6" i="9"/>
  <c r="J7" i="9"/>
  <c r="G7" i="9"/>
  <c r="A7" i="9"/>
  <c r="J10" i="9"/>
  <c r="G10" i="9"/>
  <c r="A10" i="9"/>
  <c r="J11" i="9"/>
  <c r="G11" i="9"/>
  <c r="A11" i="9"/>
  <c r="J12" i="9"/>
  <c r="G12" i="9"/>
  <c r="A12" i="9"/>
  <c r="J13" i="9"/>
  <c r="G13" i="9"/>
  <c r="A13" i="9"/>
  <c r="J14" i="9"/>
  <c r="G14" i="9"/>
  <c r="A14" i="9"/>
  <c r="J15" i="9"/>
  <c r="G15" i="9"/>
  <c r="A15" i="9"/>
  <c r="Q15" i="9"/>
  <c r="P10" i="9"/>
  <c r="P15" i="9"/>
  <c r="R10" i="9"/>
  <c r="Q14" i="9"/>
  <c r="Q10" i="9"/>
  <c r="R11" i="9"/>
  <c r="P14" i="9"/>
  <c r="P11" i="9"/>
  <c r="Q11" i="9"/>
  <c r="R22" i="9" l="1"/>
  <c r="R23" i="9"/>
  <c r="S19" i="9"/>
  <c r="X3" i="9" s="1"/>
  <c r="S15" i="9"/>
  <c r="S26" i="9"/>
  <c r="S22" i="9"/>
  <c r="Q2" i="9"/>
  <c r="S10" i="9"/>
  <c r="R3" i="9"/>
  <c r="P3" i="9" s="1"/>
  <c r="W3" i="9" s="1"/>
  <c r="S14" i="9"/>
  <c r="S18" i="9"/>
  <c r="X2" i="9" s="1"/>
  <c r="S11" i="9"/>
  <c r="Q3" i="9"/>
  <c r="R18" i="9"/>
  <c r="R27" i="9"/>
  <c r="R2" i="9"/>
  <c r="R19" i="9"/>
  <c r="R26" i="9"/>
  <c r="S27" i="9"/>
  <c r="S23" i="9"/>
  <c r="A39" i="7"/>
  <c r="G39" i="7"/>
  <c r="J39" i="7"/>
  <c r="A15" i="7"/>
  <c r="G15" i="7"/>
  <c r="J15" i="7"/>
  <c r="A40" i="7"/>
  <c r="G40" i="7"/>
  <c r="J40" i="7"/>
  <c r="A38" i="7"/>
  <c r="G38" i="7"/>
  <c r="R4" i="9" l="1"/>
  <c r="Q27" i="9"/>
  <c r="P27" i="9"/>
  <c r="Q19" i="9"/>
  <c r="S3" i="9"/>
  <c r="P19" i="9"/>
  <c r="Q4" i="9"/>
  <c r="P18" i="9"/>
  <c r="S2" i="9"/>
  <c r="Q18" i="9"/>
  <c r="P26" i="9"/>
  <c r="Q26" i="9"/>
  <c r="P2" i="9"/>
  <c r="N4" i="1"/>
  <c r="L4" i="2"/>
  <c r="A36" i="7"/>
  <c r="G36" i="7"/>
  <c r="J36" i="7"/>
  <c r="U3" i="9" l="1"/>
  <c r="T3" i="9"/>
  <c r="S4" i="9"/>
  <c r="U2" i="9"/>
  <c r="T2" i="9"/>
  <c r="P4" i="9"/>
  <c r="W4" i="9" s="1"/>
  <c r="W2" i="9"/>
  <c r="J5" i="7"/>
  <c r="G5" i="7"/>
  <c r="A5" i="7"/>
  <c r="J14" i="7"/>
  <c r="G14" i="7"/>
  <c r="A14" i="7"/>
  <c r="J17" i="7"/>
  <c r="G17" i="7"/>
  <c r="A17" i="7"/>
  <c r="J35" i="7"/>
  <c r="G35" i="7"/>
  <c r="A35" i="7"/>
  <c r="J34" i="7"/>
  <c r="G34" i="7"/>
  <c r="A34" i="7"/>
  <c r="J33" i="7"/>
  <c r="G33" i="7"/>
  <c r="A33" i="7"/>
  <c r="J32" i="7"/>
  <c r="G32" i="7"/>
  <c r="A32" i="7"/>
  <c r="J31" i="7"/>
  <c r="G31" i="7"/>
  <c r="A31" i="7"/>
  <c r="J30" i="7"/>
  <c r="G30" i="7"/>
  <c r="A30" i="7"/>
  <c r="J29" i="7"/>
  <c r="G29" i="7"/>
  <c r="A29" i="7"/>
  <c r="J28" i="7"/>
  <c r="G28" i="7"/>
  <c r="A28" i="7"/>
  <c r="J27" i="7"/>
  <c r="G27" i="7"/>
  <c r="A27" i="7"/>
  <c r="J26" i="7"/>
  <c r="G26" i="7"/>
  <c r="A26" i="7"/>
  <c r="J25" i="7"/>
  <c r="G25" i="7"/>
  <c r="A25" i="7"/>
  <c r="J24" i="7"/>
  <c r="G24" i="7"/>
  <c r="A24" i="7"/>
  <c r="J23" i="7"/>
  <c r="G23" i="7"/>
  <c r="A23" i="7"/>
  <c r="J22" i="7"/>
  <c r="G22" i="7"/>
  <c r="A22" i="7"/>
  <c r="J21" i="7"/>
  <c r="G21" i="7"/>
  <c r="A21" i="7"/>
  <c r="J20" i="7"/>
  <c r="G20" i="7"/>
  <c r="A20" i="7"/>
  <c r="J19" i="7"/>
  <c r="G19" i="7"/>
  <c r="A19" i="7"/>
  <c r="J18" i="7"/>
  <c r="G18" i="7"/>
  <c r="A18" i="7"/>
  <c r="J16" i="7"/>
  <c r="G16" i="7"/>
  <c r="A16" i="7"/>
  <c r="J13" i="7"/>
  <c r="G13" i="7"/>
  <c r="A13" i="7"/>
  <c r="J12" i="7"/>
  <c r="G12" i="7"/>
  <c r="A12" i="7"/>
  <c r="J11" i="7"/>
  <c r="G11" i="7"/>
  <c r="A11" i="7"/>
  <c r="J37" i="7"/>
  <c r="G37" i="7"/>
  <c r="A37" i="7"/>
  <c r="J10" i="7"/>
  <c r="G10" i="7"/>
  <c r="A10" i="7"/>
  <c r="J9" i="7"/>
  <c r="G9" i="7"/>
  <c r="A9" i="7"/>
  <c r="J8" i="7"/>
  <c r="G8" i="7"/>
  <c r="A8" i="7"/>
  <c r="J7" i="7"/>
  <c r="G7" i="7"/>
  <c r="A7" i="7"/>
  <c r="J6" i="7"/>
  <c r="G6" i="7"/>
  <c r="A6" i="7"/>
  <c r="J4" i="7"/>
  <c r="G4" i="7"/>
  <c r="A4" i="7"/>
  <c r="J3" i="7"/>
  <c r="G3" i="7"/>
  <c r="A3" i="7"/>
  <c r="J2" i="7"/>
  <c r="G2" i="7"/>
  <c r="A2" i="7"/>
  <c r="Q11" i="7"/>
  <c r="P14" i="7"/>
  <c r="Q22" i="7"/>
  <c r="Q15" i="7"/>
  <c r="Q23" i="7"/>
  <c r="R10" i="7"/>
  <c r="P15" i="7"/>
  <c r="Q14" i="7"/>
  <c r="R23" i="7"/>
  <c r="Q10" i="7"/>
  <c r="P23" i="7"/>
  <c r="P22" i="7"/>
  <c r="R22" i="7"/>
  <c r="P11" i="7"/>
  <c r="P10" i="7"/>
  <c r="R11" i="7"/>
  <c r="T4" i="9" l="1"/>
  <c r="X4" i="9"/>
  <c r="U4" i="9"/>
  <c r="S10" i="7"/>
  <c r="Q2" i="7"/>
  <c r="R3" i="7"/>
  <c r="P3" i="7" s="1"/>
  <c r="W3" i="7" s="1"/>
  <c r="S14" i="7"/>
  <c r="S18" i="7"/>
  <c r="X2" i="7" s="1"/>
  <c r="R27" i="7"/>
  <c r="R2" i="7"/>
  <c r="R19" i="7"/>
  <c r="R26" i="7"/>
  <c r="S27" i="7"/>
  <c r="S23" i="7"/>
  <c r="Q3" i="7"/>
  <c r="S11" i="7"/>
  <c r="R18" i="7"/>
  <c r="S15" i="7"/>
  <c r="S19" i="7"/>
  <c r="X3" i="7" s="1"/>
  <c r="S26" i="7"/>
  <c r="S22" i="7"/>
  <c r="AA9" i="2"/>
  <c r="Z9" i="2"/>
  <c r="R4" i="7" l="1"/>
  <c r="Q4" i="7"/>
  <c r="P2" i="7"/>
  <c r="Q19" i="7"/>
  <c r="P19" i="7"/>
  <c r="S3" i="7"/>
  <c r="Q18" i="7"/>
  <c r="P18" i="7"/>
  <c r="S2" i="7"/>
  <c r="Q26" i="7"/>
  <c r="P26" i="7"/>
  <c r="Q27" i="7"/>
  <c r="P27" i="7"/>
  <c r="A35" i="4"/>
  <c r="G35" i="4"/>
  <c r="J35" i="4"/>
  <c r="R22" i="4"/>
  <c r="S4" i="7" l="1"/>
  <c r="X4" i="7" s="1"/>
  <c r="W2" i="7"/>
  <c r="P4" i="7"/>
  <c r="W4" i="7" s="1"/>
  <c r="T2" i="7"/>
  <c r="U2" i="7"/>
  <c r="U3" i="7"/>
  <c r="T3" i="7"/>
  <c r="M4" i="1"/>
  <c r="T4" i="7" l="1"/>
  <c r="U4" i="7"/>
  <c r="K4" i="2"/>
  <c r="A10" i="4"/>
  <c r="G10" i="4"/>
  <c r="J10" i="4"/>
  <c r="A34" i="4"/>
  <c r="G34" i="4"/>
  <c r="J34" i="4"/>
  <c r="A33" i="4"/>
  <c r="G33" i="4"/>
  <c r="J33" i="4"/>
  <c r="A18" i="4"/>
  <c r="G18" i="4"/>
  <c r="J18" i="4"/>
  <c r="A3" i="4"/>
  <c r="A4" i="4"/>
  <c r="A5" i="4"/>
  <c r="A6" i="4"/>
  <c r="A7" i="4"/>
  <c r="A8" i="4"/>
  <c r="A9" i="4"/>
  <c r="A11" i="4"/>
  <c r="A12" i="4"/>
  <c r="A13" i="4"/>
  <c r="A14" i="4"/>
  <c r="A15" i="4"/>
  <c r="A2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16" i="4"/>
  <c r="A17" i="4"/>
  <c r="R21" i="4"/>
  <c r="F3" i="6" l="1"/>
  <c r="F2" i="6"/>
  <c r="F14" i="6"/>
  <c r="F13" i="6"/>
  <c r="I3" i="6"/>
  <c r="I2" i="6"/>
  <c r="I14" i="6"/>
  <c r="I13" i="6"/>
  <c r="I4" i="6"/>
  <c r="F4" i="6"/>
  <c r="I5" i="6"/>
  <c r="F5" i="6"/>
  <c r="I6" i="6"/>
  <c r="F6" i="6"/>
  <c r="I7" i="6"/>
  <c r="F7" i="6"/>
  <c r="I8" i="6"/>
  <c r="F8" i="6"/>
  <c r="I9" i="6"/>
  <c r="F9" i="6"/>
  <c r="I10" i="6"/>
  <c r="F10" i="6"/>
  <c r="I11" i="6"/>
  <c r="F11" i="6"/>
  <c r="I12" i="6"/>
  <c r="F12" i="6"/>
  <c r="I15" i="6"/>
  <c r="F15" i="6"/>
  <c r="I16" i="6"/>
  <c r="F16" i="6"/>
  <c r="I17" i="6"/>
  <c r="F17" i="6"/>
  <c r="I18" i="6"/>
  <c r="F18" i="6"/>
  <c r="I19" i="6"/>
  <c r="F19" i="6"/>
  <c r="I20" i="6"/>
  <c r="F20" i="6"/>
  <c r="I21" i="6"/>
  <c r="F21" i="6"/>
  <c r="I22" i="6"/>
  <c r="F22" i="6"/>
  <c r="I23" i="6"/>
  <c r="F23" i="6"/>
  <c r="I24" i="6"/>
  <c r="F24" i="6"/>
  <c r="I25" i="6"/>
  <c r="F25" i="6"/>
  <c r="I26" i="6"/>
  <c r="F26" i="6"/>
  <c r="I27" i="6"/>
  <c r="F27" i="6"/>
  <c r="I28" i="6"/>
  <c r="F28" i="6"/>
  <c r="I29" i="6"/>
  <c r="F29" i="6"/>
  <c r="I30" i="6"/>
  <c r="F30" i="6"/>
  <c r="I31" i="6"/>
  <c r="F31" i="6"/>
  <c r="I32" i="6"/>
  <c r="F32" i="6"/>
  <c r="I33" i="6"/>
  <c r="F33" i="6"/>
  <c r="I34" i="6"/>
  <c r="F34" i="6"/>
  <c r="Q14" i="6"/>
  <c r="P25" i="6"/>
  <c r="Q21" i="4"/>
  <c r="Q22" i="4"/>
  <c r="P21" i="4"/>
  <c r="P13" i="4"/>
  <c r="P18" i="6"/>
  <c r="O13" i="6"/>
  <c r="P26" i="6"/>
  <c r="P9" i="4"/>
  <c r="Q13" i="6"/>
  <c r="O18" i="6"/>
  <c r="P17" i="6"/>
  <c r="P10" i="4"/>
  <c r="O25" i="6"/>
  <c r="P13" i="6"/>
  <c r="P22" i="4"/>
  <c r="O26" i="6"/>
  <c r="O14" i="6"/>
  <c r="P14" i="6"/>
  <c r="O17" i="6"/>
  <c r="P14" i="4"/>
  <c r="R9" i="4"/>
  <c r="Q3" i="6" l="1"/>
  <c r="O3" i="6" s="1"/>
  <c r="V3" i="6" s="1"/>
  <c r="Q21" i="6"/>
  <c r="R30" i="6"/>
  <c r="R26" i="6"/>
  <c r="R13" i="6"/>
  <c r="P2" i="6"/>
  <c r="R17" i="6"/>
  <c r="R21" i="6"/>
  <c r="W2" i="6" s="1"/>
  <c r="Q22" i="6"/>
  <c r="Q2" i="6"/>
  <c r="O2" i="6" s="1"/>
  <c r="V2" i="6" s="1"/>
  <c r="R22" i="6"/>
  <c r="W3" i="6" s="1"/>
  <c r="R18" i="6"/>
  <c r="Q29" i="6"/>
  <c r="P3" i="6"/>
  <c r="R14" i="6"/>
  <c r="R29" i="6"/>
  <c r="R25" i="6"/>
  <c r="Q30" i="6"/>
  <c r="R2" i="4"/>
  <c r="J2" i="4"/>
  <c r="J3" i="4"/>
  <c r="J5" i="4"/>
  <c r="J7" i="4"/>
  <c r="J8" i="4"/>
  <c r="J9" i="4"/>
  <c r="J12" i="4"/>
  <c r="J13" i="4"/>
  <c r="J14" i="4"/>
  <c r="J15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11" i="4"/>
  <c r="J4" i="4"/>
  <c r="J6" i="4"/>
  <c r="J16" i="4"/>
  <c r="J17" i="4"/>
  <c r="G11" i="4"/>
  <c r="G6" i="4"/>
  <c r="G4" i="4"/>
  <c r="G16" i="4"/>
  <c r="G2" i="4"/>
  <c r="G3" i="4"/>
  <c r="G5" i="4"/>
  <c r="G7" i="4"/>
  <c r="G8" i="4"/>
  <c r="G9" i="4"/>
  <c r="G12" i="4"/>
  <c r="G13" i="4"/>
  <c r="G14" i="4"/>
  <c r="G15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17" i="4"/>
  <c r="J4" i="2"/>
  <c r="Q10" i="4"/>
  <c r="Q9" i="4"/>
  <c r="Q13" i="4"/>
  <c r="Q14" i="4"/>
  <c r="R10" i="4"/>
  <c r="P22" i="6" l="1"/>
  <c r="P21" i="6"/>
  <c r="P29" i="6"/>
  <c r="O29" i="6"/>
  <c r="R3" i="6"/>
  <c r="O22" i="6"/>
  <c r="R2" i="6"/>
  <c r="O21" i="6"/>
  <c r="P30" i="6"/>
  <c r="O30" i="6"/>
  <c r="P2" i="4"/>
  <c r="W2" i="4" s="1"/>
  <c r="Q2" i="4"/>
  <c r="Q3" i="4"/>
  <c r="R3" i="4"/>
  <c r="P3" i="4" s="1"/>
  <c r="R17" i="4"/>
  <c r="R18" i="4"/>
  <c r="S17" i="4"/>
  <c r="X2" i="4" s="1"/>
  <c r="S18" i="4"/>
  <c r="X3" i="4" s="1"/>
  <c r="S14" i="4"/>
  <c r="S9" i="4"/>
  <c r="S10" i="4"/>
  <c r="S13" i="4"/>
  <c r="L4" i="1"/>
  <c r="K4" i="1"/>
  <c r="Q18" i="4" l="1"/>
  <c r="Q17" i="4"/>
  <c r="T3" i="6"/>
  <c r="S3" i="6"/>
  <c r="T2" i="6"/>
  <c r="S2" i="6"/>
  <c r="W3" i="4"/>
  <c r="P17" i="4"/>
  <c r="S2" i="4"/>
  <c r="P18" i="4"/>
  <c r="S3" i="4"/>
  <c r="S25" i="4"/>
  <c r="R25" i="4"/>
  <c r="S26" i="4"/>
  <c r="R26" i="4"/>
  <c r="S21" i="4"/>
  <c r="S22" i="4"/>
  <c r="Q26" i="4" l="1"/>
  <c r="P26" i="4"/>
  <c r="Q25" i="4"/>
  <c r="P25" i="4"/>
  <c r="U3" i="4"/>
  <c r="T3" i="4"/>
  <c r="U2" i="4"/>
  <c r="T2" i="4"/>
  <c r="C3" i="2"/>
  <c r="J4" i="1"/>
  <c r="C3" i="1"/>
  <c r="C13" i="1"/>
  <c r="G30" i="2" l="1"/>
  <c r="E30" i="2"/>
  <c r="G28" i="2"/>
  <c r="E28" i="2"/>
  <c r="C28" i="2"/>
  <c r="D28" i="2" s="1"/>
  <c r="C30" i="2"/>
  <c r="D30" i="2" s="1"/>
  <c r="E24" i="2"/>
  <c r="D24" i="2"/>
  <c r="C24" i="2"/>
  <c r="E23" i="2"/>
  <c r="D23" i="2"/>
  <c r="C23" i="2"/>
  <c r="B21" i="2"/>
  <c r="E3" i="2" s="1"/>
  <c r="E19" i="2"/>
  <c r="D19" i="2"/>
  <c r="C19" i="2"/>
  <c r="D6" i="2" s="1"/>
  <c r="E18" i="2"/>
  <c r="D18" i="2"/>
  <c r="C18" i="2"/>
  <c r="D5" i="2" s="1"/>
  <c r="B16" i="2"/>
  <c r="D3" i="2" s="1"/>
  <c r="E14" i="2"/>
  <c r="F14" i="2" s="1"/>
  <c r="D14" i="2"/>
  <c r="C14" i="2"/>
  <c r="C6" i="2" s="1"/>
  <c r="E13" i="2"/>
  <c r="F13" i="2" s="1"/>
  <c r="D13" i="2"/>
  <c r="C13" i="2"/>
  <c r="C5" i="2" s="1"/>
  <c r="I4" i="2"/>
  <c r="H4" i="2"/>
  <c r="G4" i="2"/>
  <c r="F4" i="2"/>
  <c r="H24" i="2" l="1"/>
  <c r="H19" i="2"/>
  <c r="H23" i="2"/>
  <c r="H18" i="2"/>
  <c r="G18" i="2"/>
  <c r="F18" i="2"/>
  <c r="F24" i="2"/>
  <c r="G24" i="2"/>
  <c r="G23" i="2"/>
  <c r="F23" i="2"/>
  <c r="F19" i="2"/>
  <c r="G19" i="2"/>
  <c r="E17" i="2"/>
  <c r="C17" i="2"/>
  <c r="D4" i="2" s="1"/>
  <c r="C29" i="2"/>
  <c r="C31" i="2"/>
  <c r="F28" i="2"/>
  <c r="G29" i="2" s="1"/>
  <c r="E6" i="2"/>
  <c r="E29" i="2"/>
  <c r="E31" i="2"/>
  <c r="D17" i="2"/>
  <c r="F30" i="2"/>
  <c r="E5" i="2"/>
  <c r="H17" i="2" l="1"/>
  <c r="G17" i="2"/>
  <c r="F17" i="2"/>
  <c r="I28" i="2"/>
  <c r="H28" i="2"/>
  <c r="I30" i="2"/>
  <c r="G31" i="2"/>
  <c r="H30" i="2" s="1"/>
  <c r="I4" i="1"/>
  <c r="B21" i="1" l="1"/>
  <c r="E3" i="1" s="1"/>
  <c r="B16" i="1"/>
  <c r="D3" i="1" s="1"/>
  <c r="H4" i="1"/>
  <c r="G4" i="1"/>
  <c r="F4" i="1"/>
  <c r="M16" i="1" l="1"/>
  <c r="C12" i="1"/>
  <c r="D22" i="2"/>
  <c r="C22" i="2"/>
  <c r="E4" i="2" s="1"/>
  <c r="E22" i="2"/>
  <c r="C12" i="2"/>
  <c r="C4" i="2" s="1"/>
  <c r="D12" i="2"/>
  <c r="E12" i="2"/>
  <c r="F12" i="2" s="1"/>
  <c r="E24" i="1"/>
  <c r="D24" i="1"/>
  <c r="C24" i="1"/>
  <c r="C23" i="1"/>
  <c r="D28" i="1" s="1"/>
  <c r="D29" i="1" s="1"/>
  <c r="D23" i="1"/>
  <c r="E23" i="1"/>
  <c r="E19" i="1"/>
  <c r="D19" i="1"/>
  <c r="C19" i="1"/>
  <c r="C18" i="1"/>
  <c r="D18" i="1"/>
  <c r="E18" i="1"/>
  <c r="E14" i="1"/>
  <c r="F14" i="1" s="1"/>
  <c r="E13" i="1"/>
  <c r="F13" i="1" s="1"/>
  <c r="D14" i="1"/>
  <c r="D13" i="1"/>
  <c r="C14" i="1"/>
  <c r="H22" i="2" l="1"/>
  <c r="L23" i="1"/>
  <c r="M23" i="1"/>
  <c r="N23" i="1" s="1"/>
  <c r="L24" i="1"/>
  <c r="M24" i="1"/>
  <c r="N24" i="1" s="1"/>
  <c r="H18" i="1"/>
  <c r="I18" i="1" s="1"/>
  <c r="H24" i="1"/>
  <c r="I24" i="1" s="1"/>
  <c r="F19" i="1"/>
  <c r="G19" i="1"/>
  <c r="H19" i="1"/>
  <c r="I19" i="1" s="1"/>
  <c r="H23" i="1"/>
  <c r="I23" i="1" s="1"/>
  <c r="G18" i="1"/>
  <c r="F18" i="1"/>
  <c r="G23" i="1"/>
  <c r="F23" i="1"/>
  <c r="F24" i="1"/>
  <c r="G24" i="1"/>
  <c r="F22" i="2"/>
  <c r="G22" i="2"/>
  <c r="F28" i="1"/>
  <c r="F29" i="1" s="1"/>
  <c r="D30" i="1"/>
  <c r="E29" i="1"/>
  <c r="C31" i="1"/>
  <c r="C29" i="1"/>
  <c r="E6" i="1"/>
  <c r="E5" i="1"/>
  <c r="F30" i="1" l="1"/>
  <c r="G31" i="1" s="1"/>
  <c r="D31" i="1"/>
  <c r="E31" i="1"/>
  <c r="I28" i="1"/>
  <c r="G29" i="1"/>
  <c r="H28" i="1" s="1"/>
  <c r="I30" i="1" l="1"/>
  <c r="F31" i="1"/>
  <c r="H30" i="1"/>
  <c r="C4" i="1"/>
  <c r="D5" i="1"/>
  <c r="D6" i="1"/>
  <c r="C5" i="1"/>
  <c r="C6" i="1"/>
  <c r="D22" i="1" l="1"/>
  <c r="D12" i="1"/>
  <c r="E17" i="1"/>
  <c r="C22" i="1"/>
  <c r="E4" i="1" s="1"/>
  <c r="E22" i="1"/>
  <c r="D17" i="1"/>
  <c r="E12" i="1"/>
  <c r="F12" i="1" s="1"/>
  <c r="C17" i="1"/>
  <c r="D4" i="1" s="1"/>
  <c r="L22" i="1" l="1"/>
  <c r="M22" i="1"/>
  <c r="N22" i="1" s="1"/>
  <c r="H17" i="1"/>
  <c r="I17" i="1" s="1"/>
  <c r="G17" i="1"/>
  <c r="F17" i="1"/>
  <c r="H22" i="1"/>
  <c r="I22" i="1" s="1"/>
  <c r="G22" i="1"/>
  <c r="F2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Costanzo, Stephen</author>
  </authors>
  <commentList>
    <comment ref="H1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Costanzo, Stephen:</t>
        </r>
        <r>
          <rPr>
            <sz val="9"/>
            <color indexed="81"/>
            <rFont val="Tahoma"/>
            <family val="2"/>
          </rPr>
          <t xml:space="preserve">
How confident are we that the mean velocity can be counted on for forecasting.</t>
        </r>
      </text>
    </comment>
    <comment ref="D2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Costanzo, Stephen:</t>
        </r>
        <r>
          <rPr>
            <sz val="9"/>
            <color indexed="81"/>
            <rFont val="Tahoma"/>
            <family val="2"/>
          </rPr>
          <t xml:space="preserve">
How many story points were available to pull in lower priority stories</t>
        </r>
      </text>
    </comment>
    <comment ref="I27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Costanzo, Stephen:</t>
        </r>
        <r>
          <rPr>
            <sz val="9"/>
            <color indexed="81"/>
            <rFont val="Tahoma"/>
            <family val="2"/>
          </rPr>
          <t xml:space="preserve">
Amount of extra story points remain in the final sprint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Costanzo, Stephen</author>
  </authors>
  <commentList>
    <comment ref="B26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Costanzo, Stephen:</t>
        </r>
        <r>
          <rPr>
            <sz val="9"/>
            <color indexed="81"/>
            <rFont val="Tahoma"/>
            <family val="2"/>
          </rPr>
          <t xml:space="preserve">
This table uses the values from the Velocity tab and cannot be modified</t>
        </r>
      </text>
    </comment>
    <comment ref="D27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Costanzo, Stephen:</t>
        </r>
        <r>
          <rPr>
            <sz val="9"/>
            <color indexed="81"/>
            <rFont val="Tahoma"/>
            <family val="2"/>
          </rPr>
          <t xml:space="preserve">
How many story points were available to pull in lower priority stories</t>
        </r>
      </text>
    </comment>
    <comment ref="I27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Costanzo, Stephen:</t>
        </r>
        <r>
          <rPr>
            <sz val="9"/>
            <color indexed="81"/>
            <rFont val="Tahoma"/>
            <family val="2"/>
          </rPr>
          <t xml:space="preserve">
This is the amount of extra story points are in the final sprint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Costanzo, Stephen</author>
  </authors>
  <commentList>
    <comment ref="O7" authorId="0" shapeId="0" xr:uid="{9506DD3C-47D2-4115-9392-E8C20039C612}">
      <text>
        <r>
          <rPr>
            <b/>
            <sz val="9"/>
            <color indexed="81"/>
            <rFont val="Tahoma"/>
            <charset val="1"/>
          </rPr>
          <t>Costanzo, Stephen:</t>
        </r>
        <r>
          <rPr>
            <sz val="9"/>
            <color indexed="81"/>
            <rFont val="Tahoma"/>
            <charset val="1"/>
          </rPr>
          <t xml:space="preserve">
How many story points were added / overall </t>
        </r>
        <r>
          <rPr>
            <b/>
            <sz val="9"/>
            <color indexed="81"/>
            <rFont val="Tahoma"/>
            <family val="2"/>
          </rPr>
          <t>NEW</t>
        </r>
        <r>
          <rPr>
            <sz val="9"/>
            <color indexed="81"/>
            <rFont val="Tahoma"/>
            <charset val="1"/>
          </rPr>
          <t xml:space="preserve"> sprint commitment</t>
        </r>
      </text>
    </comment>
    <comment ref="O8" authorId="0" shapeId="0" xr:uid="{53544577-1699-4B06-BF18-1CA28D600512}">
      <text>
        <r>
          <rPr>
            <b/>
            <sz val="9"/>
            <color indexed="81"/>
            <rFont val="Tahoma"/>
            <charset val="1"/>
          </rPr>
          <t>Costanzo, Stephen:</t>
        </r>
        <r>
          <rPr>
            <sz val="9"/>
            <color indexed="81"/>
            <rFont val="Tahoma"/>
            <charset val="1"/>
          </rPr>
          <t xml:space="preserve">
Story Points Add / </t>
        </r>
        <r>
          <rPr>
            <b/>
            <sz val="9"/>
            <color indexed="81"/>
            <rFont val="Tahoma"/>
            <family val="2"/>
          </rPr>
          <t>Original</t>
        </r>
        <r>
          <rPr>
            <sz val="9"/>
            <color indexed="81"/>
            <rFont val="Tahoma"/>
            <charset val="1"/>
          </rPr>
          <t xml:space="preserve"> Sprint Commitment</t>
        </r>
      </text>
    </comment>
    <comment ref="P9" authorId="0" shapeId="0" xr:uid="{45CDEBAD-D3FC-4350-9379-76AAE114EA4E}">
      <text>
        <r>
          <rPr>
            <b/>
            <sz val="9"/>
            <color indexed="81"/>
            <rFont val="Tahoma"/>
            <charset val="1"/>
          </rPr>
          <t>Costanzo, Stephen:</t>
        </r>
        <r>
          <rPr>
            <sz val="9"/>
            <color indexed="81"/>
            <rFont val="Tahoma"/>
            <charset val="1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<sst xmlns="http://schemas.openxmlformats.org/spreadsheetml/2006/main" count="6872" uniqueCount="1505">
  <si>
    <t>Velocity</t>
  </si>
  <si>
    <t>Overall</t>
  </si>
  <si>
    <t>AIX</t>
  </si>
  <si>
    <t>LINUX</t>
  </si>
  <si>
    <t>STD</t>
  </si>
  <si>
    <t>AVG</t>
  </si>
  <si>
    <t>MEAN</t>
  </si>
  <si>
    <t>STDERR</t>
  </si>
  <si>
    <t>Low End</t>
  </si>
  <si>
    <t>High End</t>
  </si>
  <si>
    <t>Averages</t>
  </si>
  <si>
    <t>Highlights show the outside low/high range</t>
  </si>
  <si>
    <t>Confidence</t>
  </si>
  <si>
    <t>Do Not Delete These Columns</t>
  </si>
  <si>
    <t>Calculated</t>
  </si>
  <si>
    <t>Above are all calcuated</t>
  </si>
  <si>
    <t>High</t>
  </si>
  <si>
    <t>Medium</t>
  </si>
  <si>
    <t>Low</t>
  </si>
  <si>
    <t>Sprints</t>
  </si>
  <si>
    <t>Spill &lt;--</t>
  </si>
  <si>
    <t>Fcst Sprint</t>
  </si>
  <si>
    <t>Fcst Slack</t>
  </si>
  <si>
    <t xml:space="preserve">Excess Capactity </t>
  </si>
  <si>
    <t>Beginning</t>
  </si>
  <si>
    <t>If the average velocity was used against only the backlog</t>
  </si>
  <si>
    <t>Consistency</t>
  </si>
  <si>
    <t>If the average commitment was used only for the backlog</t>
  </si>
  <si>
    <t>STD Diff</t>
  </si>
  <si>
    <t>Std ERR</t>
  </si>
  <si>
    <t>Std ERR Diff</t>
  </si>
  <si>
    <t>Grand Total</t>
  </si>
  <si>
    <t>To Do</t>
  </si>
  <si>
    <t>In Progress</t>
  </si>
  <si>
    <t>Done</t>
  </si>
  <si>
    <t>Y</t>
  </si>
  <si>
    <t>U</t>
  </si>
  <si>
    <t>A</t>
  </si>
  <si>
    <t>Story Points</t>
  </si>
  <si>
    <t>Row Labels</t>
  </si>
  <si>
    <t xml:space="preserve"> </t>
  </si>
  <si>
    <t>Added</t>
  </si>
  <si>
    <t>Commit</t>
  </si>
  <si>
    <t>Added After</t>
  </si>
  <si>
    <t>Project</t>
  </si>
  <si>
    <t>Assignee</t>
  </si>
  <si>
    <t>Summary</t>
  </si>
  <si>
    <t>Status</t>
  </si>
  <si>
    <t>Issue key</t>
  </si>
  <si>
    <t>Prjtd</t>
  </si>
  <si>
    <t>Sum of Story Points</t>
  </si>
  <si>
    <t>12/4/17</t>
  </si>
  <si>
    <t>12/18/17</t>
  </si>
  <si>
    <t>1/1/18</t>
  </si>
  <si>
    <t>1/15/18</t>
  </si>
  <si>
    <t>11/20/17</t>
  </si>
  <si>
    <t>INFAOP-9</t>
  </si>
  <si>
    <t>PXIBM207 Frame Rebuild</t>
  </si>
  <si>
    <t>Muqtadir</t>
  </si>
  <si>
    <t>INFAOP-262</t>
  </si>
  <si>
    <t>Fix fcstat utilization report for NPE ITM</t>
  </si>
  <si>
    <t>Azmath</t>
  </si>
  <si>
    <t>INFAOP-323</t>
  </si>
  <si>
    <t>PROD Cluster nodes on same Frame - LPM one of the node to other frame</t>
  </si>
  <si>
    <t>Jasim</t>
  </si>
  <si>
    <t>INFAOP-387</t>
  </si>
  <si>
    <t>Qualys Agent deployment on AIX servers - Sprint 1/29</t>
  </si>
  <si>
    <t>INFAOP-388</t>
  </si>
  <si>
    <t>AIX new build server approvals - Sprint 1/29</t>
  </si>
  <si>
    <t>INFAOP-392</t>
  </si>
  <si>
    <t>Prepare test server for L3 network firewall testing</t>
  </si>
  <si>
    <t>INFAOP-402</t>
  </si>
  <si>
    <t>Venkatesh</t>
  </si>
  <si>
    <t>INFAOP-404</t>
  </si>
  <si>
    <t>Qualys Vulnerability report review and remediation plans for SAP applications</t>
  </si>
  <si>
    <t>INFAOP-413</t>
  </si>
  <si>
    <t>JDK upgrade and openJDK Standardization on Hadoop servers - Phase 1</t>
  </si>
  <si>
    <t>INFAOP-414</t>
  </si>
  <si>
    <t>On call - Sprint 2018-01-29</t>
  </si>
  <si>
    <t>INFUOP-579</t>
  </si>
  <si>
    <t xml:space="preserve">upgrading Enterprise Manager Ops Center- Solaris </t>
  </si>
  <si>
    <t>Ramesh</t>
  </si>
  <si>
    <t>INFUOP-638</t>
  </si>
  <si>
    <t>Meltdown/Specter exploits - Planning</t>
  </si>
  <si>
    <t>Jon</t>
  </si>
  <si>
    <t>INFUOP-693</t>
  </si>
  <si>
    <t>LINUX new build server approvals - Sprint 1/29</t>
  </si>
  <si>
    <t>INFUOP-725</t>
  </si>
  <si>
    <t>Frontline Jenkins OU servers, move docker to separate filesystem</t>
  </si>
  <si>
    <t>Rakesh</t>
  </si>
  <si>
    <t>INFUOP-727</t>
  </si>
  <si>
    <t>NAS Migration 1/29 Depot_Master Titan</t>
  </si>
  <si>
    <t>Mammar</t>
  </si>
  <si>
    <t>INFUOP-728</t>
  </si>
  <si>
    <t>NAS Migration 1/29 Depot_Master Polaris</t>
  </si>
  <si>
    <t>INFUOP-729</t>
  </si>
  <si>
    <t>NAS Migration 1/29 App Teams</t>
  </si>
  <si>
    <t>INFUOP-730</t>
  </si>
  <si>
    <t xml:space="preserve">Fix_VOM_Security </t>
  </si>
  <si>
    <t>INFUOP-732</t>
  </si>
  <si>
    <t>Test and Add  CPUs Online on OSR003 VPAR</t>
  </si>
  <si>
    <t>BHuvan</t>
  </si>
  <si>
    <t>INFUOP-733</t>
  </si>
  <si>
    <t>Add Engineering iLO IP addresses under infoblox DNS Host entries</t>
  </si>
  <si>
    <t>INFUOP-734</t>
  </si>
  <si>
    <t>Modify existing Engineering Patching and Patch Validation script to map with Current Q1 standard</t>
  </si>
  <si>
    <t>INFUOP-735</t>
  </si>
  <si>
    <t>Service Now Self-Service Patching - 01/29/2018</t>
  </si>
  <si>
    <t>PMalla2</t>
  </si>
  <si>
    <t>INFUOP-736</t>
  </si>
  <si>
    <t>Test HPE Storage Array - Split / Join</t>
  </si>
  <si>
    <t>INFUOP-739</t>
  </si>
  <si>
    <t>Bhuvan</t>
  </si>
  <si>
    <t>Adding check_aix with options to call functions as"Arg"</t>
  </si>
  <si>
    <t>NPE Cluster nodes on same Frame - create collocation rules in PowerVC</t>
  </si>
  <si>
    <t>Migrate admin servers mail relay server to AD</t>
  </si>
  <si>
    <t>INFAOP-401</t>
  </si>
  <si>
    <t>INFAOP-322</t>
  </si>
  <si>
    <t>INFAOP-324</t>
  </si>
  <si>
    <t>All</t>
  </si>
  <si>
    <t>TTL SP</t>
  </si>
  <si>
    <t>By Added</t>
  </si>
  <si>
    <t>(blank)</t>
  </si>
  <si>
    <t>Total Done / Committed</t>
  </si>
  <si>
    <t>Total Done / Overall</t>
  </si>
  <si>
    <t>Added Done</t>
  </si>
  <si>
    <t>Committed Done</t>
  </si>
  <si>
    <t>Total Done</t>
  </si>
  <si>
    <t>Total Story Points</t>
  </si>
  <si>
    <t>Prj Story Points</t>
  </si>
  <si>
    <t>Prj Added Done</t>
  </si>
  <si>
    <t>A Total</t>
  </si>
  <si>
    <t>U Total</t>
  </si>
  <si>
    <t>Team</t>
  </si>
  <si>
    <t>Committed</t>
  </si>
  <si>
    <t>Blocked</t>
  </si>
  <si>
    <t>Completed</t>
  </si>
  <si>
    <t>UNIX</t>
  </si>
  <si>
    <t>* Ignores Blocked</t>
  </si>
  <si>
    <t xml:space="preserve">* NOTE: On this tables, committed (and all percentages) INCLUDES Blocked </t>
  </si>
  <si>
    <t>* Blocked + Committed should equal commited on the orange chart</t>
  </si>
  <si>
    <t>Overall 
Completion</t>
  </si>
  <si>
    <t>Committed 
Completed</t>
  </si>
  <si>
    <t>Completion V 
Committed</t>
  </si>
  <si>
    <t>Prj Cmpt</t>
  </si>
  <si>
    <t>Added 
Completed</t>
  </si>
  <si>
    <t>10/23/17</t>
  </si>
  <si>
    <t>11/6/17</t>
  </si>
  <si>
    <t>INFUOP-715</t>
  </si>
  <si>
    <t>Service Now Self-Service Patching - 01/22/2018</t>
  </si>
  <si>
    <t>INFUOP-710</t>
  </si>
  <si>
    <t>DL Firmware upgrade on tstehub002</t>
  </si>
  <si>
    <t>VS</t>
  </si>
  <si>
    <t>INFUOP-705</t>
  </si>
  <si>
    <t>Upgrade Eng iLOs to latest Firmware version</t>
  </si>
  <si>
    <t>BMadasa1</t>
  </si>
  <si>
    <t>INFUOP-692</t>
  </si>
  <si>
    <t>LINUX new build server approvals - Sprint 1/15</t>
  </si>
  <si>
    <t>JChrist30</t>
  </si>
  <si>
    <t>INFUOP-687</t>
  </si>
  <si>
    <t>BL Firmware upgrade on tsttbco102 &amp; tsttbco103</t>
  </si>
  <si>
    <t>INFUOP-686</t>
  </si>
  <si>
    <t xml:space="preserve">Testing Patches for Spectre/Meltdown vulnerabilities </t>
  </si>
  <si>
    <t>INFUOP-685</t>
  </si>
  <si>
    <t>File share discovery for Compliance  1/15/2018</t>
  </si>
  <si>
    <t>INFUOP-684</t>
  </si>
  <si>
    <t xml:space="preserve">Install and configure Kubernetes </t>
  </si>
  <si>
    <t>INFUOP-683</t>
  </si>
  <si>
    <t>Install Selenium on Linux Server</t>
  </si>
  <si>
    <t>INFUOP-675</t>
  </si>
  <si>
    <t>Q1 - Patching Validation - AIX , Linux &amp; Solaris</t>
  </si>
  <si>
    <t>INFUOP-674</t>
  </si>
  <si>
    <t>Engineering iLO Standardization - iLO Amplifier Setup</t>
  </si>
  <si>
    <t>INFUOP-672</t>
  </si>
  <si>
    <t>Engineering  HPE Hardware monitoring - HP SSACLI Setup / configuration</t>
  </si>
  <si>
    <t>INFUOP-671</t>
  </si>
  <si>
    <t>Engineering iLO Standardization - HPONCFG configuration</t>
  </si>
  <si>
    <t>INFUOP-670</t>
  </si>
  <si>
    <t>NAS Migration 1/15</t>
  </si>
  <si>
    <t>MRashid</t>
  </si>
  <si>
    <t>INFUOP-669</t>
  </si>
  <si>
    <t>UNIX On-Call 1/16-1/29</t>
  </si>
  <si>
    <t>INFUOP-666</t>
  </si>
  <si>
    <t>Prepwork for upgrading Enterprise Manager Ops Center - Solaris</t>
  </si>
  <si>
    <t>RMalemp</t>
  </si>
  <si>
    <t>INFUOP-664</t>
  </si>
  <si>
    <t>Q1_18 Patching on Solaris admin servers _sprint_1-15</t>
  </si>
  <si>
    <t>INFUOP-650</t>
  </si>
  <si>
    <t>Access to Engineering Servers</t>
  </si>
  <si>
    <t>VAnnapu</t>
  </si>
  <si>
    <t>INFUOP-589</t>
  </si>
  <si>
    <t>Qualys Agent Deployment on Linux servers_sprint-1_15</t>
  </si>
  <si>
    <t>INFAOP-393</t>
  </si>
  <si>
    <t>Boot_Lun migration on prdspot010 &amp; prdspot011</t>
  </si>
  <si>
    <t>INFAOP-379</t>
  </si>
  <si>
    <t>Qualys Agent deployment on AIX servers - Sprint 1/15</t>
  </si>
  <si>
    <t>SPadiya1</t>
  </si>
  <si>
    <t>INFAOP-378</t>
  </si>
  <si>
    <t>Meltdown vulnerability  -  Test and deploy IBM frame firmware</t>
  </si>
  <si>
    <t>INFAOP-377</t>
  </si>
  <si>
    <t>AIX new build server approvals - Sprint 1/15</t>
  </si>
  <si>
    <t>INFAOP-376</t>
  </si>
  <si>
    <t>L3 IP request for subset of Phase II servers</t>
  </si>
  <si>
    <t>AKhan130</t>
  </si>
  <si>
    <t>INFAOP-375</t>
  </si>
  <si>
    <t>AIX On Call - Sprint 1/15</t>
  </si>
  <si>
    <t>INFAOP-264</t>
  </si>
  <si>
    <t>Resolve ITM collection issue for trnpxdb003</t>
  </si>
  <si>
    <t>INFAOP-142</t>
  </si>
  <si>
    <t>ttibm605 Fixing LPM issues</t>
  </si>
  <si>
    <t>MAbdul1</t>
  </si>
  <si>
    <t>INFAOP-139</t>
  </si>
  <si>
    <t>IBM Frame ttibm605 evacuation.</t>
  </si>
  <si>
    <t>INFAOP-137</t>
  </si>
  <si>
    <t>Clearclone parameter in AIX Clusters</t>
  </si>
  <si>
    <t>INFAOP-10</t>
  </si>
  <si>
    <t>VIOS Q1 Patching - Polaris NPE</t>
  </si>
  <si>
    <t>MJasim</t>
  </si>
  <si>
    <t>INFAOP-7</t>
  </si>
  <si>
    <t>VIOS Q1 Patching - Titan NPE</t>
  </si>
  <si>
    <t>* Percentages are over the non-blocked items</t>
  </si>
  <si>
    <t>INFAOP-421</t>
  </si>
  <si>
    <t>L2-L3 migration for Passive QVXP database servers</t>
  </si>
  <si>
    <t>INFAOP-425</t>
  </si>
  <si>
    <t>SAN Migration on pelspdm110</t>
  </si>
  <si>
    <t>INFAOP-430</t>
  </si>
  <si>
    <t>Testing AIX Live update</t>
  </si>
  <si>
    <t>INFUOP-747</t>
  </si>
  <si>
    <t xml:space="preserve">svchealth  App servers disks reclaiming Non-Prod </t>
  </si>
  <si>
    <t>INFUOP-748</t>
  </si>
  <si>
    <t>svchealth  App servers disks reclaiming Prod Env.</t>
  </si>
  <si>
    <t>ID</t>
  </si>
  <si>
    <t>INFAOP-395</t>
  </si>
  <si>
    <t>Frame Rebuild - TTIBM605 Phase 1</t>
  </si>
  <si>
    <t>N</t>
  </si>
  <si>
    <t>Prabal</t>
  </si>
  <si>
    <t>Santosh</t>
  </si>
  <si>
    <t>Auditing /usr/sap on AIX npe sap servers</t>
  </si>
  <si>
    <t>1/29/18</t>
  </si>
  <si>
    <t>Commit Not Done</t>
  </si>
  <si>
    <t>INFUOP-770</t>
  </si>
  <si>
    <t>Connect:Enterprise (file transfer XFER) servers network down remediation</t>
  </si>
  <si>
    <t xml:space="preserve">Backlog </t>
  </si>
  <si>
    <t>SS - 2/12</t>
  </si>
  <si>
    <t>SS - 2/16</t>
  </si>
  <si>
    <t>PXIBM207 Frame Rebuild- Phase2</t>
  </si>
  <si>
    <t>INFAOP-399</t>
  </si>
  <si>
    <t>Disabling "critical" parameter on SFHA AIX cluster servers for all Disk groups</t>
  </si>
  <si>
    <t>INFAOP-434</t>
  </si>
  <si>
    <t>AIX new build server approvals - Sprint 2/12</t>
  </si>
  <si>
    <t>INFAOP-435</t>
  </si>
  <si>
    <t xml:space="preserve"> Qualys Agent deployment on AIX servers - Sprint 2/12</t>
  </si>
  <si>
    <t>INFAOP-436</t>
  </si>
  <si>
    <t>On call - Sprint 2018-02-12</t>
  </si>
  <si>
    <t>INFAOP-438</t>
  </si>
  <si>
    <t>L2/L3 migration trnpxdb001/002/003</t>
  </si>
  <si>
    <t>INFAOP-439</t>
  </si>
  <si>
    <t>SAN Migration - 2018-02-12</t>
  </si>
  <si>
    <t>Qualys Agent deployment on Linux servers - Sprint 2/12</t>
  </si>
  <si>
    <t>INFAOP-467</t>
  </si>
  <si>
    <t>PXIBM207- Frame Rebuild- Phase2 - Rework-External Issues</t>
  </si>
  <si>
    <t>INFAOP-468</t>
  </si>
  <si>
    <t>NPE Frame Spike Issue-Investigation</t>
  </si>
  <si>
    <t>INFAOP-469</t>
  </si>
  <si>
    <t xml:space="preserve">Fixing pxibm214/pxibm215 VIO SEA private network </t>
  </si>
  <si>
    <t>INFUOP-97</t>
  </si>
  <si>
    <t>Change of EIT DNS Server IP _Sprint-2_12</t>
  </si>
  <si>
    <t>INFUOP-738</t>
  </si>
  <si>
    <t>HPE Linux Firmware installation - Puppet Module</t>
  </si>
  <si>
    <t>INFUOP-765</t>
  </si>
  <si>
    <t>New Server Approvals</t>
  </si>
  <si>
    <t>INFUOP-766</t>
  </si>
  <si>
    <t>OSR migration project</t>
  </si>
  <si>
    <t>INFUOP-767</t>
  </si>
  <si>
    <t>Document Docker Standards for Linux</t>
  </si>
  <si>
    <t>INFUOP-768</t>
  </si>
  <si>
    <t>Sox Audit for 800+ UNIX Server</t>
  </si>
  <si>
    <t>INFUOP-769</t>
  </si>
  <si>
    <t>HP-UX Cyberark setup</t>
  </si>
  <si>
    <t>INFUOP-771</t>
  </si>
  <si>
    <t xml:space="preserve">NAS Migration Depot </t>
  </si>
  <si>
    <t>INFUOP-773</t>
  </si>
  <si>
    <t>On Call - Linux / Solaris - Week 07 &amp; 08</t>
  </si>
  <si>
    <t>INFUOP-774</t>
  </si>
  <si>
    <t xml:space="preserve">Connect Enterprise (file transfer) -prdxfer003/004 -vcs cluster modification </t>
  </si>
  <si>
    <t>INFUOP-776</t>
  </si>
  <si>
    <t>investigate frequent solaris patching issues and Review the Standards followed by Patching team</t>
  </si>
  <si>
    <t>INFUOP-778</t>
  </si>
  <si>
    <t>Migrate Linux Servers Running "RAID 0" to "RAID 1"</t>
  </si>
  <si>
    <t>INFUOP-779</t>
  </si>
  <si>
    <t>Standardize 'hponcfg' &amp; 'ssacli' across all Linux environment</t>
  </si>
  <si>
    <t>INFUOP-781</t>
  </si>
  <si>
    <t>Sync - HPE ISO Repo Between DC</t>
  </si>
  <si>
    <t>INFUOP-782</t>
  </si>
  <si>
    <t>Remove "OFF" HPVMs &amp; vPARs those were Decommed - Cleanup</t>
  </si>
  <si>
    <t>INFUOP-783</t>
  </si>
  <si>
    <t>Patch Servers under Kevin Luu for Q1 2018</t>
  </si>
  <si>
    <t>INFUOP-784</t>
  </si>
  <si>
    <t>Publish Patch Set Bundle for Q1 2018</t>
  </si>
  <si>
    <t>INFUOP-785</t>
  </si>
  <si>
    <t xml:space="preserve">Multi-factor authentication on UNIX servers </t>
  </si>
  <si>
    <t>INFUOP-786</t>
  </si>
  <si>
    <t>Puppet Task POC</t>
  </si>
  <si>
    <t>Total</t>
  </si>
  <si>
    <t>Fix VOM Security</t>
  </si>
  <si>
    <t>INFAOP-497</t>
  </si>
  <si>
    <t>L2-L3 Migration for Passive RPX DB Nodes</t>
  </si>
  <si>
    <t>y</t>
  </si>
  <si>
    <t>Auditing /usr/sap on AIX NPE SAP Servers</t>
  </si>
  <si>
    <t>INFUOP-789</t>
  </si>
  <si>
    <t>Vulnerabilities on UNIX Servers</t>
  </si>
  <si>
    <t>INFUOP-796</t>
  </si>
  <si>
    <t>2/12/18</t>
  </si>
  <si>
    <t>INFUOP-830</t>
  </si>
  <si>
    <t>Latency NFS Issues prdpatdmg0001/0002</t>
  </si>
  <si>
    <t>INFUOP-837</t>
  </si>
  <si>
    <t>Mongo DB Installation and support to DBA</t>
  </si>
  <si>
    <t>INFAOP-505</t>
  </si>
  <si>
    <t>PatchME Now Deployment Error</t>
  </si>
  <si>
    <t>INFUOP-834</t>
  </si>
  <si>
    <t>PatchmME Now Deployment Error</t>
  </si>
  <si>
    <t>INFUOP-851</t>
  </si>
  <si>
    <t>NAS and Firewall Pre-Requests for setting Kdump on all linux environment.</t>
  </si>
  <si>
    <t>INFUOP-850</t>
  </si>
  <si>
    <t xml:space="preserve">VOM Maintenance </t>
  </si>
  <si>
    <t>INFUOP-849</t>
  </si>
  <si>
    <t>NAS Migration Cleanup</t>
  </si>
  <si>
    <t>INFUOP-848</t>
  </si>
  <si>
    <t>ON-CALL LINUX 02_26_2018</t>
  </si>
  <si>
    <t>INFUOP-847</t>
  </si>
  <si>
    <t>OSR migration tasks - 2/26 sprint</t>
  </si>
  <si>
    <t>INFUOP-846</t>
  </si>
  <si>
    <t>Puppet Tasks - Script update &amp; Training</t>
  </si>
  <si>
    <t>INFUOP-842</t>
  </si>
  <si>
    <t>Summarizing Servers list for Upcoming SAN migration</t>
  </si>
  <si>
    <t>INFUOP-841</t>
  </si>
  <si>
    <t>Engineering iLO Standardization - Phase 2</t>
  </si>
  <si>
    <t>INFUOP-839</t>
  </si>
  <si>
    <t>Modify SSACLI scripting</t>
  </si>
  <si>
    <t>INFUOP-838</t>
  </si>
  <si>
    <t>Enable and Process puppet Service across all Linux Servers</t>
  </si>
  <si>
    <t>INFUOP-694</t>
  </si>
  <si>
    <t>LINUX new build server approvals - Sprint 2/12</t>
  </si>
  <si>
    <t>INFUOP-254</t>
  </si>
  <si>
    <t>RHEL 7 and RHEL 6 build image hardening</t>
  </si>
  <si>
    <t>INFAOP-521</t>
  </si>
  <si>
    <t>AIX Liveupdate testing on selected servers</t>
  </si>
  <si>
    <t>INFAOP-518</t>
  </si>
  <si>
    <t>Veritas upgrade on admtrac005/006 to 7.3</t>
  </si>
  <si>
    <t>INFAOP-517</t>
  </si>
  <si>
    <t>AIX Sprint On call - 02/26 - 03/12</t>
  </si>
  <si>
    <t>INFAOP-515</t>
  </si>
  <si>
    <t>INFAOP-514</t>
  </si>
  <si>
    <t>Integrate Liveupdate with patching automation</t>
  </si>
  <si>
    <t>INFAOP-511</t>
  </si>
  <si>
    <t>Automate boot lun migration</t>
  </si>
  <si>
    <t>INFAOP-510</t>
  </si>
  <si>
    <t>Meltdown vulnerability - rollout frame firmware to NPE IBM frames</t>
  </si>
  <si>
    <t>INFAOP-504</t>
  </si>
  <si>
    <t>AIX new build server approvals - Sprint 2/26</t>
  </si>
  <si>
    <t>INFAOP-503</t>
  </si>
  <si>
    <t>Qualys Agent deployment on AIX servers - Sprint 2/26</t>
  </si>
  <si>
    <t>INFAOP-501</t>
  </si>
  <si>
    <t>AIX Liveupdate testing on selected SAP NPE servers</t>
  </si>
  <si>
    <t>INFAOP-398</t>
  </si>
  <si>
    <t>PXIBM208 Frame Rebuild - Phase 1</t>
  </si>
  <si>
    <t>INFAOP-397</t>
  </si>
  <si>
    <t xml:space="preserve">Create a script to automate /goldengate file system creation on AIX npe servers </t>
  </si>
  <si>
    <t>INFAOP-263</t>
  </si>
  <si>
    <t>Fix fcstat utilization report for PROD ITM</t>
  </si>
  <si>
    <t>INFAOP-2</t>
  </si>
  <si>
    <t>VIOS patching - Polaris PRD</t>
  </si>
  <si>
    <t>2/26/18</t>
  </si>
  <si>
    <t>INFUOP-843</t>
  </si>
  <si>
    <t>Qualys agent on linux _Sprint 2_26</t>
  </si>
  <si>
    <t>INFUOP-844</t>
  </si>
  <si>
    <t xml:space="preserve">DNS IP migration </t>
  </si>
  <si>
    <t>INFUOP-852</t>
  </si>
  <si>
    <t xml:space="preserve">Vulnerabilities on Unix servers </t>
  </si>
  <si>
    <t>INFUOP-853</t>
  </si>
  <si>
    <t>Multi-factor authentication on UNIX servers</t>
  </si>
  <si>
    <t>INFUOP-854</t>
  </si>
  <si>
    <t>INFUOP-855</t>
  </si>
  <si>
    <t xml:space="preserve">service know KB articles review </t>
  </si>
  <si>
    <t>INFUOP-859</t>
  </si>
  <si>
    <t>BL460 Firmware upgrade on pelensp106</t>
  </si>
  <si>
    <t>INFUOP-860</t>
  </si>
  <si>
    <t>BL460 Firmware upgrade on pelensp107</t>
  </si>
  <si>
    <t>INFUOP-861</t>
  </si>
  <si>
    <t>BL460 Firmware upgrade on pelensp108</t>
  </si>
  <si>
    <t>INFUOP-863</t>
  </si>
  <si>
    <t>OSR Migrations Tasks (Part II)</t>
  </si>
  <si>
    <t>INFUOP-867</t>
  </si>
  <si>
    <t>Appsync POC Troubleshooting session</t>
  </si>
  <si>
    <t>INFAOP-452</t>
  </si>
  <si>
    <t>TTIBM609 Frame Rebuild -Phase 1</t>
  </si>
  <si>
    <t>Added After SS</t>
  </si>
  <si>
    <t>AIX Liveupdate testing on selected SAP NPE servers - Venkatesh</t>
  </si>
  <si>
    <t>INFAOP-576</t>
  </si>
  <si>
    <t>L2 - L3 migration stgtbdb201</t>
  </si>
  <si>
    <t>INFUOP-857</t>
  </si>
  <si>
    <t>Connect Enterprise</t>
  </si>
  <si>
    <t>INFUOP-891</t>
  </si>
  <si>
    <t>Multi-factor authentication on AIX servers</t>
  </si>
  <si>
    <t>INFUOP-887</t>
  </si>
  <si>
    <t xml:space="preserve">Vulnerabilities and patching standards -Solaris </t>
  </si>
  <si>
    <t>INFUOP-885</t>
  </si>
  <si>
    <t>LINUX On-Call Sprint 2018-03-12</t>
  </si>
  <si>
    <t>INFUOP-884</t>
  </si>
  <si>
    <t>patching Kevin Luu Servers 3/12 Sprint</t>
  </si>
  <si>
    <t>INFUOP-883</t>
  </si>
  <si>
    <t xml:space="preserve">NAS Migration Cleanup </t>
  </si>
  <si>
    <t>INFUOP-882</t>
  </si>
  <si>
    <t>iLO Local users Password rotation</t>
  </si>
  <si>
    <t>INFUOP-880</t>
  </si>
  <si>
    <t>Spectre Meltdown - Testing Firmware patches on HPE Gen8, 9 &amp; 10</t>
  </si>
  <si>
    <t>INFUOP-874</t>
  </si>
  <si>
    <t>Dell IDRAC Standards DOC</t>
  </si>
  <si>
    <t>INFUOP-873</t>
  </si>
  <si>
    <t>Qualys Agent deployment on Linux servers - Sprint3_12</t>
  </si>
  <si>
    <t>INFUOP-865</t>
  </si>
  <si>
    <t xml:space="preserve">Tidal upgrade </t>
  </si>
  <si>
    <t>INFUOP-787</t>
  </si>
  <si>
    <t>OpenJDK Standardization on Hadoop servers - Phase 2</t>
  </si>
  <si>
    <t>Solaris Q2 patches</t>
  </si>
  <si>
    <t>INFAOP-592</t>
  </si>
  <si>
    <t>AIX On Call - Sprint 3/12</t>
  </si>
  <si>
    <t>INFAOP-591</t>
  </si>
  <si>
    <t>Qualys Agent deployment on AIX servers - Sprint 3/12</t>
  </si>
  <si>
    <t>INFAOP-590</t>
  </si>
  <si>
    <t>AIX new build server approvals - Sprint 3/12</t>
  </si>
  <si>
    <t>INFAOP-586</t>
  </si>
  <si>
    <t>L2-L3 migration for Active CPRF database servers</t>
  </si>
  <si>
    <t>INFAOP-582</t>
  </si>
  <si>
    <t>L2-L3 migration for Passive RPX database servers</t>
  </si>
  <si>
    <t>INFAOP-577</t>
  </si>
  <si>
    <t>AIX upgrade from 6.1 to 7.2 - 22 NPE servers</t>
  </si>
  <si>
    <t>INFAOP-537</t>
  </si>
  <si>
    <t>VIO's Q1 2018 Patching - PXIBM113/202 and TTIBM602/605/607</t>
  </si>
  <si>
    <t>INFAOP-536</t>
  </si>
  <si>
    <t>VIO's Q1 2018 Patching - PXIBM112/201 and TTIBM601</t>
  </si>
  <si>
    <t>INFAOP-530</t>
  </si>
  <si>
    <t>VIO's Q1 2018 Patching - PXIBM106/107/108/110</t>
  </si>
  <si>
    <t>INFAOP-526</t>
  </si>
  <si>
    <t>VIO's Q1 2018 Patching - PXIBM100/103/104/105</t>
  </si>
  <si>
    <t>INFAOP-520</t>
  </si>
  <si>
    <t>Fix DMP paths on servers-All storage-All paths</t>
  </si>
  <si>
    <t>INFAOP-519</t>
  </si>
  <si>
    <t>AIX Live update testing-Muqtadir</t>
  </si>
  <si>
    <t>INFAOP-509</t>
  </si>
  <si>
    <t>Update NPE PowerVC to 1.4.0.1</t>
  </si>
  <si>
    <t>INFAOP-508</t>
  </si>
  <si>
    <t>Patch Linux on Power hosts - admplpyum0009, tstplpvcx0001, tstplpvcx0002</t>
  </si>
  <si>
    <t>INFAOP-380</t>
  </si>
  <si>
    <t>Test - LDAP Integration with HMC</t>
  </si>
  <si>
    <t>INFUOP-903</t>
  </si>
  <si>
    <t>Q2 2018 Platform Standards document</t>
  </si>
  <si>
    <t>INFUOP-900</t>
  </si>
  <si>
    <t>New server build approvals</t>
  </si>
  <si>
    <t>INFUOP-899</t>
  </si>
  <si>
    <t>How to Handle HP OpenView Agent Tickets - UNIX Servers (KB Q2) Refresh</t>
  </si>
  <si>
    <t>INFUOP-898</t>
  </si>
  <si>
    <t xml:space="preserve">SOX/PCI Attestation Tasks for Unix Servers(KB Q2) Refresh </t>
  </si>
  <si>
    <t>INFUOP-895</t>
  </si>
  <si>
    <t xml:space="preserve">Licence Update for TimeTravel </t>
  </si>
  <si>
    <t>INFUOP-894</t>
  </si>
  <si>
    <t>OSR Migration Project Sprint 3/12</t>
  </si>
  <si>
    <t>INFUOP-893</t>
  </si>
  <si>
    <t>Conversion Demonstration</t>
  </si>
  <si>
    <t>INFUOP-890</t>
  </si>
  <si>
    <t>Rubrik POC testing for XFS and VXFS file recovery - Phase1</t>
  </si>
  <si>
    <t>INFAOP-548</t>
  </si>
  <si>
    <t>VIO's Q1 2018 Patching - PXIBM208/209/210/111</t>
  </si>
  <si>
    <t>INFUOP-909</t>
  </si>
  <si>
    <t>INFAOP-538</t>
  </si>
  <si>
    <t>VIO's Q1 2018 Patching - PXIBM114/203 and TTIBM603</t>
  </si>
  <si>
    <t>INFAOP-594</t>
  </si>
  <si>
    <t>Veritas upgrade to 7.3 on stand alone system  tstsposx101.</t>
  </si>
  <si>
    <t>iLO Amplifier Upgrade - EIT</t>
  </si>
  <si>
    <t>INFUOP-923</t>
  </si>
  <si>
    <t>Q2 Platform Document (LINUX)</t>
  </si>
  <si>
    <t>INFUOP-922</t>
  </si>
  <si>
    <t>Master Depot/NFS/Infra Replication Re architecture</t>
  </si>
  <si>
    <t>INFUOP-920</t>
  </si>
  <si>
    <t>OSR Migration Project Sprint 3/26</t>
  </si>
  <si>
    <t>INFUOP-919</t>
  </si>
  <si>
    <t>New Server Approvals - Sprint 3/26</t>
  </si>
  <si>
    <t>INFUOP-918</t>
  </si>
  <si>
    <t>INFUOP-917</t>
  </si>
  <si>
    <t>POC - VM Snapshot  using PowerCLI</t>
  </si>
  <si>
    <t>INFUOP-916</t>
  </si>
  <si>
    <t>Dell IDRAC Standards DOC Phase 2</t>
  </si>
  <si>
    <t>INFUOP-915</t>
  </si>
  <si>
    <t>Clear Stale Mounts</t>
  </si>
  <si>
    <t>INFUOP-914</t>
  </si>
  <si>
    <t>Update patch-set document for Q2 2018</t>
  </si>
  <si>
    <t>INFUOP-913</t>
  </si>
  <si>
    <t>Testing Linux Patch set for Q2 2018</t>
  </si>
  <si>
    <t>INFUOP-912</t>
  </si>
  <si>
    <t>Engineering - iLO Integration with LDAP [ POC ]</t>
  </si>
  <si>
    <t>INFUOP-911</t>
  </si>
  <si>
    <t xml:space="preserve">SNMP/r-commands vulnerability on Solaris </t>
  </si>
  <si>
    <t>INFUOP-910</t>
  </si>
  <si>
    <t xml:space="preserve">NAS Firewall Standardization Document </t>
  </si>
  <si>
    <t>INFUOP-908</t>
  </si>
  <si>
    <t>Fail over test for NFSv4 on Isilon</t>
  </si>
  <si>
    <t>INFUOP-901</t>
  </si>
  <si>
    <t xml:space="preserve">Hadoop /opt remediation </t>
  </si>
  <si>
    <t>INFUOP-886</t>
  </si>
  <si>
    <t>LINUX oncall Sprint 3_26</t>
  </si>
  <si>
    <t>INFUOP-881</t>
  </si>
  <si>
    <t xml:space="preserve">Set of iLOs missing DNS records are identified - Add DNS Host Records </t>
  </si>
  <si>
    <t>INFUOP-574</t>
  </si>
  <si>
    <t xml:space="preserve">Solaris Auto Service Request (ASR) cleanups </t>
  </si>
  <si>
    <t>INFAOP-613</t>
  </si>
  <si>
    <t>Minotaur firmware upgrade PROD</t>
  </si>
  <si>
    <t>INFAOP-612</t>
  </si>
  <si>
    <t>Minotaur firmware upgrade NPE</t>
  </si>
  <si>
    <t>INFAOP-605</t>
  </si>
  <si>
    <t>update Automated capacity management threshold settings - CPU,Memory and AME</t>
  </si>
  <si>
    <t>INFAOP-601</t>
  </si>
  <si>
    <t>Update AIX Patching automation script for Q2 2018 standard</t>
  </si>
  <si>
    <t>INFAOP-600</t>
  </si>
  <si>
    <t>Define Q2 2018 AIX platform standards</t>
  </si>
  <si>
    <t>INFAOP-598</t>
  </si>
  <si>
    <t>Investigate the missing ITM data for listed servers</t>
  </si>
  <si>
    <t>INFAOP-539</t>
  </si>
  <si>
    <t>VIO's Q1 2018 Patching - PXIBM115/204 and TTIBM604</t>
  </si>
  <si>
    <t>INFAOP-199</t>
  </si>
  <si>
    <t>Veritas upgrade using alt_disk_install method</t>
  </si>
  <si>
    <t>INFAOP-196</t>
  </si>
  <si>
    <t>ITM - Remediate offline ITM agents</t>
  </si>
  <si>
    <t>INFAOP-194</t>
  </si>
  <si>
    <t>Automated capacity management - Not able to get recommended EC-VP Values</t>
  </si>
  <si>
    <t>3/13/18</t>
  </si>
  <si>
    <t>INFUOP-879</t>
  </si>
  <si>
    <t>EIT iLO Amplifier - Update to 1.15 Version</t>
  </si>
  <si>
    <t>INFUOP-925</t>
  </si>
  <si>
    <t xml:space="preserve">DNS migration - manual effort to fix on leftover servers </t>
  </si>
  <si>
    <t>INFAOP-621</t>
  </si>
  <si>
    <t>Qualys Agent deployment on AIX servers - Sprint 3/27</t>
  </si>
  <si>
    <t>INFAOP-620</t>
  </si>
  <si>
    <t>AIX new build server approvals - Sprint 3/27</t>
  </si>
  <si>
    <t>INFAOP-618</t>
  </si>
  <si>
    <t>AIX-Oncall-2018_03_27</t>
  </si>
  <si>
    <t>INFAOP-611</t>
  </si>
  <si>
    <t>Investigate/Decom Systems over 1 year wo/patching</t>
  </si>
  <si>
    <t>INFAOP-570</t>
  </si>
  <si>
    <t>VIO's Q1 2018 Patching - TTIBM609/610/611/612</t>
  </si>
  <si>
    <t>INFAOP-555</t>
  </si>
  <si>
    <t>VIO's Q1 2018 Patching - PXIBM214/215/211/212</t>
  </si>
  <si>
    <t>3/27/18</t>
  </si>
  <si>
    <t>INFAOP-445</t>
  </si>
  <si>
    <t>TTIBM605 Frame Rebuild-Phase 2</t>
  </si>
  <si>
    <t>INFAOP-540</t>
  </si>
  <si>
    <t>VIO's Q1 2018 Patching - PXIBM213/260/261 and TTIBM608</t>
  </si>
  <si>
    <t>INFAOP-560</t>
  </si>
  <si>
    <t>VIO's Q1 2018 Patching - PXIBM205/206/116</t>
  </si>
  <si>
    <t>INFAOP-614</t>
  </si>
  <si>
    <t>L2-L3 migration for PROD SCMS DB  Servers</t>
  </si>
  <si>
    <t>INFUOP-927</t>
  </si>
  <si>
    <t>Storage Request on Rephub servers -reppldfrh0052/053</t>
  </si>
  <si>
    <t>INFUOP-928</t>
  </si>
  <si>
    <t xml:space="preserve">Provide list of VCS clients </t>
  </si>
  <si>
    <t>INFUOP-930</t>
  </si>
  <si>
    <t xml:space="preserve">Upgrade VIOM MH from 7.1 --&gt; 7.3 </t>
  </si>
  <si>
    <t>INFUOP-957</t>
  </si>
  <si>
    <t>Q2 patching on NIM servers using Liveupdate</t>
  </si>
  <si>
    <t>INFUOP-956</t>
  </si>
  <si>
    <t>OSR Migration Project Sprint 4/11</t>
  </si>
  <si>
    <t>INFUOP-955</t>
  </si>
  <si>
    <t>New Server Approvals - Sprint 4/11</t>
  </si>
  <si>
    <t>INFUOP-954</t>
  </si>
  <si>
    <t>SAN Migration - Linux - Week 16</t>
  </si>
  <si>
    <t>INFUOP-950</t>
  </si>
  <si>
    <t>Solaris patches and firmware upgrades Q2-2018</t>
  </si>
  <si>
    <t>INFUOP-949</t>
  </si>
  <si>
    <t>SAN Migration - Linux - Week 15</t>
  </si>
  <si>
    <t>INFUOP-948</t>
  </si>
  <si>
    <t>Documentation - HPE Smart array  Split Mirror and Remirror</t>
  </si>
  <si>
    <t>INFUOP-947</t>
  </si>
  <si>
    <t>Varnois POC (again)</t>
  </si>
  <si>
    <t>INFUOP-946</t>
  </si>
  <si>
    <t>Linux Patching/Conversion Troubleshooting</t>
  </si>
  <si>
    <t>INFUOP-945</t>
  </si>
  <si>
    <t>Documentation - PowerCLI setup and SNAP script execution</t>
  </si>
  <si>
    <t>INFUOP-942</t>
  </si>
  <si>
    <t>Patch Validation script Update - Linux , AIX, Solaris</t>
  </si>
  <si>
    <t>INFUOP-941</t>
  </si>
  <si>
    <t>Puppetize vulnerabilities/upgrades/installs for VIOM</t>
  </si>
  <si>
    <t>INFUOP-939</t>
  </si>
  <si>
    <t>ON-CALL LINUX 04_11_2018</t>
  </si>
  <si>
    <t>INFUOP-938</t>
  </si>
  <si>
    <t xml:space="preserve">Review update service-now article "KB107023"  </t>
  </si>
  <si>
    <t>INFUOP-937</t>
  </si>
  <si>
    <t xml:space="preserve">Solaris-ASR(auto service request) -Cleanup Decom servers </t>
  </si>
  <si>
    <t>INFUOP-935</t>
  </si>
  <si>
    <t>Kerberos Authentication Testing on Linux</t>
  </si>
  <si>
    <t>INFUOP-931</t>
  </si>
  <si>
    <t>/etc/ssh/sshd_config modification on Linux servers</t>
  </si>
  <si>
    <t>INFUOP-926</t>
  </si>
  <si>
    <t xml:space="preserve">Hadoop IPtables log </t>
  </si>
  <si>
    <t>INFUOP-904</t>
  </si>
  <si>
    <t>Creating startup script for One-Console development servers</t>
  </si>
  <si>
    <t>INFUOP-897</t>
  </si>
  <si>
    <t>UPM upgrade on Linux servers - Testing</t>
  </si>
  <si>
    <t>INFUOP-731</t>
  </si>
  <si>
    <t>Planning possibility of placing HPEREPO under "Global Network Load Ba-lancer"</t>
  </si>
  <si>
    <t>INFAOP-646</t>
  </si>
  <si>
    <t>Veritas upgrade along with AIX service pack on alt_disk</t>
  </si>
  <si>
    <t>INFAOP-644</t>
  </si>
  <si>
    <t>Fix misconfigured SAS drive pairs polaris VIO's PXVXI106C/D PXVXI108B and PXVXI203A</t>
  </si>
  <si>
    <t>INFAOP-643</t>
  </si>
  <si>
    <t>Add storage for AIX Liveupdate</t>
  </si>
  <si>
    <t>INFAOP-641</t>
  </si>
  <si>
    <t>AIX new build server approvals - Sprint 4/10</t>
  </si>
  <si>
    <t>INFAOP-640</t>
  </si>
  <si>
    <t>AIX patching - Adding common profile on Patching script</t>
  </si>
  <si>
    <t>INFAOP-639</t>
  </si>
  <si>
    <t>AIX Patching - Adding Liveupdate</t>
  </si>
  <si>
    <t>INFAOP-638</t>
  </si>
  <si>
    <t>AIX On Call 4/11/2018</t>
  </si>
  <si>
    <t>INFAOP-636</t>
  </si>
  <si>
    <t xml:space="preserve">Optimize update_Activate_lpar_config script </t>
  </si>
  <si>
    <t>INFAOP-635</t>
  </si>
  <si>
    <t>Prep-work for ITM to support Oracle 12c Upgrade</t>
  </si>
  <si>
    <t>INFAOP-634</t>
  </si>
  <si>
    <t>AIX San Migration - 4/10/2018</t>
  </si>
  <si>
    <t>INFAOP-631</t>
  </si>
  <si>
    <t>Fix misconfigured SAS drive pairs titan VIO's</t>
  </si>
  <si>
    <t>INFAOP-626</t>
  </si>
  <si>
    <t>investigate high cpu utilization of frame PXIBM307</t>
  </si>
  <si>
    <t>INFAOP-523</t>
  </si>
  <si>
    <t>YUM Implementation - configure YUM on AIX hosts</t>
  </si>
  <si>
    <t>Raw Data</t>
  </si>
  <si>
    <t>INFAOP-651</t>
  </si>
  <si>
    <t>Veritas Upgrade script for 7.3.1</t>
  </si>
  <si>
    <t>INFAOP-653</t>
  </si>
  <si>
    <t>Q2 patching - Kevin Luu owned systems - Batch1</t>
  </si>
  <si>
    <t>INFAOP-654</t>
  </si>
  <si>
    <t>Q2 patching - testing veritas upgrade scripts</t>
  </si>
  <si>
    <t>INFAOP-655</t>
  </si>
  <si>
    <t>Q2 patching - Kevin Luu owned systems - Batch2</t>
  </si>
  <si>
    <t>INFAOP-656</t>
  </si>
  <si>
    <t>Q2 patching - troubleshooting and test the fix for patching issue</t>
  </si>
  <si>
    <t>INFAOP-657</t>
  </si>
  <si>
    <t>Q2 patching - develop, test and deploy new patch bundle with fix</t>
  </si>
  <si>
    <t>INFAOP-658</t>
  </si>
  <si>
    <t>Q2 Patching - ADMTRAC DB server's</t>
  </si>
  <si>
    <t>INFUOP-961</t>
  </si>
  <si>
    <t xml:space="preserve">Troubleshooting Qualys agent failures on Linux nodes </t>
  </si>
  <si>
    <t>INFUOP-965</t>
  </si>
  <si>
    <t xml:space="preserve">keepalived VIP setup for prdplopmn001/prdplopmn002 </t>
  </si>
  <si>
    <t>INFUOP-969</t>
  </si>
  <si>
    <t>patching on Solaris CDOM-pxsun008</t>
  </si>
  <si>
    <t>Prj/Add</t>
  </si>
  <si>
    <t>Azmath Total</t>
  </si>
  <si>
    <t>Bhuvan Total</t>
  </si>
  <si>
    <t>Jasim Total</t>
  </si>
  <si>
    <t>Mammar Total</t>
  </si>
  <si>
    <t>Muqtadir Total</t>
  </si>
  <si>
    <t>Prabal Total</t>
  </si>
  <si>
    <t>Rakesh Total</t>
  </si>
  <si>
    <t>Ramesh Total</t>
  </si>
  <si>
    <t>Santosh Total</t>
  </si>
  <si>
    <t>Venkatesh Total</t>
  </si>
  <si>
    <t>Count of Status</t>
  </si>
  <si>
    <t>In Progress Total</t>
  </si>
  <si>
    <t>To Do Total</t>
  </si>
  <si>
    <t>xx</t>
  </si>
  <si>
    <t>INFUOP-952</t>
  </si>
  <si>
    <t>pxsun008-patching and fixing the issues - Solaris</t>
  </si>
  <si>
    <t>INFAOP-659</t>
  </si>
  <si>
    <t>AIX San Migration - 4/17/2018</t>
  </si>
  <si>
    <t>INFAOP-660</t>
  </si>
  <si>
    <t>MKSYSB restore on AIX Patched Servers</t>
  </si>
  <si>
    <t>INFAOP-661</t>
  </si>
  <si>
    <t>create automated script for alt_rootvg</t>
  </si>
  <si>
    <t>INFUOP-985</t>
  </si>
  <si>
    <t>TEST IDRAC password Rotation via CyberArc</t>
  </si>
  <si>
    <t>INFUOP-982</t>
  </si>
  <si>
    <t>Consolidate Polaris NPE VOM servers</t>
  </si>
  <si>
    <t>INFUOP-981</t>
  </si>
  <si>
    <t xml:space="preserve">Consolidate Titan NPE VOM servers </t>
  </si>
  <si>
    <t>patch production IBM frame firmware with Meltdown/Spectre fix - Polaris</t>
  </si>
  <si>
    <t>patch production IBM frame firmware with Meltdown/Spectre fix - Titan</t>
  </si>
  <si>
    <t>INFUOP-978</t>
  </si>
  <si>
    <t>SAN Migration - Linux - Week 18</t>
  </si>
  <si>
    <t>INFUOP-977</t>
  </si>
  <si>
    <t>SAN Migration - Linux - Week 17</t>
  </si>
  <si>
    <t>INFUOP-976</t>
  </si>
  <si>
    <t>OSR Migration</t>
  </si>
  <si>
    <t>INFUOP-975</t>
  </si>
  <si>
    <t>New Server Build Approvals</t>
  </si>
  <si>
    <t>INFUOP-974</t>
  </si>
  <si>
    <t>SOX Audit /Request for OIM servers</t>
  </si>
  <si>
    <t>INFUOP-972</t>
  </si>
  <si>
    <t>Encase Agent Testing on Linux Servers</t>
  </si>
  <si>
    <t>INFUOP-971</t>
  </si>
  <si>
    <t>Patch Linux Tier 2 Servers under Kevin Luu for Q2 2018</t>
  </si>
  <si>
    <t>INFUOP-967</t>
  </si>
  <si>
    <t>Analyzing puppet module for Netbackup client Upgrade on Linux &amp; AIX servers to 8.1</t>
  </si>
  <si>
    <t>INFUOP-966</t>
  </si>
  <si>
    <t>Solaris - rsh/rlogin vulnerability - apply fix on all Solaris box</t>
  </si>
  <si>
    <t>INFUOP-963</t>
  </si>
  <si>
    <t xml:space="preserve">Solaris LDOM migration issues </t>
  </si>
  <si>
    <t>INFAOP-669</t>
  </si>
  <si>
    <t>AIX_On-call 4/24/2018</t>
  </si>
  <si>
    <t>INFAOP-668</t>
  </si>
  <si>
    <t>AIX SAN migration - 5/01/2018</t>
  </si>
  <si>
    <t>INFAOP-667</t>
  </si>
  <si>
    <t>remove asmrac systems from rolling patching</t>
  </si>
  <si>
    <t>INFAOP-666</t>
  </si>
  <si>
    <t>AIX SAN migration - 4/24/2018</t>
  </si>
  <si>
    <t>INFAOP-665</t>
  </si>
  <si>
    <t>Automate alt_rootvg for all systems in regular interval</t>
  </si>
  <si>
    <t>INFAOP-664</t>
  </si>
  <si>
    <t xml:space="preserve">Build patching pipe line for AIX standalone system patching testing </t>
  </si>
  <si>
    <t>INFAOP-663</t>
  </si>
  <si>
    <t>Automate veritas upgrade along with AIX patching using alt_rootvg</t>
  </si>
  <si>
    <t>INFAOP-662</t>
  </si>
  <si>
    <t>Veritas CVM , DG &amp; VxFS version upgrades along with Veritas upgrades</t>
  </si>
  <si>
    <t>INFAOP-650</t>
  </si>
  <si>
    <t>AIX patching script issues - complete</t>
  </si>
  <si>
    <t>INFAOP-649</t>
  </si>
  <si>
    <t>AIX patching script issues - ssh_setup_rsa_keys</t>
  </si>
  <si>
    <t>INFAOP-648</t>
  </si>
  <si>
    <t>AIX patching script issues - relink_db</t>
  </si>
  <si>
    <t>INFAOP-645</t>
  </si>
  <si>
    <t>Fix misconfigured SAS drive pairs polaris VIO's PXVXI204a PXVXI205a and PXVX206a</t>
  </si>
  <si>
    <t>INFAOP-633</t>
  </si>
  <si>
    <t>Veritas upgrade test for CVM cluster using alt_disk and Rollling</t>
  </si>
  <si>
    <t>INFAOP-516</t>
  </si>
  <si>
    <t>L2-L3 migration for listed staging servers</t>
  </si>
  <si>
    <t>INFUOP-986</t>
  </si>
  <si>
    <t/>
  </si>
  <si>
    <t>UNIX On-Call</t>
  </si>
  <si>
    <t>INFAOP-671</t>
  </si>
  <si>
    <t>INFAOP-672</t>
  </si>
  <si>
    <t>INFAOP-289</t>
  </si>
  <si>
    <t>ITM - missing data for HMC cpu and memory utilization</t>
  </si>
  <si>
    <t>INFAOP-400</t>
  </si>
  <si>
    <t>Balance the LPARS accross the frames tthmc601a</t>
  </si>
  <si>
    <t>INFAOP-512</t>
  </si>
  <si>
    <t>Automate LVM lun migration</t>
  </si>
  <si>
    <t>Patch production IBM frame firmware with Meltdown/Spectre fix - Batch1</t>
  </si>
  <si>
    <t>Patch production IBM frame firmware with Meltdown/Spectre fix - Batch2</t>
  </si>
  <si>
    <t>INFAOP-674</t>
  </si>
  <si>
    <t>AIX new build server approvals - Sprint 5/8</t>
  </si>
  <si>
    <t>INFAOP-675</t>
  </si>
  <si>
    <t>AIX On-call 05/08 Sprint</t>
  </si>
  <si>
    <t>INFAOP-681</t>
  </si>
  <si>
    <t>INFAOP-682</t>
  </si>
  <si>
    <t>AIX SAN Migration - 05/08/2018</t>
  </si>
  <si>
    <t>INFAOP-683</t>
  </si>
  <si>
    <t>AIX SAN Migration - 05/15/2018</t>
  </si>
  <si>
    <t>INFAOP-684</t>
  </si>
  <si>
    <t xml:space="preserve">Fix VXDMP Issues after Storage Migration </t>
  </si>
  <si>
    <t>INFAOP-687</t>
  </si>
  <si>
    <t>Remote TEMS not starting for admitmx105 * tstitmx302</t>
  </si>
  <si>
    <t>INFAOP-688</t>
  </si>
  <si>
    <t>Remote TEMS Warehouse Data row insertion failure</t>
  </si>
  <si>
    <t>INFAOP-689</t>
  </si>
  <si>
    <t>improve patch_frame_firmware_auto script</t>
  </si>
  <si>
    <t>INFAOP-690</t>
  </si>
  <si>
    <t>create automated script for frame firmware readiness</t>
  </si>
  <si>
    <t>INFAOP-693</t>
  </si>
  <si>
    <t xml:space="preserve">Blade firmware upgrade on stgplcmsv0001 </t>
  </si>
  <si>
    <t>INFAOP-694</t>
  </si>
  <si>
    <t>improve alt_root_backup</t>
  </si>
  <si>
    <t>INFAOP-701</t>
  </si>
  <si>
    <t>integrate upgrade_vx_elements to patching automation</t>
  </si>
  <si>
    <t>INFAOP-702</t>
  </si>
  <si>
    <t>Find solution for SAP agent not starting on VCS and integrate with patching automation</t>
  </si>
  <si>
    <t>INFUOP-402</t>
  </si>
  <si>
    <t>Linux Pre / Post Healthcheck script for Patching</t>
  </si>
  <si>
    <t>INFUOP-906</t>
  </si>
  <si>
    <t>patching Kevin Luu Servers - Solaris CDOM Servers</t>
  </si>
  <si>
    <t>INFUOP-989</t>
  </si>
  <si>
    <t>Implement Iptables logs on Hadoop Dev</t>
  </si>
  <si>
    <t>INFUOP-990</t>
  </si>
  <si>
    <t>Create UNIX landing page</t>
  </si>
  <si>
    <t>INFUOP-991</t>
  </si>
  <si>
    <t>Varonis POC Phase II</t>
  </si>
  <si>
    <t>INFUOP-992</t>
  </si>
  <si>
    <t>Troubleshooting Rephub Linux server post Patching.</t>
  </si>
  <si>
    <t>INFUOP-993</t>
  </si>
  <si>
    <t>LINUX oncall Sprint 5_08</t>
  </si>
  <si>
    <t>INFUOP-994</t>
  </si>
  <si>
    <t>SOLARIS - SNMP Vulnerability Fix (NON-PROD and PROD)</t>
  </si>
  <si>
    <t>INFUOP-995</t>
  </si>
  <si>
    <t>Kerberos Authentication POC on Linux Platform - Phase 1</t>
  </si>
  <si>
    <t>INFUOP-996</t>
  </si>
  <si>
    <t xml:space="preserve">Sudo and Java upgrade on SOlaris </t>
  </si>
  <si>
    <t>INFUOP-998</t>
  </si>
  <si>
    <t>INFUOP-999</t>
  </si>
  <si>
    <t>OSR03 migration</t>
  </si>
  <si>
    <t>INFUOP-1000</t>
  </si>
  <si>
    <t>Linux EPEL repository</t>
  </si>
  <si>
    <t>INFUOP-1001</t>
  </si>
  <si>
    <t>INFUOP-1003</t>
  </si>
  <si>
    <t>INFUOP-1006</t>
  </si>
  <si>
    <t xml:space="preserve">SOX  auditing on *NIX servers </t>
  </si>
  <si>
    <t>INFUOP-1015</t>
  </si>
  <si>
    <t>Recover stgcmrcol7 after Application Upgrade</t>
  </si>
  <si>
    <t>RNagall</t>
  </si>
  <si>
    <t>4/10/18</t>
  </si>
  <si>
    <t>4/24/18</t>
  </si>
  <si>
    <t>5/8/18</t>
  </si>
  <si>
    <t>INFAOP-685</t>
  </si>
  <si>
    <t>Cluster reconfigure - prdspap801 &amp; prdspap802</t>
  </si>
  <si>
    <t>INFAOP-686</t>
  </si>
  <si>
    <t>Cluster reconfigure - prdspgc801 &amp; prdspgc802</t>
  </si>
  <si>
    <t>INFAOP-695</t>
  </si>
  <si>
    <t>VIO's Q1 2018 Patching - PXVXI202A/B/C/D</t>
  </si>
  <si>
    <t>INFAOP-703</t>
  </si>
  <si>
    <t>update VRTSacclib fileset and fix SAP agent issues on listed systems</t>
  </si>
  <si>
    <t>INFAOP-709</t>
  </si>
  <si>
    <t>AIX SAN Migration - 05/22/18</t>
  </si>
  <si>
    <t>INFAOP-710</t>
  </si>
  <si>
    <t>AIX SAN Migration - 05/29/18</t>
  </si>
  <si>
    <t>INFAOP-711</t>
  </si>
  <si>
    <t>AIX new build server approvals - Sprint 5/22</t>
  </si>
  <si>
    <t>INFAOP-717</t>
  </si>
  <si>
    <t>Pier/ServiceNow tickets remediation - Sprint 5/22</t>
  </si>
  <si>
    <t>INFAOP-718</t>
  </si>
  <si>
    <t>Request L3 IPs for listed servers</t>
  </si>
  <si>
    <t>INFAOP-719</t>
  </si>
  <si>
    <t>Rightsize TTIBM601/602 frames by moving loads to neighboring frames</t>
  </si>
  <si>
    <t>INFAOP-720</t>
  </si>
  <si>
    <t>AIX-Oncall Sprint 05/22 - 06/05</t>
  </si>
  <si>
    <t>INFAOP-721</t>
  </si>
  <si>
    <t>Fix veritas upgrade issue on prdsisp005/006</t>
  </si>
  <si>
    <t>INFAOP-722</t>
  </si>
  <si>
    <t>Test Titan ITM server with ODBC 8 JAR file for Oracle 12c upgrade</t>
  </si>
  <si>
    <t>INFAOP-723</t>
  </si>
  <si>
    <t>high cpu usage across many servers</t>
  </si>
  <si>
    <t>INFAOP-724</t>
  </si>
  <si>
    <t>L2-L3 migration for TMCD DB server</t>
  </si>
  <si>
    <t>INFAOP-732</t>
  </si>
  <si>
    <t>integrate alt_root_backup with SAN migration</t>
  </si>
  <si>
    <t>INFUOP-740</t>
  </si>
  <si>
    <t>Clean up 20Tb file system used for the HP-UX =&gt; Linux</t>
  </si>
  <si>
    <t>INFUOP-1007</t>
  </si>
  <si>
    <t xml:space="preserve">Apply puppet module(VOM upgrade) on NPE </t>
  </si>
  <si>
    <t>INFUOP-1014</t>
  </si>
  <si>
    <t>Varonis POC Phase III</t>
  </si>
  <si>
    <t>INFUOP-1016</t>
  </si>
  <si>
    <t xml:space="preserve">Puppet module to Install yum-utils and remove amanda-client packages </t>
  </si>
  <si>
    <t>INFUOP-1017</t>
  </si>
  <si>
    <t>POC - Splunk Expanding Array and adding the New LD with RAID 6  under LVM</t>
  </si>
  <si>
    <t>INFUOP-1018</t>
  </si>
  <si>
    <t>Add SPLUNK "unassigned" disks under Array and add with Apps FS</t>
  </si>
  <si>
    <t>INFUOP-1019</t>
  </si>
  <si>
    <t xml:space="preserve">Staging Spectre/Meltdown Firmware POC - All Linux Physical servers RHEL 6+ </t>
  </si>
  <si>
    <t>INFUOP-1020</t>
  </si>
  <si>
    <t>SAN Migration - Linux - Week 19</t>
  </si>
  <si>
    <t>INFUOP-1021</t>
  </si>
  <si>
    <t>SAN Migration - Linux - Week 20</t>
  </si>
  <si>
    <t>INFUOP-1024</t>
  </si>
  <si>
    <t>Cleanup Decommissioned servers on CDOM-pxsun011</t>
  </si>
  <si>
    <t>INFUOP-1026</t>
  </si>
  <si>
    <t>Upgrade INIQ software for NAS team</t>
  </si>
  <si>
    <t>INFUOP-1027</t>
  </si>
  <si>
    <t>INFUOP-1028</t>
  </si>
  <si>
    <t>Update approval script</t>
  </si>
  <si>
    <t>INFUOP-1031</t>
  </si>
  <si>
    <t>SOLARIS - SNMP Vulnerability Fix (PROD )</t>
  </si>
  <si>
    <t>INFUOP-1032</t>
  </si>
  <si>
    <t>Linux Oncall 05-22-2018</t>
  </si>
  <si>
    <t>INFUOP-1033</t>
  </si>
  <si>
    <t xml:space="preserve">Cleanup Cyberark </t>
  </si>
  <si>
    <t>INFUOP-1035</t>
  </si>
  <si>
    <t>Troubleshooting VOM upgrade issues on AIX</t>
  </si>
  <si>
    <t>INFUOP-1036</t>
  </si>
  <si>
    <t>UPM install issue on OEL 5 servers</t>
  </si>
  <si>
    <t>5/22/18</t>
  </si>
  <si>
    <r>
      <rPr>
        <b/>
        <sz val="11"/>
        <color rgb="FF3F3F76"/>
        <rFont val="Calibri"/>
        <family val="2"/>
        <scheme val="minor"/>
      </rPr>
      <t xml:space="preserve">Negative Impacts: </t>
    </r>
    <r>
      <rPr>
        <sz val="11"/>
        <color rgb="FF3F3F76"/>
        <rFont val="Calibri"/>
        <family val="2"/>
        <scheme val="minor"/>
      </rPr>
      <t xml:space="preserve">
* Jon got a high priority story
* Bhuvan had new priority impacts
* Patching SAP caused some slowdowns
* Veritas caused issues. Backup/Restore issues. Will generate some ideas of what we need to do in the future - RCA needs to be done.
</t>
    </r>
  </si>
  <si>
    <t>INFUOP-1077</t>
  </si>
  <si>
    <t>How to register and open SR for DELL</t>
  </si>
  <si>
    <t>INFUOP-1058</t>
  </si>
  <si>
    <t xml:space="preserve">Remove  Down state VOM agents from Master nodes </t>
  </si>
  <si>
    <t>INFUOP-1057</t>
  </si>
  <si>
    <t>Solaris Q3 2018 OS Platform Standard Updates!</t>
  </si>
  <si>
    <t>INFUOP-1056</t>
  </si>
  <si>
    <t>Mem Usage script for Linux 7.x</t>
  </si>
  <si>
    <t>INFUOP-1055</t>
  </si>
  <si>
    <t>Linux -oncall sprint 06/06</t>
  </si>
  <si>
    <t>INFUOP-1054</t>
  </si>
  <si>
    <t xml:space="preserve">UNIX landing Page Improvements </t>
  </si>
  <si>
    <t>INFUOP-1053</t>
  </si>
  <si>
    <t xml:space="preserve">Puppetize Iptables </t>
  </si>
  <si>
    <t>INFUOP-1052</t>
  </si>
  <si>
    <t>SAN Migration - Linux - Week 22</t>
  </si>
  <si>
    <t>INFUOP-1051</t>
  </si>
  <si>
    <t>SAN Migration - Linux - Week 21</t>
  </si>
  <si>
    <t>INFUOP-1049</t>
  </si>
  <si>
    <t>New Dell Server Builds (list of issues to work out with Build team)</t>
  </si>
  <si>
    <t>INFUOP-1048</t>
  </si>
  <si>
    <t>Google Adapter (migration from ENGR LDAP/LOCAL Auth to AD/VAS)</t>
  </si>
  <si>
    <t>INFUOP-1047</t>
  </si>
  <si>
    <t>INFUOP-1046</t>
  </si>
  <si>
    <t xml:space="preserve">Apply puppet module (tmo_ops_packages- remove amanda and install yum-utils) on Linux NPE </t>
  </si>
  <si>
    <t>INFUOP-1042</t>
  </si>
  <si>
    <t>Cleanup Decommissioned LDOMs on CDOM-pxsun013</t>
  </si>
  <si>
    <t>INFUOP-1041</t>
  </si>
  <si>
    <t>RPMDB issue on OEL5 servers</t>
  </si>
  <si>
    <t>INFUOP-1025</t>
  </si>
  <si>
    <t>Cleanup Decommissioned servers on CDOM-pxsun012/005</t>
  </si>
  <si>
    <t>INFUOP-968</t>
  </si>
  <si>
    <t>Troubleshooting Qualys agent failures on Linux nodes</t>
  </si>
  <si>
    <t>INFUOP-921</t>
  </si>
  <si>
    <t xml:space="preserve">Remove Veritas DMP on rephub servers </t>
  </si>
  <si>
    <t>INFUOP-905</t>
  </si>
  <si>
    <t>POC - Managing iLO Local password through CyberArk</t>
  </si>
  <si>
    <t>INFUOP-722</t>
  </si>
  <si>
    <t>how to upgrade Dell firmware Document</t>
  </si>
  <si>
    <t>INFAOP-758</t>
  </si>
  <si>
    <t>Modification on alt_root_backup &amp; prepare boot lun migration scripts</t>
  </si>
  <si>
    <t>INFAOP-755</t>
  </si>
  <si>
    <t>AIX new build server approvals - Sprint 6/6</t>
  </si>
  <si>
    <t>INFAOP-754</t>
  </si>
  <si>
    <t>Reconfigure NPE ITM to use ODBC 6 JAR FILE for Oracle 12c upgrade project</t>
  </si>
  <si>
    <t>INFAOP-753</t>
  </si>
  <si>
    <t>Adding Low PRI across all the veritas cluster servers.</t>
  </si>
  <si>
    <t>INFAOP-752</t>
  </si>
  <si>
    <t>TITAN tthmc601 frames current  PIF evaluation</t>
  </si>
  <si>
    <t>INFAOP-751</t>
  </si>
  <si>
    <t>AIX-Oncall Sprint 06/06</t>
  </si>
  <si>
    <t>INFAOP-741</t>
  </si>
  <si>
    <t>AIX SAN Migrations - 6/12/2018</t>
  </si>
  <si>
    <t>INFAOP-740</t>
  </si>
  <si>
    <t>AIX SAN Migrations -  6/5/2018</t>
  </si>
  <si>
    <t>INFAOP-738</t>
  </si>
  <si>
    <t>Fixing Enclosure name for boot lun migration</t>
  </si>
  <si>
    <t>INFAOP-736</t>
  </si>
  <si>
    <t>Polaris PROD Cluster nodes on same Frame</t>
  </si>
  <si>
    <t>INFAOP-733</t>
  </si>
  <si>
    <t>DMP rootability issue after boot lun migration</t>
  </si>
  <si>
    <t>INFAOP-730</t>
  </si>
  <si>
    <t>PRD frame Meltdown/Spectre fix batch-4</t>
  </si>
  <si>
    <t>INFAOP-729</t>
  </si>
  <si>
    <t>PRD frame Meltdown/Spectre fix batch-3</t>
  </si>
  <si>
    <t>INFAOP-728</t>
  </si>
  <si>
    <t>POC - LDAP integration with HMC [ Task Role with AD ]</t>
  </si>
  <si>
    <t>Automate LVM lun migration - NPE config</t>
  </si>
  <si>
    <t>INFAOP-447</t>
  </si>
  <si>
    <t>PXIBM208 Frame Rebuild -Phase 2</t>
  </si>
  <si>
    <t>FRAME REBUILD PHASE2-TTIBM605</t>
  </si>
  <si>
    <t>6/5/18</t>
  </si>
  <si>
    <t xml:space="preserve"> Total</t>
  </si>
  <si>
    <t>(All)</t>
  </si>
  <si>
    <t>INFUOP-1114</t>
  </si>
  <si>
    <t>L3 IP requests</t>
  </si>
  <si>
    <t>INFUOP-1111</t>
  </si>
  <si>
    <t>SSH Keys with PuTTY on Windows and use on Linux - Testing</t>
  </si>
  <si>
    <t>INFUOP-1110</t>
  </si>
  <si>
    <t xml:space="preserve">Solaris -last patched date for service now discovery </t>
  </si>
  <si>
    <t>INFUOP-1109</t>
  </si>
  <si>
    <t>Linux - Physical server mirror Break &amp; Remirror monitoring - June 19 - Jul 01</t>
  </si>
  <si>
    <t>INFUOP-1108</t>
  </si>
  <si>
    <t>Linux - Health-check - Pre Patching - Additional Checks</t>
  </si>
  <si>
    <t>INFUOP-1105</t>
  </si>
  <si>
    <t xml:space="preserve">Troubleshoot/update the puppet module (tmo_ops_packages) </t>
  </si>
  <si>
    <t>INFUOP-1104</t>
  </si>
  <si>
    <t>Server Approvals</t>
  </si>
  <si>
    <t>INFUOP-1103</t>
  </si>
  <si>
    <t xml:space="preserve">VIOM Maintenance </t>
  </si>
  <si>
    <t>INFUOP-1102</t>
  </si>
  <si>
    <t>Service Now Data Integrity Validation</t>
  </si>
  <si>
    <t>INFUOP-1101</t>
  </si>
  <si>
    <t>UPM - Titan Servers Disconnections - troubleshooting</t>
  </si>
  <si>
    <t>INFUOP-1100</t>
  </si>
  <si>
    <t>Service Now Last Patch Date Update</t>
  </si>
  <si>
    <t>INFUOP-1099</t>
  </si>
  <si>
    <t xml:space="preserve">KB Article - Documenting Linux Soft RAID </t>
  </si>
  <si>
    <t>INFUOP-1098</t>
  </si>
  <si>
    <t>SAN Migration - Linux - Week 24 [  [ June 25 -29 ]</t>
  </si>
  <si>
    <t>INFUOP-1097</t>
  </si>
  <si>
    <t>SAN Migration - Linux - Week 23  [ June 19 - 22 ]</t>
  </si>
  <si>
    <t>INFUOP-1090</t>
  </si>
  <si>
    <t xml:space="preserve">Reconfigure active LDOM's in OPscenter for live migration </t>
  </si>
  <si>
    <t>INFUOP-1087</t>
  </si>
  <si>
    <t>Cleanup Decommissioned servers on CDOM-pxsun007</t>
  </si>
  <si>
    <t>INFUOP-1086</t>
  </si>
  <si>
    <t>Cleanup Decommissioned servers on CDOM-pxsun006</t>
  </si>
  <si>
    <t>INFUOP-1085</t>
  </si>
  <si>
    <t>Remove VERITAS from RHEL 7.x (admplusec0007 Server)</t>
  </si>
  <si>
    <t>INFUOP-1050</t>
  </si>
  <si>
    <t>Linux Oncall 06-19-2018</t>
  </si>
  <si>
    <t>INFUOP-1043</t>
  </si>
  <si>
    <t>Cleanup Decommissioned servers on CDOM-pxsun014</t>
  </si>
  <si>
    <t>INFUOP-1023</t>
  </si>
  <si>
    <t>puppet module for Netbackup client Upgrade on Linux &amp; AIX servers to 8.1</t>
  </si>
  <si>
    <t>INFUOP-964</t>
  </si>
  <si>
    <t xml:space="preserve">Clean up tmo_puppet_depotmaster.txt fact </t>
  </si>
  <si>
    <t>INFAOP-783</t>
  </si>
  <si>
    <t>AIX Patch Pipe Line - Phase I</t>
  </si>
  <si>
    <t>INFAOP-782</t>
  </si>
  <si>
    <t>Minotaur NPE &amp; PROD Firmware patching</t>
  </si>
  <si>
    <t>INFAOP-774</t>
  </si>
  <si>
    <t>TTIBM609 frame evacuation</t>
  </si>
  <si>
    <t>INFAOP-773</t>
  </si>
  <si>
    <t>VxVM Cleanup</t>
  </si>
  <si>
    <t>INFAOP-772</t>
  </si>
  <si>
    <t>Adding low-pri to TTIBM609 frame cluster for LPM</t>
  </si>
  <si>
    <t>INFAOP-771</t>
  </si>
  <si>
    <t>Define Q3 2018 AIX platform standards</t>
  </si>
  <si>
    <t>INFAOP-770</t>
  </si>
  <si>
    <t>AIX new build server approvals - Sprint 6/19</t>
  </si>
  <si>
    <t>INFAOP-766</t>
  </si>
  <si>
    <t>L2-L3 migration for active ADM DB servers</t>
  </si>
  <si>
    <t>INFAOP-765</t>
  </si>
  <si>
    <t>Enhancements for Veritas SAN migration scripts</t>
  </si>
  <si>
    <t>INFAOP-763</t>
  </si>
  <si>
    <t>AIX-Oncall Sprint 06/19</t>
  </si>
  <si>
    <t>INFAOP-762</t>
  </si>
  <si>
    <t>Automating the bootlun config file cleanup</t>
  </si>
  <si>
    <t>INFAOP-761</t>
  </si>
  <si>
    <t>AIX SAN Migrations - 06/26/2018</t>
  </si>
  <si>
    <t>INFAOP-760</t>
  </si>
  <si>
    <t>AIX SAN Migrations - 06/19/2018</t>
  </si>
  <si>
    <t>INFAOP-759</t>
  </si>
  <si>
    <t>VIO's Q1 2018 Patching - PXVXI260A/B</t>
  </si>
  <si>
    <t>INFAOP-737</t>
  </si>
  <si>
    <t>Add "Fencing DG" part of VX elements upgrade</t>
  </si>
  <si>
    <t>INFAOP-513</t>
  </si>
  <si>
    <t>Automate ASM lun migration</t>
  </si>
  <si>
    <t>INFAOP-448</t>
  </si>
  <si>
    <t>PXIBM209 Frame Rebuild -Phase 1</t>
  </si>
  <si>
    <t>INFAOP-767</t>
  </si>
  <si>
    <t xml:space="preserve">Prep-work for L2-L3 migration </t>
  </si>
  <si>
    <t>INFAOP-768</t>
  </si>
  <si>
    <t xml:space="preserve">Maintenance tasks for L2-L3 migration </t>
  </si>
  <si>
    <t>INFAOP-769</t>
  </si>
  <si>
    <t xml:space="preserve">Post-migration tasks </t>
  </si>
  <si>
    <t>INFAOP-775</t>
  </si>
  <si>
    <t>Patching issues on PRD servers while upgrading VX-Elements</t>
  </si>
  <si>
    <t>INFAOP-776</t>
  </si>
  <si>
    <t>Patching issues on SAP NPE servers</t>
  </si>
  <si>
    <t>INFAOP-777</t>
  </si>
  <si>
    <t xml:space="preserve">Prdrpxx001/002 DB crashed </t>
  </si>
  <si>
    <t>INFAOP-778</t>
  </si>
  <si>
    <t>DB crash on prdrpxx001/002</t>
  </si>
  <si>
    <t>6/19/18</t>
  </si>
  <si>
    <t>INFUOP-1129</t>
  </si>
  <si>
    <t xml:space="preserve"> Informatica on-prem Project OS Pre-Requirements</t>
  </si>
  <si>
    <t>INFUOP-1127</t>
  </si>
  <si>
    <t>Blade firmware upgrade on prdtsaf201</t>
  </si>
  <si>
    <t>INFUOP-1125</t>
  </si>
  <si>
    <t xml:space="preserve"> SAN Migration - Linux - Week 24 [ July 09- 13 ]</t>
  </si>
  <si>
    <t>INFUOP-1124</t>
  </si>
  <si>
    <t>UNIX Server Approvals - Sprint 2018-07-03</t>
  </si>
  <si>
    <t>INFUOP-1123</t>
  </si>
  <si>
    <t>SAN Migration - Linux - Week 23 [ July 02- 06 ]</t>
  </si>
  <si>
    <t>INFUOP-1122</t>
  </si>
  <si>
    <t xml:space="preserve">Q3 Patching Validation Script Update </t>
  </si>
  <si>
    <t>INFUOP-1121</t>
  </si>
  <si>
    <t>ON-CALL LINUX 2018-07-03</t>
  </si>
  <si>
    <t>INFUOP-1120</t>
  </si>
  <si>
    <t>Puppetize Iptables for Hadoop_Dev</t>
  </si>
  <si>
    <t>INFUOP-1119</t>
  </si>
  <si>
    <t xml:space="preserve">Testing puppet module for netbackup upgrade 8.1 </t>
  </si>
  <si>
    <t>INFUOP-1118</t>
  </si>
  <si>
    <t>Testing Linux Patch set for Q3 2018</t>
  </si>
  <si>
    <t>INFUOP-1117</t>
  </si>
  <si>
    <t>Publish Linux Patch Set Bundle for Q3 2018</t>
  </si>
  <si>
    <t>INFUOP-1116</t>
  </si>
  <si>
    <t xml:space="preserve">Apply puppet module (tmo_ops_packages) on Linux prod </t>
  </si>
  <si>
    <t>INFUOP-1115</t>
  </si>
  <si>
    <t>Solaris Move metadata Library files to NAS share from local guest on all LDOM's</t>
  </si>
  <si>
    <t>INFUOP-1113</t>
  </si>
  <si>
    <t>Q3 Solaris10/11 OS Patching - Testing</t>
  </si>
  <si>
    <t>INFUOP-1112</t>
  </si>
  <si>
    <t>Q3 Solaris OS Patching - update scripts</t>
  </si>
  <si>
    <t>INFAOP-803</t>
  </si>
  <si>
    <t>ensure one alt_root_backup for all systems</t>
  </si>
  <si>
    <t>INFAOP-802</t>
  </si>
  <si>
    <t>Upgrade the vertias version on prdspgc801/802</t>
  </si>
  <si>
    <t>INFAOP-801</t>
  </si>
  <si>
    <t>INFAOP-800</t>
  </si>
  <si>
    <t>INFAOP-799</t>
  </si>
  <si>
    <t>INFAOP-798</t>
  </si>
  <si>
    <t>L2-L3 migration for active CHUB servers.</t>
  </si>
  <si>
    <t>INFAOP-797</t>
  </si>
  <si>
    <t>Fixing private vlan 132-133 on pxibm100</t>
  </si>
  <si>
    <t>INFAOP-796</t>
  </si>
  <si>
    <t>Q3 Patch Testing</t>
  </si>
  <si>
    <t>INFAOP-793</t>
  </si>
  <si>
    <t>SAP HANA PoC - Planning</t>
  </si>
  <si>
    <t>INFAOP-792</t>
  </si>
  <si>
    <t>AIX-Oncall Sprint 7/3</t>
  </si>
  <si>
    <t>INFAOP-791</t>
  </si>
  <si>
    <t>Update IO adapter patching automation script for Q3 standard</t>
  </si>
  <si>
    <t>INFAOP-790</t>
  </si>
  <si>
    <t>VIOS Patching - 2018 Q3 - Polaris NPE</t>
  </si>
  <si>
    <t>INFAOP-789</t>
  </si>
  <si>
    <t>HMC upgrade to 8.8.7 and automate - pxhmc103a</t>
  </si>
  <si>
    <t>INFAOP-788</t>
  </si>
  <si>
    <t xml:space="preserve">HMC upgrade to 8.8.7 - pxhmc310a </t>
  </si>
  <si>
    <t>INFAOP-787</t>
  </si>
  <si>
    <t>AIX new build server approvals - Sprint 7/3</t>
  </si>
  <si>
    <t>INFAOP-786</t>
  </si>
  <si>
    <t>Q3 Patching Script Update</t>
  </si>
  <si>
    <t>INFAOP-785</t>
  </si>
  <si>
    <t>AIX SAN Migrations - 07/10/2018</t>
  </si>
  <si>
    <t>INFAOP-784</t>
  </si>
  <si>
    <t>AIX SAN Migrations - 07/03/2018</t>
  </si>
  <si>
    <t xml:space="preserve"> x</t>
  </si>
  <si>
    <t>7/3/18</t>
  </si>
  <si>
    <t>7/17/18</t>
  </si>
  <si>
    <t>INFUOP-1169</t>
  </si>
  <si>
    <t>Splunk - recreate RAID6 Single Logical Drive - 21 TB</t>
  </si>
  <si>
    <t>INFUOP-1168</t>
  </si>
  <si>
    <t xml:space="preserve">Trobleshoot/update puppet module (Netbackup upgrade ) for NMnet servers </t>
  </si>
  <si>
    <t>INFUOP-1166</t>
  </si>
  <si>
    <t>Fixing Dell Hard drive issues for Hadoop 4 servers.</t>
  </si>
  <si>
    <t>INFUOP-1163</t>
  </si>
  <si>
    <t>Splunk Capacity re-add / reconfigure propose / design / hand off</t>
  </si>
  <si>
    <t>INFUOP-1162</t>
  </si>
  <si>
    <t>expired KB article updates (2 KB article updates with Karen C.)</t>
  </si>
  <si>
    <t>INFUOP-1161</t>
  </si>
  <si>
    <t>Linux Platform Standard - incorporate audit findings from Geoff Ansara's team</t>
  </si>
  <si>
    <t>INFUOP-1160</t>
  </si>
  <si>
    <t>Linux corporate security standards document proposal review</t>
  </si>
  <si>
    <t>INFUOP-1159</t>
  </si>
  <si>
    <t>ENGR AD Integration planning</t>
  </si>
  <si>
    <t>INFUOP-1158</t>
  </si>
  <si>
    <t>INFUOP-1156</t>
  </si>
  <si>
    <t>HPE iLO NAND Remediation - POC</t>
  </si>
  <si>
    <t>INFUOP-1155</t>
  </si>
  <si>
    <t>Test Iptables new config on devehdpxxx</t>
  </si>
  <si>
    <t>INFUOP-1153</t>
  </si>
  <si>
    <t>Segregate iptables_rules.txt file from app and infrastructure devehdpxxx</t>
  </si>
  <si>
    <t>INFUOP-1152</t>
  </si>
  <si>
    <t>SAN Migration - Linux - Week 26 [ Jul 25 - 31 ]</t>
  </si>
  <si>
    <t>INFUOP-1151</t>
  </si>
  <si>
    <t>SAN Migration - Linux - Week 25 [ Jul 17 - 24 ]</t>
  </si>
  <si>
    <t>INFUOP-1150</t>
  </si>
  <si>
    <t>Troubleshooting Q3 Linux Patching Issues</t>
  </si>
  <si>
    <t>INFUOP-1149</t>
  </si>
  <si>
    <t>Linux -oncall sprint 07/17</t>
  </si>
  <si>
    <t>INFUOP-1145</t>
  </si>
  <si>
    <t>Testing Veritas Infoscale 7.4 on RHEL 6.10 /  7.5 OS for Q4-2018 Patching</t>
  </si>
  <si>
    <t>INFUOP-1135</t>
  </si>
  <si>
    <t>Segregate all_ipsets.txt file from app and infrastructure devehdpxxx</t>
  </si>
  <si>
    <t>INFUOP-1134</t>
  </si>
  <si>
    <t xml:space="preserve">Tibco TItan NAS Migration </t>
  </si>
  <si>
    <t>INFUOP-1133</t>
  </si>
  <si>
    <t xml:space="preserve">Iptables Power Point Presentation </t>
  </si>
  <si>
    <t>INFUOP-1130</t>
  </si>
  <si>
    <t>NAS  cleanup - File Systems migration to new network MPCS</t>
  </si>
  <si>
    <t>INFUOP-1107</t>
  </si>
  <si>
    <t>Auditing RPM DB issue on OEL 6 &amp; RH 6 Linux servers</t>
  </si>
  <si>
    <t>INFUOP-1106</t>
  </si>
  <si>
    <t xml:space="preserve">Health check script to monitor the puppet services </t>
  </si>
  <si>
    <t>INFUOP-1088</t>
  </si>
  <si>
    <t>Cleanup Decommissioned servers on CDOM-pxsun008</t>
  </si>
  <si>
    <t>Document Docker Standards for Linux - Initial Draft v1.0</t>
  </si>
  <si>
    <t>INFAOP-825</t>
  </si>
  <si>
    <t>AIX Patching Precheck Script - Update</t>
  </si>
  <si>
    <t>INFAOP-824</t>
  </si>
  <si>
    <t>Fix altroot backups</t>
  </si>
  <si>
    <t>INFAOP-820</t>
  </si>
  <si>
    <t>Upgrading veritas on prdspgc101/102</t>
  </si>
  <si>
    <t>INFAOP-818</t>
  </si>
  <si>
    <t>Fix alt_root backup on listed servers</t>
  </si>
  <si>
    <t>INFAOP-816</t>
  </si>
  <si>
    <t>INFAOP-815</t>
  </si>
  <si>
    <t>AIX Patch Pipe Line - Phase II</t>
  </si>
  <si>
    <t>INFAOP-814</t>
  </si>
  <si>
    <t>L2-L3 migration for listed servers</t>
  </si>
  <si>
    <t>INFAOP-813</t>
  </si>
  <si>
    <t>AIX new build server approvals - Sprint 7/17</t>
  </si>
  <si>
    <t>INFAOP-812</t>
  </si>
  <si>
    <t xml:space="preserve">HMC Upgrade/Patch roll out (Version 8.8.6 to 8.8.7 SP1) </t>
  </si>
  <si>
    <t>INFAOP-806</t>
  </si>
  <si>
    <t>AIX SAN Migrations - 07/31/2018</t>
  </si>
  <si>
    <t>INFAOP-805</t>
  </si>
  <si>
    <t>AIX SAN Migrations - 07/24/2018</t>
  </si>
  <si>
    <t>INFAOP-795</t>
  </si>
  <si>
    <t>On-Call AIX On-Call AIX 2018-07-17</t>
  </si>
  <si>
    <t>INFAOP-624</t>
  </si>
  <si>
    <t>automate maint_off after 7 days</t>
  </si>
  <si>
    <t>INFAOP-603</t>
  </si>
  <si>
    <t>Create/Test HMC Upgrade automation script</t>
  </si>
  <si>
    <t>INFAOP-602</t>
  </si>
  <si>
    <t>Update/Test VIOS Patching automation scripts for Q3 2018 standards</t>
  </si>
  <si>
    <t>INFUOP-1191</t>
  </si>
  <si>
    <t>CPU upgrade for 2 HP Physical cassandra nodes</t>
  </si>
  <si>
    <t>INFUOP-1187</t>
  </si>
  <si>
    <t xml:space="preserve">Patch Q3 VIOM Servers </t>
  </si>
  <si>
    <t>INFUOP-1186</t>
  </si>
  <si>
    <t>ProLiant DL360 Firmware upgrade on peltlenbe0002</t>
  </si>
  <si>
    <t>INFUOP-1185</t>
  </si>
  <si>
    <t>Patch Unix Teams' Linux Servers under Kevin Luu for Q3 2018</t>
  </si>
  <si>
    <t>INFUOP-1184</t>
  </si>
  <si>
    <t>Linux -oncall sprint 07/31</t>
  </si>
  <si>
    <t>INFUOP-1183</t>
  </si>
  <si>
    <t>NPE - iLO Firmware Upgrade</t>
  </si>
  <si>
    <t>INFUOP-1182</t>
  </si>
  <si>
    <t>Linux - SAN migration - Final validation</t>
  </si>
  <si>
    <t>INFUOP-1181</t>
  </si>
  <si>
    <t xml:space="preserve">Document Docker Standards for Linux - Phase 2 (reviewing initial doc/new updates) </t>
  </si>
  <si>
    <t>INFUOP-1180</t>
  </si>
  <si>
    <t>Google Adapter integration/conversion to AD authentication</t>
  </si>
  <si>
    <t>INFUOP-1179</t>
  </si>
  <si>
    <t>New Server Build approvals</t>
  </si>
  <si>
    <t>INFUOP-1178</t>
  </si>
  <si>
    <t>Fix Hardware/Rebuilding Dell Server prdtlcsdp008b</t>
  </si>
  <si>
    <t>INFUOP-1177</t>
  </si>
  <si>
    <t>puppet module for truecall app install/upgrade</t>
  </si>
  <si>
    <t>INFUOP-1176</t>
  </si>
  <si>
    <t xml:space="preserve">Update Puppet Team with Iptables Requirement </t>
  </si>
  <si>
    <t>INFUOP-1175</t>
  </si>
  <si>
    <t xml:space="preserve">Enable Prd Iptables log </t>
  </si>
  <si>
    <t>INFUOP-1174</t>
  </si>
  <si>
    <t xml:space="preserve">Enable Qat Iptables log </t>
  </si>
  <si>
    <t>INFUOP-1173</t>
  </si>
  <si>
    <t xml:space="preserve">Decom Intake with AD cleanup </t>
  </si>
  <si>
    <t>INFUOP-1172</t>
  </si>
  <si>
    <t xml:space="preserve">Decom Intake with VOM Improvements </t>
  </si>
  <si>
    <t>INFUOP-1170</t>
  </si>
  <si>
    <t xml:space="preserve">Roll out puppet modules  across all nodes </t>
  </si>
  <si>
    <t>INFUOP-1146</t>
  </si>
  <si>
    <t>Veritas Infoscale 7.4 upgrade on Devehub001</t>
  </si>
  <si>
    <t xml:space="preserve">Staging Spectre/Meltdown Firmware POC -  RHEL 6+ </t>
  </si>
  <si>
    <t>INFAOP-851</t>
  </si>
  <si>
    <t>Configure CoreNet VLAN on IBM frames</t>
  </si>
  <si>
    <t>INFAOP-844</t>
  </si>
  <si>
    <t>Configure NMNET VLAN on IBM frames</t>
  </si>
  <si>
    <t>INFAOP-843</t>
  </si>
  <si>
    <t>AIX new build server approvals - Sprint 7/31</t>
  </si>
  <si>
    <t>INFAOP-842</t>
  </si>
  <si>
    <t>AIX On-Call - Sprint 7/31</t>
  </si>
  <si>
    <t>INFAOP-841</t>
  </si>
  <si>
    <t>Q3 2018 AIX online patching - production Polaris servers</t>
  </si>
  <si>
    <t>INFAOP-840</t>
  </si>
  <si>
    <t>AIX SAN Migrations - 08/07/2018</t>
  </si>
  <si>
    <t>INFAOP-839</t>
  </si>
  <si>
    <t>INFAOP-831</t>
  </si>
  <si>
    <t>Q3 patching on pxibm104/203/210/213/ttibm603/607 VIO's</t>
  </si>
  <si>
    <t>INFAOP-830</t>
  </si>
  <si>
    <t>Q3 patching on pxibm201/207/211/260/ttibm601/605 VIO's</t>
  </si>
  <si>
    <t>INFAOP-829</t>
  </si>
  <si>
    <t>Q3 patching on pxibm106/205/215/ttibm610 VIO's</t>
  </si>
  <si>
    <t>INFAOP-828</t>
  </si>
  <si>
    <t>Q3 patching on pxibm100/109/209 VIO's</t>
  </si>
  <si>
    <t>INFAOP-390</t>
  </si>
  <si>
    <t>Documentation to validate ITM servers patching</t>
  </si>
  <si>
    <t>7/31/18</t>
  </si>
  <si>
    <t>8/14/18</t>
  </si>
  <si>
    <t>INFUOP-1222</t>
  </si>
  <si>
    <t xml:space="preserve"> mount  usb-drive-new file size issues</t>
  </si>
  <si>
    <t>INFUOP-1221</t>
  </si>
  <si>
    <t>Fixing NMnet connections on Dell Hadoop servers</t>
  </si>
  <si>
    <t>INFUOP-1219</t>
  </si>
  <si>
    <t xml:space="preserve">Firm ware upgrade - ProLiant DL360 Gen10 - pelplmmsv0001 </t>
  </si>
  <si>
    <t>INFUOP-1217</t>
  </si>
  <si>
    <t xml:space="preserve">Firmware upgrade on BL - prdtlcmsv0007 </t>
  </si>
  <si>
    <t>INFUOP-1216</t>
  </si>
  <si>
    <t xml:space="preserve">Audit and troubleshoot Netbackup upgrade failures </t>
  </si>
  <si>
    <t>INFUOP-1215</t>
  </si>
  <si>
    <t>INFUOP-1213</t>
  </si>
  <si>
    <t>Prdehdp397-399 creating new VXFS  /opt/*</t>
  </si>
  <si>
    <t>INFUOP-1212</t>
  </si>
  <si>
    <t>Deploy Data from GIT into Devehdp398</t>
  </si>
  <si>
    <t>INFUOP-1211</t>
  </si>
  <si>
    <t>Create Firewall Intake for NFS</t>
  </si>
  <si>
    <t>INFUOP-1210</t>
  </si>
  <si>
    <t>Create Firewall Intake for VIOM</t>
  </si>
  <si>
    <t>INFUOP-1209</t>
  </si>
  <si>
    <t>Reschedule prdplmpmx0008 Patching</t>
  </si>
  <si>
    <t>INFUOP-1208</t>
  </si>
  <si>
    <t>Linux On-Call Sprint 8/14</t>
  </si>
  <si>
    <t>INFUOP-1207</t>
  </si>
  <si>
    <t>sudo default keystroke logging conf - puppet module for Solaris</t>
  </si>
  <si>
    <t>INFUOP-1206</t>
  </si>
  <si>
    <t>Vulnerability scan assistance for EIS EngOps Team</t>
  </si>
  <si>
    <t>INFUOP-1205</t>
  </si>
  <si>
    <t>Hpsmh clean-up from OL5 servers</t>
  </si>
  <si>
    <t>INFUOP-1201</t>
  </si>
  <si>
    <t>Splunk Capacity Add - Converting 2 logical Drives to one (RAID-6)</t>
  </si>
  <si>
    <t>INFUOP-1198</t>
  </si>
  <si>
    <t>Build - Jump box  that used to Patch Engineering Environment</t>
  </si>
  <si>
    <t>INFUOP-1196</t>
  </si>
  <si>
    <t>SAN Migration - HPUX Week 34 [ Aug 20 - 27 ]</t>
  </si>
  <si>
    <t>INFUOP-1195</t>
  </si>
  <si>
    <t>HPE BIOS Firmware update - Week 33 and 34 [ Aug 13 -27 ]</t>
  </si>
  <si>
    <t>INFUOP-1194</t>
  </si>
  <si>
    <t>SAN Migration - HPUX Week 33 [ Aug 13 - 20 ]</t>
  </si>
  <si>
    <t>INFUOP-1193</t>
  </si>
  <si>
    <t xml:space="preserve">SAN migration on Solaris hosts </t>
  </si>
  <si>
    <t>INFUOP-1192</t>
  </si>
  <si>
    <t>Deploy DELL Support Assist Tool - Phase1</t>
  </si>
  <si>
    <t>INFUOP-1190</t>
  </si>
  <si>
    <t xml:space="preserve">Q3 Patching on Solaris admin servers </t>
  </si>
  <si>
    <t>INFAOP-868</t>
  </si>
  <si>
    <t>SAP QLAB01 Refresh</t>
  </si>
  <si>
    <t>INFAOP-862</t>
  </si>
  <si>
    <t>INFAOP-861</t>
  </si>
  <si>
    <t>INFAOP-860</t>
  </si>
  <si>
    <t>AIX On-Call - Sprint 8/14</t>
  </si>
  <si>
    <t>INFAOP-859</t>
  </si>
  <si>
    <t>AIX new build server approvals - Sprint 8/14</t>
  </si>
  <si>
    <t>INFAOP-857</t>
  </si>
  <si>
    <t xml:space="preserve">AIX SAN Migration - scripts enhancements for Veritas based systems </t>
  </si>
  <si>
    <t>INFAOP-856</t>
  </si>
  <si>
    <t>AIX SAN Migrations - 08/21/2018</t>
  </si>
  <si>
    <t>INFAOP-855</t>
  </si>
  <si>
    <t>AIX SAN Migrations - 08/14/2018</t>
  </si>
  <si>
    <t>INFAOP-833</t>
  </si>
  <si>
    <t>Q3 patching pxibm103/202/208/212/261/ttibm602/606 VIO's</t>
  </si>
  <si>
    <t>INFAOP-832</t>
  </si>
  <si>
    <t>Q3 patching on pxibm105/204/214/216/ttibm604/608 VIO's</t>
  </si>
  <si>
    <t>LDAP integration with HMC [ Authentication Only ] - Implementation</t>
  </si>
  <si>
    <t>INFAOP-455</t>
  </si>
  <si>
    <t>TTIBM609 Frame Rebuild -Phase 2</t>
  </si>
  <si>
    <t>INFUOP-1239</t>
  </si>
  <si>
    <t>Application Startup Scripts during boot for RHEL7</t>
  </si>
  <si>
    <t>INFUOP-1237</t>
  </si>
  <si>
    <t>INFUOP-1235</t>
  </si>
  <si>
    <t>Linux On-Call Sprint 8/28</t>
  </si>
  <si>
    <t>INFUOP-1234</t>
  </si>
  <si>
    <t xml:space="preserve">Validate VIOM FW </t>
  </si>
  <si>
    <t>INFUOP-1233</t>
  </si>
  <si>
    <t xml:space="preserve">Audit/Disable  AmandaBK Shell </t>
  </si>
  <si>
    <t>INFUOP-1232</t>
  </si>
  <si>
    <t xml:space="preserve">Investigate on SOlaris-11 patch subscription </t>
  </si>
  <si>
    <t>INFUOP-1231</t>
  </si>
  <si>
    <t>LDAP integration with Veritas VOM Server</t>
  </si>
  <si>
    <t>INFUOP-1230</t>
  </si>
  <si>
    <t>SAN Migration - HPUX Week 34 [ Aug 28 -  Sep 09]</t>
  </si>
  <si>
    <t>INFUOP-1229</t>
  </si>
  <si>
    <t>Help Application team install Zabbix, MySQL, Python and java on application directory</t>
  </si>
  <si>
    <t>INFUOP-1228</t>
  </si>
  <si>
    <t>puppet module push for mongodb - (non-prod) servers</t>
  </si>
  <si>
    <t>INFUOP-1227</t>
  </si>
  <si>
    <t>Build Puppet Module: for sudo default keystroke logging for Solaris OS</t>
  </si>
  <si>
    <t>INFUOP-1224</t>
  </si>
  <si>
    <t xml:space="preserve">puppet module draft for hadoop IPtables automation </t>
  </si>
  <si>
    <t>INFUOP-1223</t>
  </si>
  <si>
    <t xml:space="preserve">patching on Solaris control Domains </t>
  </si>
  <si>
    <t>INFUOP-1189</t>
  </si>
  <si>
    <t>iLO Version update across all Engineering HPE servers running Linux</t>
  </si>
  <si>
    <t>INFAOP-883</t>
  </si>
  <si>
    <t>admtrac002 - rebuild / restore and Veritas cluster removal</t>
  </si>
  <si>
    <t>INFAOP-882</t>
  </si>
  <si>
    <t>NPI readiness - workload balance</t>
  </si>
  <si>
    <t>INFAOP-881</t>
  </si>
  <si>
    <t>NPI readiness - performance review of IBM frames</t>
  </si>
  <si>
    <t>INFAOP-875</t>
  </si>
  <si>
    <t>QLAB06 SAP Data refresh</t>
  </si>
  <si>
    <t>INFAOP-873</t>
  </si>
  <si>
    <t>AIX new build server approvals - Sprint 8/28</t>
  </si>
  <si>
    <t>INFAOP-872</t>
  </si>
  <si>
    <t>SAP DR Drill</t>
  </si>
  <si>
    <t>INFAOP-871</t>
  </si>
  <si>
    <t>AIX On-Call - Sprint 8/28</t>
  </si>
  <si>
    <t>INFAOP-870</t>
  </si>
  <si>
    <t>AIX SAN Migrations - 09/04/2018</t>
  </si>
  <si>
    <t>INFAOP-869</t>
  </si>
  <si>
    <t>AIX SAN Migrations - 08/28/2018</t>
  </si>
  <si>
    <t>INFAOP-837</t>
  </si>
  <si>
    <t>Q3 patching on pxibm114/115/116 VIO's</t>
  </si>
  <si>
    <t>INFAOP-836</t>
  </si>
  <si>
    <t>Q3 patching on pxibm110/111/112/113 VIO's</t>
  </si>
  <si>
    <t>INFAOP-835</t>
  </si>
  <si>
    <t>Q3 patching on pxibm218/108/ttibm612 VIO's</t>
  </si>
  <si>
    <t>INFAOP-834</t>
  </si>
  <si>
    <t>Q3 patching on pxibm217/107/206/ttibm611 VIO's</t>
  </si>
  <si>
    <t>INFAOP-450</t>
  </si>
  <si>
    <t>PXIBM210 Frame Rebuild -Phase 1</t>
  </si>
  <si>
    <t>(blank) Total</t>
  </si>
  <si>
    <t>8/28/18</t>
  </si>
  <si>
    <t>9/11/18</t>
  </si>
  <si>
    <t>INFUOP-1258</t>
  </si>
  <si>
    <t>ProLiant DL360 Gen9 - Firmware upgrade on pelpltwho0010</t>
  </si>
  <si>
    <t>INFUOP-1256</t>
  </si>
  <si>
    <t>Solaris standards for Q4_18</t>
  </si>
  <si>
    <t>INFUOP-1252</t>
  </si>
  <si>
    <t>Linux Servers Approval</t>
  </si>
  <si>
    <t>INFUOP-1251</t>
  </si>
  <si>
    <t>Linux - Oncall 9/12 Sprint</t>
  </si>
  <si>
    <t>INFUOP-1250</t>
  </si>
  <si>
    <t>Automated Patching Using ServiceNow</t>
  </si>
  <si>
    <t>INFUOP-1249</t>
  </si>
  <si>
    <t xml:space="preserve">VIOM Troubleshoot </t>
  </si>
  <si>
    <t>INFUOP-1248</t>
  </si>
  <si>
    <t>Install Control-M on 4 dev servers</t>
  </si>
  <si>
    <t>INFUOP-1247</t>
  </si>
  <si>
    <t>HPE Hardware BIOS/Firmware Upgrade - Documentation update</t>
  </si>
  <si>
    <t>INFUOP-1246</t>
  </si>
  <si>
    <t>HPE BIOS Firmware update - [ Sep 11 - 24 ]</t>
  </si>
  <si>
    <t>INFUOP-1245</t>
  </si>
  <si>
    <t>SAN Migration - HPUX Week 36 [ Sep 11 -  Sep 24]</t>
  </si>
  <si>
    <t>INFUOP-1243</t>
  </si>
  <si>
    <t>Document and Share Dell Servers information to Unix Tier-1</t>
  </si>
  <si>
    <t>INFUOP-1241</t>
  </si>
  <si>
    <t>Exclude netbackup servers from puppet module resolv.conf</t>
  </si>
  <si>
    <t>INFUOP-1240</t>
  </si>
  <si>
    <t xml:space="preserve">Amandabackup user removal and add telnet package on linux NPE </t>
  </si>
  <si>
    <t>INFAOP-899</t>
  </si>
  <si>
    <t>fix ITM agent issues</t>
  </si>
  <si>
    <t>INFAOP-896</t>
  </si>
  <si>
    <t>Upgrade NPE HMC side B to V8.8.7SP01</t>
  </si>
  <si>
    <t>INFAOP-895</t>
  </si>
  <si>
    <t>Fix sea ent9 on pxibm109</t>
  </si>
  <si>
    <t>INFAOP-894</t>
  </si>
  <si>
    <t>Creating VIO servers-New build image.</t>
  </si>
  <si>
    <t>INFAOP-893</t>
  </si>
  <si>
    <t>pelsvpr210 &amp; pelsvpr211 - DG standardization and cleanup</t>
  </si>
  <si>
    <t>INFAOP-890</t>
  </si>
  <si>
    <t>HMC SSL Certificate - POC</t>
  </si>
  <si>
    <t>INFAOP-889</t>
  </si>
  <si>
    <t>Define Q4 2018 AIX platform standards</t>
  </si>
  <si>
    <t>INFAOP-888</t>
  </si>
  <si>
    <t>AIX new build server approvals - Sprint 9/11</t>
  </si>
  <si>
    <t>INFAOP-887</t>
  </si>
  <si>
    <t>Q3 VIO patching on PXIBM206/213</t>
  </si>
  <si>
    <t>INFAOP-886</t>
  </si>
  <si>
    <t>AIX On-Call - Sprint 9/11</t>
  </si>
  <si>
    <t>INFAOP-885</t>
  </si>
  <si>
    <t>AIX SAN Migrations - 09/18/2018</t>
  </si>
  <si>
    <t>INFAOP-884</t>
  </si>
  <si>
    <t>AIX SAN Migrations - 09/11/2018</t>
  </si>
  <si>
    <t>INFAOP-449</t>
  </si>
  <si>
    <t>PXIBM209 Frame Rebuild -Phase 2</t>
  </si>
  <si>
    <t>INFUOP-1262</t>
  </si>
  <si>
    <t>Investigate on missing Disk/Watchdog error and frequent DIMM error - Dell servers</t>
  </si>
  <si>
    <t>INFUOP-1263</t>
  </si>
  <si>
    <t xml:space="preserve">Active Directory  Sync issues on  layer3/VRA/NMNET hosts </t>
  </si>
  <si>
    <t>INFUOP-1264</t>
  </si>
  <si>
    <t>Ssh key audit log</t>
  </si>
  <si>
    <t>INFUOP-1265</t>
  </si>
  <si>
    <t xml:space="preserve">Netbackup upgrade failures </t>
  </si>
  <si>
    <t>Combined</t>
  </si>
  <si>
    <t>% Added / Sprint</t>
  </si>
  <si>
    <t>% Scope Creep</t>
  </si>
  <si>
    <t>Average</t>
  </si>
  <si>
    <t>Scope Creep</t>
  </si>
  <si>
    <t>Percentage of Sprint which were added</t>
  </si>
  <si>
    <t>INFUOP-1279</t>
  </si>
  <si>
    <t xml:space="preserve">VOM upgrade on *nix servers </t>
  </si>
  <si>
    <t>INFUOP-1278</t>
  </si>
  <si>
    <t>ENGR AD conversions</t>
  </si>
  <si>
    <t>INFUOP-1277</t>
  </si>
  <si>
    <t>INFUOP-1276</t>
  </si>
  <si>
    <t>Linux - oncall sprint 09/25</t>
  </si>
  <si>
    <t>INFUOP-1275</t>
  </si>
  <si>
    <t>Removing Amanda Backup User account on all Linux PRD servers ( puppet )</t>
  </si>
  <si>
    <t>INFUOP-1274</t>
  </si>
  <si>
    <t xml:space="preserve">HPE BIOS Firmware Update POC Test  - Q4 </t>
  </si>
  <si>
    <t>INFUOP-1273</t>
  </si>
  <si>
    <t>Publish Patch Set Bundle for Q4 2018</t>
  </si>
  <si>
    <t>INFUOP-1272</t>
  </si>
  <si>
    <t>VIOM 7.1.3.400 cleanup</t>
  </si>
  <si>
    <t>INFUOP-1271</t>
  </si>
  <si>
    <t xml:space="preserve">Resolve OPS/Build Puppet pipeline </t>
  </si>
  <si>
    <t>INFUOP-1270</t>
  </si>
  <si>
    <t>Update Patching pipeline with Veritas 6.2 patches for Linux 6.10</t>
  </si>
  <si>
    <t>INFUOP-1269</t>
  </si>
  <si>
    <t>Testing Linux Patch set for Q4 2018</t>
  </si>
  <si>
    <t>INFUOP-1268</t>
  </si>
  <si>
    <t>Q4 2018 - Linux patch validation script preparation</t>
  </si>
  <si>
    <t>INFUOP-1267</t>
  </si>
  <si>
    <t>OSR - Prep Data Replication MPATH &amp; UDEV Rules - POC</t>
  </si>
  <si>
    <t>INFUOP-1260</t>
  </si>
  <si>
    <t>Q4 HPUX Platform Standards</t>
  </si>
  <si>
    <t>INFUOP-1259</t>
  </si>
  <si>
    <t>Q4 Linux Platform Standards</t>
  </si>
  <si>
    <t>INFUOP-1244</t>
  </si>
  <si>
    <t>Solaris  solaris_sudo_install.pp puppet module push - (non-prod) servers</t>
  </si>
  <si>
    <t>INFUOP-1226</t>
  </si>
  <si>
    <t>Q4-2018 - Update Solaris Patching Scripts and Testing</t>
  </si>
  <si>
    <t>INFUOP-932</t>
  </si>
  <si>
    <t>Server status on login screen on all Unix servers - POC</t>
  </si>
  <si>
    <t>INFAOP-926</t>
  </si>
  <si>
    <t>Cohesity Rman backup POC</t>
  </si>
  <si>
    <t>INFAOP-925</t>
  </si>
  <si>
    <t>Automated filesystem expansion on flash array for Veritas based systems</t>
  </si>
  <si>
    <t>INFAOP-924</t>
  </si>
  <si>
    <t>AIX Oncall 09/25</t>
  </si>
  <si>
    <t>INFAOP-923</t>
  </si>
  <si>
    <t>Adding new VLANs on existing NPE frames for new set of IPs</t>
  </si>
  <si>
    <t>INFAOP-922</t>
  </si>
  <si>
    <t>AIX - Q4 2018 - Patching Script update and Test</t>
  </si>
  <si>
    <t>INFAOP-919</t>
  </si>
  <si>
    <t>AIX new build server approvals - Sprint 9/25</t>
  </si>
  <si>
    <t>INFAOP-911</t>
  </si>
  <si>
    <t>AIX SAN Migrations - 10/1/2018</t>
  </si>
  <si>
    <t>INFAOP-910</t>
  </si>
  <si>
    <t>AIX SAN Migrations - 09/24/2018</t>
  </si>
  <si>
    <t>INFAOP-905</t>
  </si>
  <si>
    <t>Submitting NMNET and CORENET network requests for NPE</t>
  </si>
  <si>
    <t>INFAOP-904</t>
  </si>
  <si>
    <t>Re-balance CPU on pxibm105 and pxibm107 (LPM)</t>
  </si>
  <si>
    <t>INFAOP-903</t>
  </si>
  <si>
    <t>Upgrade PRD HMC side B to V8.8.7SP01</t>
  </si>
  <si>
    <t>INFAOP-897</t>
  </si>
  <si>
    <t>Prep AIX Patch Pipeline for Q4 patch testing</t>
  </si>
  <si>
    <t>INFAOP-781</t>
  </si>
  <si>
    <t>remove vcs from prdeblx005</t>
  </si>
  <si>
    <t>INFAOP-692</t>
  </si>
  <si>
    <t>implement self-heal for MPIO path failures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</si>
</sst>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m/d/yy;@"/>
  </numFmts>
  <fonts count="5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rgb="FF333333"/>
      <name val="Arial"/>
      <family val="2"/>
    </font>
    <font>
      <sz val="9"/>
      <color rgb="FF333333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color theme="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9"/>
      <color rgb="FFFA7D00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rgb="FFE143A5"/>
      <name val="Calibri"/>
      <family val="2"/>
      <scheme val="minor"/>
    </font>
    <font>
      <b/>
      <sz val="8"/>
      <color rgb="FFE143A5"/>
      <name val="Arial"/>
      <family val="2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9"/>
      <color rgb="FF333333"/>
      <name val="Calibri"/>
      <family val="2"/>
    </font>
    <font>
      <b/>
      <sz val="8"/>
      <color theme="0"/>
      <name val="Arial"/>
      <family val="2"/>
    </font>
    <font>
      <sz val="11"/>
      <color rgb="FFFFFF00"/>
      <name val="Calibri"/>
      <family val="2"/>
      <scheme val="minor"/>
    </font>
    <font>
      <sz val="9"/>
      <color rgb="FF33333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rgb="FFFA7D00"/>
      <name val="Calibri"/>
      <family val="2"/>
      <scheme val="minor"/>
    </font>
    <font>
      <sz val="9"/>
      <color rgb="FF3F3F76"/>
      <name val="Calibri"/>
      <family val="2"/>
      <scheme val="minor"/>
    </font>
    <font>
      <sz val="9"/>
      <color rgb="FF333333"/>
      <name val="Calibri"/>
      <family val="2"/>
      <scheme val="minor"/>
    </font>
    <font>
      <b/>
      <sz val="8"/>
      <color theme="0"/>
      <name val="Arial"/>
      <family val="2"/>
    </font>
    <font>
      <sz val="11"/>
      <color rgb="FFE143A5"/>
      <name val="Calibri"/>
      <family val="2"/>
      <scheme val="minor"/>
    </font>
    <font>
      <sz val="11"/>
      <color rgb="FF9C5700"/>
      <name val="Calibri"/>
      <family val="2"/>
      <scheme val="minor"/>
    </font>
    <font>
      <sz val="9"/>
      <color rgb="FF333333"/>
      <name val="Calibri"/>
      <family val="2"/>
      <scheme val="minor"/>
    </font>
    <font>
      <b/>
      <sz val="8"/>
      <color theme="0"/>
      <name val="Arial"/>
      <family val="2"/>
    </font>
    <font>
      <sz val="11"/>
      <color theme="2" tint="-9.9978637043366805E-2"/>
      <name val="Calibri"/>
      <family val="2"/>
      <scheme val="minor"/>
    </font>
    <font>
      <sz val="9"/>
      <color rgb="FF333333"/>
      <name val="Calibri"/>
      <family val="2"/>
      <scheme val="minor"/>
    </font>
    <font>
      <b/>
      <sz val="8"/>
      <color theme="0"/>
      <name val="Arial"/>
      <family val="2"/>
    </font>
    <font>
      <sz val="9"/>
      <color rgb="FF333333"/>
      <name val="Calibri"/>
      <family val="2"/>
    </font>
    <font>
      <b/>
      <sz val="11"/>
      <color rgb="FF3F3F76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rgb="FF333333"/>
      <name val="Calibri"/>
      <family val="2"/>
      <scheme val="minor"/>
    </font>
    <font>
      <b/>
      <sz val="8"/>
      <color theme="0"/>
      <name val="Arial"/>
      <family val="2"/>
    </font>
    <font>
      <sz val="9"/>
      <color rgb="FF333333"/>
      <name val="Calibri"/>
      <family val="2"/>
    </font>
    <font>
      <b/>
      <sz val="11"/>
      <color rgb="FF9C0006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49">
    <fill>
      <patternFill patternType="none"/>
    </fill>
    <fill>
      <patternFill patternType="gray125"/>
    </fill>
    <fill>
      <patternFill patternType="solid">
        <fgColor rgb="FFE0E0E0"/>
        <bgColor indexed="64"/>
      </patternFill>
    </fill>
    <fill>
      <patternFill patternType="solid">
        <fgColor rgb="FFEDF5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29F5"/>
        <bgColor indexed="64"/>
      </patternFill>
    </fill>
    <fill>
      <patternFill patternType="solid">
        <fgColor rgb="FFFF97CD"/>
        <bgColor indexed="64"/>
      </patternFill>
    </fill>
    <fill>
      <patternFill patternType="solid">
        <fgColor rgb="FFF2F2F2"/>
      </patternFill>
    </fill>
    <fill>
      <patternFill patternType="solid">
        <fgColor rgb="FFE143A5"/>
        <bgColor indexed="64"/>
      </patternFill>
    </fill>
    <fill>
      <patternFill patternType="solid">
        <fgColor rgb="FFFFC5E3"/>
        <bgColor indexed="64"/>
      </patternFill>
    </fill>
    <fill>
      <patternFill patternType="solid">
        <fgColor rgb="FFFF43A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AB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EDF5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rgb="FFFFEB9C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5">
    <border>
      <left/>
      <right/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 style="medium">
        <color rgb="FFDDDDDD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DDDDDD"/>
      </bottom>
      <diagonal/>
    </border>
    <border>
      <left/>
      <right/>
      <top/>
      <bottom style="medium">
        <color rgb="FFDDDDDD"/>
      </bottom>
      <diagonal/>
    </border>
    <border>
      <left style="medium">
        <color indexed="64"/>
      </left>
      <right/>
      <top style="medium">
        <color indexed="64"/>
      </top>
      <bottom style="medium">
        <color rgb="FFDDDDDD"/>
      </bottom>
      <diagonal/>
    </border>
    <border>
      <left/>
      <right/>
      <top style="medium">
        <color indexed="64"/>
      </top>
      <bottom style="medium">
        <color rgb="FFDDDDDD"/>
      </bottom>
      <diagonal/>
    </border>
    <border>
      <left/>
      <right style="medium">
        <color indexed="64"/>
      </right>
      <top style="medium">
        <color indexed="64"/>
      </top>
      <bottom style="medium">
        <color rgb="FFDDDDDD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rgb="FFDDDDDD"/>
      </left>
      <right/>
      <top style="medium">
        <color rgb="FFDDDDDD"/>
      </top>
      <bottom style="medium">
        <color auto="1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 style="medium">
        <color rgb="FFFF43A5"/>
      </left>
      <right/>
      <top style="medium">
        <color indexed="64"/>
      </top>
      <bottom style="medium">
        <color rgb="FFFF43A5"/>
      </bottom>
      <diagonal/>
    </border>
    <border>
      <left/>
      <right/>
      <top style="medium">
        <color indexed="64"/>
      </top>
      <bottom style="medium">
        <color rgb="FFFF43A5"/>
      </bottom>
      <diagonal/>
    </border>
    <border>
      <left/>
      <right style="medium">
        <color rgb="FFFF43A5"/>
      </right>
      <top style="medium">
        <color indexed="64"/>
      </top>
      <bottom style="medium">
        <color rgb="FFFF43A5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indexed="64"/>
      </left>
      <right/>
      <top style="thick">
        <color indexed="64"/>
      </top>
      <bottom style="double">
        <color indexed="64"/>
      </bottom>
      <diagonal/>
    </border>
    <border>
      <left/>
      <right/>
      <top style="thick">
        <color indexed="64"/>
      </top>
      <bottom style="double">
        <color indexed="64"/>
      </bottom>
      <diagonal/>
    </border>
    <border>
      <left/>
      <right style="thick">
        <color indexed="64"/>
      </right>
      <top style="thick">
        <color indexed="64"/>
      </top>
      <bottom style="double">
        <color indexed="64"/>
      </bottom>
      <diagonal/>
    </border>
    <border>
      <left style="thick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double">
        <color indexed="64"/>
      </left>
      <right/>
      <top style="thick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thin">
        <color rgb="FF7F7F7F"/>
      </top>
      <bottom style="thin">
        <color rgb="FF7F7F7F"/>
      </bottom>
      <diagonal/>
    </border>
    <border>
      <left style="double">
        <color indexed="64"/>
      </left>
      <right/>
      <top style="thin">
        <color rgb="FF7F7F7F"/>
      </top>
      <bottom style="thick">
        <color indexed="64"/>
      </bottom>
      <diagonal/>
    </border>
    <border>
      <left/>
      <right style="thick">
        <color indexed="64"/>
      </right>
      <top style="double">
        <color indexed="64"/>
      </top>
      <bottom/>
      <diagonal/>
    </border>
    <border>
      <left style="medium">
        <color indexed="64"/>
      </left>
      <right style="medium">
        <color rgb="FFDDDDDD"/>
      </right>
      <top style="medium">
        <color rgb="FFDDDDDD"/>
      </top>
      <bottom style="double">
        <color indexed="64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double">
        <color indexed="64"/>
      </bottom>
      <diagonal/>
    </border>
    <border>
      <left style="medium">
        <color rgb="FFDDDDDD"/>
      </left>
      <right/>
      <top style="medium">
        <color rgb="FFDDDDDD"/>
      </top>
      <bottom style="double">
        <color indexed="64"/>
      </bottom>
      <diagonal/>
    </border>
    <border>
      <left/>
      <right style="medium">
        <color rgb="FFDDDDDD"/>
      </right>
      <top style="medium">
        <color rgb="FFDDDDDD"/>
      </top>
      <bottom style="double">
        <color indexed="64"/>
      </bottom>
      <diagonal/>
    </border>
    <border>
      <left style="thin">
        <color rgb="FF7F7F7F"/>
      </left>
      <right style="thin">
        <color theme="0" tint="-0.14996795556505021"/>
      </right>
      <top style="double">
        <color indexed="64"/>
      </top>
      <bottom style="medium">
        <color rgb="FFDDDDDD"/>
      </bottom>
      <diagonal/>
    </border>
    <border>
      <left style="thin">
        <color theme="0" tint="-0.14996795556505021"/>
      </left>
      <right style="thin">
        <color theme="0" tint="-0.14996795556505021"/>
      </right>
      <top style="double">
        <color indexed="64"/>
      </top>
      <bottom style="medium">
        <color rgb="FFDDDDDD"/>
      </bottom>
      <diagonal/>
    </border>
    <border>
      <left style="medium">
        <color auto="1"/>
      </left>
      <right style="medium">
        <color auto="1"/>
      </right>
      <top/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 style="double">
        <color rgb="FF000000"/>
      </bottom>
      <diagonal/>
    </border>
    <border>
      <left style="double">
        <color indexed="64"/>
      </left>
      <right/>
      <top style="double">
        <color indexed="64"/>
      </top>
      <bottom style="thick">
        <color indexed="64"/>
      </bottom>
      <diagonal/>
    </border>
    <border>
      <left/>
      <right/>
      <top style="double">
        <color indexed="64"/>
      </top>
      <bottom style="thick">
        <color indexed="64"/>
      </bottom>
      <diagonal/>
    </border>
    <border>
      <left/>
      <right style="double">
        <color indexed="64"/>
      </right>
      <top style="double">
        <color indexed="64"/>
      </top>
      <bottom style="thick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theme="2"/>
      </left>
      <right/>
      <top/>
      <bottom/>
      <diagonal/>
    </border>
    <border>
      <left/>
      <right style="medium">
        <color theme="2"/>
      </right>
      <top/>
      <bottom/>
      <diagonal/>
    </border>
    <border>
      <left style="medium">
        <color theme="2"/>
      </left>
      <right/>
      <top/>
      <bottom style="medium">
        <color theme="2"/>
      </bottom>
      <diagonal/>
    </border>
    <border>
      <left/>
      <right style="medium">
        <color theme="2"/>
      </right>
      <top/>
      <bottom style="medium">
        <color theme="2"/>
      </bottom>
      <diagonal/>
    </border>
    <border>
      <left style="medium">
        <color theme="2"/>
      </left>
      <right/>
      <top style="medium">
        <color theme="2"/>
      </top>
      <bottom style="double">
        <color theme="2"/>
      </bottom>
      <diagonal/>
    </border>
    <border>
      <left/>
      <right style="medium">
        <color theme="2"/>
      </right>
      <top style="medium">
        <color theme="2"/>
      </top>
      <bottom style="double">
        <color theme="2"/>
      </bottom>
      <diagonal/>
    </border>
    <border>
      <left/>
      <right/>
      <top/>
      <bottom style="thin">
        <color theme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" fillId="8" borderId="21" applyNumberFormat="0" applyAlignment="0" applyProtection="0"/>
    <xf numFmtId="0" fontId="24" fillId="18" borderId="0" applyNumberFormat="0" applyBorder="0" applyAlignment="0" applyProtection="0"/>
    <xf numFmtId="0" fontId="25" fillId="19" borderId="0" applyNumberFormat="0" applyBorder="0" applyAlignment="0" applyProtection="0"/>
    <xf numFmtId="0" fontId="26" fillId="20" borderId="21" applyNumberFormat="0" applyAlignment="0" applyProtection="0"/>
    <xf numFmtId="0" fontId="1" fillId="21" borderId="50" applyNumberFormat="0" applyFont="0" applyAlignment="0" applyProtection="0"/>
    <xf numFmtId="0" fontId="32" fillId="22" borderId="0" applyNumberFormat="0" applyBorder="0" applyAlignment="0" applyProtection="0"/>
    <xf numFmtId="0" fontId="40" fillId="0" borderId="0" applyNumberFormat="0" applyFill="0" applyBorder="0" applyAlignment="0" applyProtection="0"/>
    <xf numFmtId="0" fontId="41" fillId="0" borderId="58" applyNumberFormat="0" applyFill="0" applyAlignment="0" applyProtection="0"/>
    <xf numFmtId="0" fontId="42" fillId="0" borderId="59" applyNumberFormat="0" applyFill="0" applyAlignment="0" applyProtection="0"/>
    <xf numFmtId="0" fontId="43" fillId="0" borderId="60" applyNumberFormat="0" applyFill="0" applyAlignment="0" applyProtection="0"/>
    <xf numFmtId="0" fontId="43" fillId="0" borderId="0" applyNumberFormat="0" applyFill="0" applyBorder="0" applyAlignment="0" applyProtection="0"/>
    <xf numFmtId="0" fontId="44" fillId="8" borderId="61" applyNumberFormat="0" applyAlignment="0" applyProtection="0"/>
    <xf numFmtId="0" fontId="45" fillId="0" borderId="62" applyNumberFormat="0" applyFill="0" applyAlignment="0" applyProtection="0"/>
    <xf numFmtId="0" fontId="7" fillId="24" borderId="63" applyNumberFormat="0" applyAlignment="0" applyProtection="0"/>
    <xf numFmtId="0" fontId="18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9" fillId="0" borderId="64" applyNumberFormat="0" applyFill="0" applyAlignment="0" applyProtection="0"/>
    <xf numFmtId="0" fontId="4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4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47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47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47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44" borderId="0" applyNumberFormat="0" applyBorder="0" applyAlignment="0" applyProtection="0"/>
    <xf numFmtId="0" fontId="47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7" borderId="0" applyNumberFormat="0" applyBorder="0" applyAlignment="0" applyProtection="0"/>
    <xf numFmtId="0" fontId="1" fillId="48" borderId="0" applyNumberFormat="0" applyBorder="0" applyAlignment="0" applyProtection="0"/>
  </cellStyleXfs>
  <cellXfs count="198">
    <xf numFmtId="0" fontId="0" fillId="0" borderId="0" xfId="0"/>
    <xf numFmtId="43" fontId="0" fillId="0" borderId="0" xfId="0" applyNumberFormat="1"/>
    <xf numFmtId="164" fontId="0" fillId="0" borderId="0" xfId="0" applyNumberFormat="1"/>
    <xf numFmtId="0" fontId="4" fillId="0" borderId="0" xfId="0" applyFont="1" applyAlignment="1">
      <alignment vertical="center"/>
    </xf>
    <xf numFmtId="164" fontId="3" fillId="3" borderId="0" xfId="0" applyNumberFormat="1" applyFont="1" applyFill="1" applyBorder="1" applyAlignment="1">
      <alignment horizontal="left" vertical="center" wrapText="1"/>
    </xf>
    <xf numFmtId="0" fontId="2" fillId="2" borderId="2" xfId="0" applyFont="1" applyFill="1" applyBorder="1" applyAlignment="1">
      <alignment horizontal="left" vertical="top" wrapText="1"/>
    </xf>
    <xf numFmtId="0" fontId="3" fillId="3" borderId="2" xfId="0" applyFont="1" applyFill="1" applyBorder="1" applyAlignment="1">
      <alignment horizontal="left" vertical="center" wrapText="1"/>
    </xf>
    <xf numFmtId="164" fontId="3" fillId="3" borderId="3" xfId="0" applyNumberFormat="1" applyFont="1" applyFill="1" applyBorder="1" applyAlignment="1">
      <alignment horizontal="left" vertical="center" wrapText="1"/>
    </xf>
    <xf numFmtId="164" fontId="3" fillId="3" borderId="4" xfId="0" applyNumberFormat="1" applyFont="1" applyFill="1" applyBorder="1" applyAlignment="1">
      <alignment horizontal="left" vertical="center" wrapText="1"/>
    </xf>
    <xf numFmtId="164" fontId="3" fillId="3" borderId="5" xfId="0" applyNumberFormat="1" applyFont="1" applyFill="1" applyBorder="1" applyAlignment="1">
      <alignment horizontal="left" vertical="center" wrapText="1"/>
    </xf>
    <xf numFmtId="164" fontId="0" fillId="0" borderId="0" xfId="1" applyNumberFormat="1" applyFont="1" applyBorder="1"/>
    <xf numFmtId="43" fontId="0" fillId="0" borderId="0" xfId="1" applyFont="1" applyBorder="1"/>
    <xf numFmtId="164" fontId="0" fillId="0" borderId="0" xfId="0" applyNumberFormat="1" applyBorder="1"/>
    <xf numFmtId="0" fontId="0" fillId="0" borderId="0" xfId="0" applyBorder="1"/>
    <xf numFmtId="164" fontId="0" fillId="0" borderId="12" xfId="0" applyNumberFormat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164" fontId="0" fillId="0" borderId="17" xfId="1" applyNumberFormat="1" applyFont="1" applyBorder="1"/>
    <xf numFmtId="43" fontId="0" fillId="0" borderId="17" xfId="1" applyFont="1" applyBorder="1"/>
    <xf numFmtId="164" fontId="0" fillId="0" borderId="17" xfId="0" applyNumberFormat="1" applyBorder="1"/>
    <xf numFmtId="0" fontId="0" fillId="7" borderId="14" xfId="0" applyFill="1" applyBorder="1"/>
    <xf numFmtId="164" fontId="0" fillId="7" borderId="0" xfId="0" applyNumberFormat="1" applyFill="1" applyBorder="1"/>
    <xf numFmtId="43" fontId="0" fillId="7" borderId="0" xfId="1" applyFont="1" applyFill="1" applyBorder="1"/>
    <xf numFmtId="0" fontId="0" fillId="7" borderId="0" xfId="0" applyFill="1" applyBorder="1"/>
    <xf numFmtId="0" fontId="0" fillId="7" borderId="15" xfId="0" applyFill="1" applyBorder="1"/>
    <xf numFmtId="0" fontId="7" fillId="6" borderId="11" xfId="0" applyFont="1" applyFill="1" applyBorder="1"/>
    <xf numFmtId="0" fontId="7" fillId="6" borderId="14" xfId="0" applyFont="1" applyFill="1" applyBorder="1"/>
    <xf numFmtId="0" fontId="3" fillId="3" borderId="19" xfId="0" applyFont="1" applyFill="1" applyBorder="1" applyAlignment="1">
      <alignment horizontal="left" vertical="center" wrapText="1"/>
    </xf>
    <xf numFmtId="0" fontId="4" fillId="0" borderId="0" xfId="0" applyFont="1"/>
    <xf numFmtId="164" fontId="0" fillId="0" borderId="0" xfId="0" applyNumberFormat="1" applyBorder="1" applyAlignment="1">
      <alignment horizontal="center" wrapText="1"/>
    </xf>
    <xf numFmtId="0" fontId="0" fillId="0" borderId="29" xfId="0" applyBorder="1"/>
    <xf numFmtId="0" fontId="0" fillId="0" borderId="30" xfId="0" applyBorder="1" applyAlignment="1">
      <alignment horizontal="center"/>
    </xf>
    <xf numFmtId="0" fontId="7" fillId="11" borderId="14" xfId="0" applyFont="1" applyFill="1" applyBorder="1"/>
    <xf numFmtId="0" fontId="4" fillId="0" borderId="0" xfId="0" applyFont="1" applyBorder="1" applyAlignment="1">
      <alignment vertical="center"/>
    </xf>
    <xf numFmtId="164" fontId="0" fillId="10" borderId="0" xfId="1" applyNumberFormat="1" applyFont="1" applyFill="1" applyBorder="1"/>
    <xf numFmtId="164" fontId="0" fillId="7" borderId="15" xfId="1" applyNumberFormat="1" applyFont="1" applyFill="1" applyBorder="1"/>
    <xf numFmtId="164" fontId="0" fillId="10" borderId="33" xfId="1" applyNumberFormat="1" applyFont="1" applyFill="1" applyBorder="1"/>
    <xf numFmtId="164" fontId="0" fillId="12" borderId="33" xfId="1" applyNumberFormat="1" applyFont="1" applyFill="1" applyBorder="1"/>
    <xf numFmtId="164" fontId="0" fillId="10" borderId="17" xfId="1" applyNumberFormat="1" applyFont="1" applyFill="1" applyBorder="1"/>
    <xf numFmtId="164" fontId="0" fillId="12" borderId="17" xfId="1" applyNumberFormat="1" applyFont="1" applyFill="1" applyBorder="1"/>
    <xf numFmtId="0" fontId="0" fillId="0" borderId="34" xfId="0" applyBorder="1" applyAlignment="1">
      <alignment horizontal="center"/>
    </xf>
    <xf numFmtId="0" fontId="0" fillId="0" borderId="31" xfId="0" applyBorder="1"/>
    <xf numFmtId="164" fontId="0" fillId="7" borderId="38" xfId="1" applyNumberFormat="1" applyFont="1" applyFill="1" applyBorder="1"/>
    <xf numFmtId="164" fontId="9" fillId="7" borderId="35" xfId="0" applyNumberFormat="1" applyFont="1" applyFill="1" applyBorder="1"/>
    <xf numFmtId="164" fontId="8" fillId="12" borderId="36" xfId="1" applyNumberFormat="1" applyFont="1" applyFill="1" applyBorder="1"/>
    <xf numFmtId="0" fontId="12" fillId="12" borderId="15" xfId="0" applyFont="1" applyFill="1" applyBorder="1"/>
    <xf numFmtId="164" fontId="8" fillId="12" borderId="37" xfId="1" applyNumberFormat="1" applyFont="1" applyFill="1" applyBorder="1"/>
    <xf numFmtId="0" fontId="12" fillId="12" borderId="18" xfId="0" applyFont="1" applyFill="1" applyBorder="1"/>
    <xf numFmtId="0" fontId="9" fillId="10" borderId="32" xfId="0" applyFont="1" applyFill="1" applyBorder="1" applyAlignment="1">
      <alignment horizontal="left" indent="1"/>
    </xf>
    <xf numFmtId="0" fontId="9" fillId="10" borderId="16" xfId="0" applyFont="1" applyFill="1" applyBorder="1" applyAlignment="1">
      <alignment horizontal="left" indent="1"/>
    </xf>
    <xf numFmtId="0" fontId="0" fillId="13" borderId="0" xfId="0" applyFill="1"/>
    <xf numFmtId="0" fontId="0" fillId="13" borderId="30" xfId="0" applyFill="1" applyBorder="1" applyAlignment="1">
      <alignment horizontal="center"/>
    </xf>
    <xf numFmtId="0" fontId="2" fillId="5" borderId="39" xfId="0" applyFont="1" applyFill="1" applyBorder="1" applyAlignment="1">
      <alignment horizontal="left" vertical="top" wrapText="1"/>
    </xf>
    <xf numFmtId="0" fontId="2" fillId="5" borderId="40" xfId="0" applyFont="1" applyFill="1" applyBorder="1" applyAlignment="1">
      <alignment horizontal="left" vertical="top" wrapText="1"/>
    </xf>
    <xf numFmtId="0" fontId="2" fillId="5" borderId="41" xfId="0" applyFont="1" applyFill="1" applyBorder="1" applyAlignment="1">
      <alignment horizontal="left" vertical="top" wrapText="1"/>
    </xf>
    <xf numFmtId="0" fontId="11" fillId="14" borderId="43" xfId="3" applyFont="1" applyFill="1" applyBorder="1" applyAlignment="1">
      <alignment horizontal="left" vertical="center" wrapText="1"/>
    </xf>
    <xf numFmtId="0" fontId="11" fillId="8" borderId="44" xfId="3" applyFont="1" applyBorder="1" applyAlignment="1">
      <alignment horizontal="left" vertical="center" wrapText="1"/>
    </xf>
    <xf numFmtId="0" fontId="13" fillId="8" borderId="44" xfId="3" applyFont="1" applyBorder="1" applyAlignment="1">
      <alignment horizontal="left" vertical="center" wrapText="1"/>
    </xf>
    <xf numFmtId="164" fontId="0" fillId="4" borderId="0" xfId="1" applyNumberFormat="1" applyFont="1" applyFill="1" applyBorder="1" applyProtection="1"/>
    <xf numFmtId="0" fontId="3" fillId="3" borderId="1" xfId="0" applyNumberFormat="1" applyFont="1" applyFill="1" applyBorder="1" applyAlignment="1" applyProtection="1">
      <alignment horizontal="left" vertical="center" wrapText="1"/>
      <protection locked="0"/>
    </xf>
    <xf numFmtId="0" fontId="3" fillId="3" borderId="22" xfId="0" applyNumberFormat="1" applyFont="1" applyFill="1" applyBorder="1" applyAlignment="1" applyProtection="1">
      <alignment horizontal="left" vertical="center" wrapText="1"/>
      <protection locked="0"/>
    </xf>
    <xf numFmtId="165" fontId="0" fillId="0" borderId="0" xfId="2" applyNumberFormat="1" applyFont="1"/>
    <xf numFmtId="9" fontId="0" fillId="0" borderId="0" xfId="2" applyFont="1" applyBorder="1"/>
    <xf numFmtId="9" fontId="0" fillId="0" borderId="17" xfId="2" applyFont="1" applyBorder="1"/>
    <xf numFmtId="0" fontId="0" fillId="0" borderId="18" xfId="0" applyBorder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2"/>
    </xf>
    <xf numFmtId="0" fontId="0" fillId="0" borderId="0" xfId="0" applyAlignment="1">
      <alignment horizontal="left" indent="1"/>
    </xf>
    <xf numFmtId="0" fontId="0" fillId="0" borderId="0" xfId="0" pivotButton="1"/>
    <xf numFmtId="0" fontId="19" fillId="0" borderId="0" xfId="0" applyFont="1"/>
    <xf numFmtId="166" fontId="14" fillId="15" borderId="42" xfId="0" applyNumberFormat="1" applyFont="1" applyFill="1" applyBorder="1" applyAlignment="1">
      <alignment horizontal="left" vertical="top" wrapText="1"/>
    </xf>
    <xf numFmtId="166" fontId="6" fillId="0" borderId="40" xfId="0" applyNumberFormat="1" applyFont="1" applyFill="1" applyBorder="1" applyAlignment="1">
      <alignment horizontal="left" vertical="top" wrapText="1"/>
    </xf>
    <xf numFmtId="0" fontId="11" fillId="0" borderId="43" xfId="3" applyFont="1" applyFill="1" applyBorder="1" applyAlignment="1">
      <alignment horizontal="left" vertical="center" wrapText="1"/>
    </xf>
    <xf numFmtId="166" fontId="6" fillId="0" borderId="42" xfId="0" applyNumberFormat="1" applyFont="1" applyFill="1" applyBorder="1" applyAlignment="1">
      <alignment horizontal="left" vertical="top" wrapText="1"/>
    </xf>
    <xf numFmtId="166" fontId="21" fillId="0" borderId="46" xfId="0" applyNumberFormat="1" applyFont="1" applyFill="1" applyBorder="1" applyAlignment="1">
      <alignment horizontal="left" vertical="top" wrapText="1"/>
    </xf>
    <xf numFmtId="0" fontId="18" fillId="0" borderId="0" xfId="0" applyFont="1"/>
    <xf numFmtId="0" fontId="0" fillId="0" borderId="0" xfId="0" quotePrefix="1"/>
    <xf numFmtId="0" fontId="0" fillId="17" borderId="0" xfId="0" applyFill="1"/>
    <xf numFmtId="0" fontId="22" fillId="0" borderId="0" xfId="0" quotePrefix="1" applyFont="1"/>
    <xf numFmtId="9" fontId="0" fillId="0" borderId="0" xfId="2" applyFont="1"/>
    <xf numFmtId="9" fontId="0" fillId="0" borderId="0" xfId="2" applyFont="1" applyAlignment="1">
      <alignment horizontal="right"/>
    </xf>
    <xf numFmtId="165" fontId="0" fillId="0" borderId="0" xfId="0" applyNumberFormat="1" applyAlignment="1">
      <alignment horizontal="right"/>
    </xf>
    <xf numFmtId="0" fontId="0" fillId="0" borderId="0" xfId="0" applyAlignment="1">
      <alignment wrapText="1"/>
    </xf>
    <xf numFmtId="10" fontId="0" fillId="0" borderId="0" xfId="2" applyNumberFormat="1" applyFont="1"/>
    <xf numFmtId="9" fontId="0" fillId="0" borderId="0" xfId="2" applyNumberFormat="1" applyFont="1"/>
    <xf numFmtId="166" fontId="6" fillId="0" borderId="45" xfId="0" applyNumberFormat="1" applyFont="1" applyFill="1" applyBorder="1" applyAlignment="1">
      <alignment horizontal="left" vertical="top" wrapText="1"/>
    </xf>
    <xf numFmtId="0" fontId="19" fillId="0" borderId="0" xfId="0" applyNumberFormat="1" applyFont="1"/>
    <xf numFmtId="0" fontId="18" fillId="0" borderId="0" xfId="0" applyNumberFormat="1" applyFont="1"/>
    <xf numFmtId="0" fontId="19" fillId="0" borderId="0" xfId="0" applyFont="1" applyFill="1"/>
    <xf numFmtId="166" fontId="21" fillId="0" borderId="45" xfId="0" applyNumberFormat="1" applyFont="1" applyFill="1" applyBorder="1" applyAlignment="1">
      <alignment horizontal="left" vertical="top" wrapText="1"/>
    </xf>
    <xf numFmtId="0" fontId="24" fillId="18" borderId="0" xfId="4"/>
    <xf numFmtId="0" fontId="25" fillId="19" borderId="0" xfId="5"/>
    <xf numFmtId="0" fontId="0" fillId="21" borderId="50" xfId="7" applyFont="1"/>
    <xf numFmtId="0" fontId="26" fillId="20" borderId="21" xfId="6"/>
    <xf numFmtId="0" fontId="4" fillId="0" borderId="0" xfId="0" applyFont="1" applyBorder="1"/>
    <xf numFmtId="0" fontId="27" fillId="8" borderId="21" xfId="3" applyFont="1"/>
    <xf numFmtId="0" fontId="4" fillId="17" borderId="0" xfId="0" applyFont="1" applyFill="1" applyBorder="1" applyAlignment="1">
      <alignment vertical="center"/>
    </xf>
    <xf numFmtId="0" fontId="4" fillId="17" borderId="0" xfId="0" applyFont="1" applyFill="1" applyAlignment="1">
      <alignment vertical="center"/>
    </xf>
    <xf numFmtId="0" fontId="4" fillId="17" borderId="0" xfId="0" applyFont="1" applyFill="1"/>
    <xf numFmtId="0" fontId="28" fillId="20" borderId="21" xfId="6" applyFont="1" applyProtection="1">
      <protection locked="0"/>
    </xf>
    <xf numFmtId="0" fontId="4" fillId="17" borderId="0" xfId="0" applyFont="1" applyFill="1" applyProtection="1">
      <protection locked="0"/>
    </xf>
    <xf numFmtId="0" fontId="19" fillId="0" borderId="0" xfId="0" applyFont="1" applyProtection="1">
      <protection locked="0"/>
    </xf>
    <xf numFmtId="0" fontId="0" fillId="0" borderId="0" xfId="0" applyProtection="1">
      <protection locked="0"/>
    </xf>
    <xf numFmtId="0" fontId="19" fillId="0" borderId="0" xfId="0" applyFont="1" applyFill="1" applyProtection="1">
      <protection locked="0"/>
    </xf>
    <xf numFmtId="9" fontId="0" fillId="0" borderId="0" xfId="2" applyNumberFormat="1" applyFont="1" applyAlignment="1">
      <alignment horizontal="right"/>
    </xf>
    <xf numFmtId="0" fontId="0" fillId="0" borderId="0" xfId="0" applyFill="1" applyProtection="1">
      <protection locked="0"/>
    </xf>
    <xf numFmtId="166" fontId="6" fillId="0" borderId="46" xfId="0" applyNumberFormat="1" applyFont="1" applyFill="1" applyBorder="1" applyAlignment="1">
      <alignment horizontal="left" vertical="top" wrapText="1"/>
    </xf>
    <xf numFmtId="0" fontId="25" fillId="19" borderId="0" xfId="5" applyProtection="1">
      <protection locked="0"/>
    </xf>
    <xf numFmtId="0" fontId="25" fillId="19" borderId="0" xfId="5" applyNumberFormat="1"/>
    <xf numFmtId="166" fontId="30" fillId="0" borderId="45" xfId="0" applyNumberFormat="1" applyFont="1" applyFill="1" applyBorder="1" applyAlignment="1">
      <alignment horizontal="left" vertical="top" wrapText="1"/>
    </xf>
    <xf numFmtId="0" fontId="0" fillId="0" borderId="0" xfId="0" applyFill="1"/>
    <xf numFmtId="0" fontId="31" fillId="0" borderId="0" xfId="0" applyFont="1" applyProtection="1">
      <protection locked="0"/>
    </xf>
    <xf numFmtId="0" fontId="31" fillId="0" borderId="0" xfId="0" applyFont="1"/>
    <xf numFmtId="0" fontId="32" fillId="22" borderId="0" xfId="8" applyProtection="1">
      <protection locked="0"/>
    </xf>
    <xf numFmtId="166" fontId="34" fillId="0" borderId="45" xfId="0" applyNumberFormat="1" applyFont="1" applyFill="1" applyBorder="1" applyAlignment="1">
      <alignment horizontal="left" vertical="top" wrapText="1"/>
    </xf>
    <xf numFmtId="164" fontId="0" fillId="21" borderId="50" xfId="7" applyNumberFormat="1" applyFont="1" applyProtection="1">
      <protection locked="0"/>
    </xf>
    <xf numFmtId="164" fontId="8" fillId="8" borderId="21" xfId="3" applyNumberFormat="1"/>
    <xf numFmtId="0" fontId="35" fillId="0" borderId="51" xfId="0" applyFont="1" applyBorder="1"/>
    <xf numFmtId="0" fontId="35" fillId="0" borderId="52" xfId="0" applyFont="1" applyBorder="1"/>
    <xf numFmtId="0" fontId="35" fillId="0" borderId="53" xfId="0" applyFont="1" applyBorder="1"/>
    <xf numFmtId="0" fontId="35" fillId="0" borderId="54" xfId="0" applyFont="1" applyBorder="1"/>
    <xf numFmtId="0" fontId="0" fillId="23" borderId="0" xfId="0" applyFont="1" applyFill="1"/>
    <xf numFmtId="0" fontId="0" fillId="0" borderId="0" xfId="0" applyFont="1"/>
    <xf numFmtId="0" fontId="0" fillId="23" borderId="0" xfId="0" applyFont="1" applyFill="1" applyBorder="1"/>
    <xf numFmtId="0" fontId="0" fillId="0" borderId="57" xfId="0" applyBorder="1"/>
    <xf numFmtId="0" fontId="32" fillId="22" borderId="0" xfId="8"/>
    <xf numFmtId="166" fontId="37" fillId="0" borderId="45" xfId="0" applyNumberFormat="1" applyFont="1" applyFill="1" applyBorder="1" applyAlignment="1">
      <alignment horizontal="left" vertical="top" wrapText="1"/>
    </xf>
    <xf numFmtId="0" fontId="38" fillId="16" borderId="1" xfId="0" applyNumberFormat="1" applyFont="1" applyFill="1" applyBorder="1" applyAlignment="1" applyProtection="1">
      <alignment horizontal="left" vertical="center" wrapText="1"/>
      <protection locked="0"/>
    </xf>
    <xf numFmtId="0" fontId="38" fillId="16" borderId="22" xfId="0" applyNumberFormat="1" applyFont="1" applyFill="1" applyBorder="1" applyAlignment="1" applyProtection="1">
      <alignment horizontal="left" vertical="center" wrapText="1"/>
      <protection locked="0"/>
    </xf>
    <xf numFmtId="166" fontId="37" fillId="0" borderId="46" xfId="0" applyNumberFormat="1" applyFont="1" applyFill="1" applyBorder="1" applyAlignment="1">
      <alignment horizontal="left" vertical="top" wrapText="1"/>
    </xf>
    <xf numFmtId="0" fontId="3" fillId="0" borderId="1" xfId="0" applyFont="1" applyFill="1" applyBorder="1" applyAlignment="1" applyProtection="1">
      <alignment horizontal="left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0" fontId="13" fillId="3" borderId="1" xfId="0" applyNumberFormat="1" applyFont="1" applyFill="1" applyBorder="1" applyAlignment="1" applyProtection="1">
      <alignment horizontal="left" vertical="center" wrapText="1"/>
    </xf>
    <xf numFmtId="0" fontId="20" fillId="16" borderId="1" xfId="0" applyNumberFormat="1" applyFont="1" applyFill="1" applyBorder="1" applyAlignment="1" applyProtection="1">
      <alignment horizontal="left" vertical="center" wrapText="1"/>
    </xf>
    <xf numFmtId="0" fontId="38" fillId="16" borderId="1" xfId="0" applyNumberFormat="1" applyFont="1" applyFill="1" applyBorder="1" applyAlignment="1" applyProtection="1">
      <alignment horizontal="left" vertical="center" wrapText="1"/>
    </xf>
    <xf numFmtId="0" fontId="3" fillId="0" borderId="20" xfId="0" applyFont="1" applyFill="1" applyBorder="1" applyAlignment="1" applyProtection="1">
      <alignment horizontal="left" vertical="center" wrapText="1"/>
    </xf>
    <xf numFmtId="0" fontId="3" fillId="3" borderId="20" xfId="0" applyFont="1" applyFill="1" applyBorder="1" applyAlignment="1" applyProtection="1">
      <alignment horizontal="left" vertical="center" wrapText="1"/>
    </xf>
    <xf numFmtId="0" fontId="3" fillId="3" borderId="22" xfId="0" applyFont="1" applyFill="1" applyBorder="1" applyAlignment="1" applyProtection="1">
      <alignment horizontal="left" vertical="center" wrapText="1"/>
    </xf>
    <xf numFmtId="0" fontId="13" fillId="3" borderId="22" xfId="0" applyNumberFormat="1" applyFont="1" applyFill="1" applyBorder="1" applyAlignment="1" applyProtection="1">
      <alignment horizontal="left" vertical="center" wrapText="1"/>
    </xf>
    <xf numFmtId="0" fontId="20" fillId="16" borderId="22" xfId="0" applyNumberFormat="1" applyFont="1" applyFill="1" applyBorder="1" applyAlignment="1" applyProtection="1">
      <alignment horizontal="left" vertical="center" wrapText="1"/>
    </xf>
    <xf numFmtId="0" fontId="38" fillId="16" borderId="22" xfId="0" applyNumberFormat="1" applyFont="1" applyFill="1" applyBorder="1" applyAlignment="1" applyProtection="1">
      <alignment horizontal="left" vertical="center" wrapText="1"/>
    </xf>
    <xf numFmtId="0" fontId="3" fillId="14" borderId="1" xfId="0" applyFont="1" applyFill="1" applyBorder="1" applyAlignment="1" applyProtection="1">
      <alignment horizontal="left" vertical="center" wrapText="1"/>
    </xf>
    <xf numFmtId="0" fontId="3" fillId="3" borderId="1" xfId="0" applyNumberFormat="1" applyFont="1" applyFill="1" applyBorder="1" applyAlignment="1" applyProtection="1">
      <alignment horizontal="left" vertical="center" wrapText="1"/>
    </xf>
    <xf numFmtId="0" fontId="23" fillId="3" borderId="1" xfId="0" applyNumberFormat="1" applyFont="1" applyFill="1" applyBorder="1" applyAlignment="1" applyProtection="1">
      <alignment horizontal="left" vertical="center" wrapText="1"/>
    </xf>
    <xf numFmtId="0" fontId="29" fillId="3" borderId="1" xfId="0" applyNumberFormat="1" applyFont="1" applyFill="1" applyBorder="1" applyAlignment="1" applyProtection="1">
      <alignment horizontal="left" vertical="center" wrapText="1"/>
    </xf>
    <xf numFmtId="0" fontId="33" fillId="3" borderId="1" xfId="0" applyNumberFormat="1" applyFont="1" applyFill="1" applyBorder="1" applyAlignment="1" applyProtection="1">
      <alignment horizontal="left" vertical="center" wrapText="1"/>
    </xf>
    <xf numFmtId="0" fontId="36" fillId="3" borderId="1" xfId="0" applyNumberFormat="1" applyFont="1" applyFill="1" applyBorder="1" applyAlignment="1" applyProtection="1">
      <alignment horizontal="left" vertical="center" wrapText="1"/>
    </xf>
    <xf numFmtId="0" fontId="3" fillId="14" borderId="20" xfId="0" applyFont="1" applyFill="1" applyBorder="1" applyAlignment="1" applyProtection="1">
      <alignment horizontal="left" vertical="center" wrapText="1"/>
    </xf>
    <xf numFmtId="0" fontId="3" fillId="3" borderId="22" xfId="0" applyNumberFormat="1" applyFont="1" applyFill="1" applyBorder="1" applyAlignment="1" applyProtection="1">
      <alignment horizontal="left" vertical="center" wrapText="1"/>
    </xf>
    <xf numFmtId="0" fontId="23" fillId="3" borderId="22" xfId="0" applyNumberFormat="1" applyFont="1" applyFill="1" applyBorder="1" applyAlignment="1" applyProtection="1">
      <alignment horizontal="left" vertical="center" wrapText="1"/>
    </xf>
    <xf numFmtId="0" fontId="29" fillId="3" borderId="22" xfId="0" applyNumberFormat="1" applyFont="1" applyFill="1" applyBorder="1" applyAlignment="1" applyProtection="1">
      <alignment horizontal="left" vertical="center" wrapText="1"/>
    </xf>
    <xf numFmtId="0" fontId="33" fillId="3" borderId="22" xfId="0" applyNumberFormat="1" applyFont="1" applyFill="1" applyBorder="1" applyAlignment="1" applyProtection="1">
      <alignment horizontal="left" vertical="center" wrapText="1"/>
    </xf>
    <xf numFmtId="0" fontId="36" fillId="3" borderId="22" xfId="0" applyNumberFormat="1" applyFont="1" applyFill="1" applyBorder="1" applyAlignment="1" applyProtection="1">
      <alignment horizontal="left" vertical="center" wrapText="1"/>
    </xf>
    <xf numFmtId="0" fontId="20" fillId="16" borderId="1" xfId="0" applyNumberFormat="1" applyFont="1" applyFill="1" applyBorder="1" applyAlignment="1" applyProtection="1">
      <alignment horizontal="left" vertical="center" wrapText="1"/>
      <protection locked="0"/>
    </xf>
    <xf numFmtId="0" fontId="20" fillId="16" borderId="22" xfId="0" applyNumberFormat="1" applyFont="1" applyFill="1" applyBorder="1" applyAlignment="1" applyProtection="1">
      <alignment horizontal="left" vertical="center" wrapText="1"/>
      <protection locked="0"/>
    </xf>
    <xf numFmtId="0" fontId="0" fillId="0" borderId="0" xfId="0" quotePrefix="1" applyAlignment="1">
      <alignment wrapText="1"/>
    </xf>
    <xf numFmtId="0" fontId="0" fillId="0" borderId="0" xfId="0"/>
    <xf numFmtId="0" fontId="48" fillId="3" borderId="1" xfId="0" applyNumberFormat="1" applyFont="1" applyFill="1" applyBorder="1" applyAlignment="1" applyProtection="1">
      <alignment horizontal="left" vertical="center" wrapText="1"/>
      <protection locked="0"/>
    </xf>
    <xf numFmtId="0" fontId="48" fillId="3" borderId="22" xfId="0" applyNumberFormat="1" applyFont="1" applyFill="1" applyBorder="1" applyAlignment="1" applyProtection="1">
      <alignment horizontal="left" vertical="center" wrapText="1"/>
      <protection locked="0"/>
    </xf>
    <xf numFmtId="166" fontId="49" fillId="0" borderId="45" xfId="0" applyNumberFormat="1" applyFont="1" applyFill="1" applyBorder="1" applyAlignment="1">
      <alignment horizontal="left" vertical="top" wrapText="1"/>
    </xf>
    <xf numFmtId="0" fontId="50" fillId="16" borderId="1" xfId="0" applyNumberFormat="1" applyFont="1" applyFill="1" applyBorder="1" applyAlignment="1" applyProtection="1">
      <alignment horizontal="left" vertical="center" wrapText="1"/>
      <protection locked="0"/>
    </xf>
    <xf numFmtId="0" fontId="50" fillId="16" borderId="22" xfId="0" applyNumberFormat="1" applyFont="1" applyFill="1" applyBorder="1" applyAlignment="1" applyProtection="1">
      <alignment horizontal="left" vertical="center" wrapText="1"/>
      <protection locked="0"/>
    </xf>
    <xf numFmtId="166" fontId="49" fillId="0" borderId="46" xfId="0" applyNumberFormat="1" applyFont="1" applyFill="1" applyBorder="1" applyAlignment="1">
      <alignment horizontal="left" vertical="top" wrapText="1"/>
    </xf>
    <xf numFmtId="0" fontId="0" fillId="0" borderId="0" xfId="0" applyAlignment="1"/>
    <xf numFmtId="0" fontId="0" fillId="0" borderId="0" xfId="0" applyBorder="1" applyAlignment="1"/>
    <xf numFmtId="0" fontId="10" fillId="9" borderId="26" xfId="0" applyFont="1" applyFill="1" applyBorder="1" applyAlignment="1"/>
    <xf numFmtId="0" fontId="10" fillId="9" borderId="27" xfId="0" applyFont="1" applyFill="1" applyBorder="1" applyAlignment="1"/>
    <xf numFmtId="0" fontId="10" fillId="9" borderId="28" xfId="0" applyFont="1" applyFill="1" applyBorder="1" applyAlignment="1"/>
    <xf numFmtId="0" fontId="51" fillId="19" borderId="0" xfId="5" applyFont="1"/>
    <xf numFmtId="0" fontId="51" fillId="19" borderId="0" xfId="5" applyFont="1" applyProtection="1">
      <protection locked="0"/>
    </xf>
    <xf numFmtId="0" fontId="9" fillId="0" borderId="0" xfId="0" applyFont="1"/>
    <xf numFmtId="0" fontId="9" fillId="0" borderId="0" xfId="0" quotePrefix="1" applyFont="1"/>
    <xf numFmtId="165" fontId="0" fillId="0" borderId="0" xfId="0" applyNumberFormat="1"/>
    <xf numFmtId="165" fontId="0" fillId="15" borderId="0" xfId="2" applyNumberFormat="1" applyFont="1" applyFill="1"/>
    <xf numFmtId="166" fontId="0" fillId="0" borderId="0" xfId="0" applyNumberFormat="1"/>
    <xf numFmtId="0" fontId="5" fillId="5" borderId="8" xfId="0" applyFont="1" applyFill="1" applyBorder="1" applyAlignment="1">
      <alignment horizontal="center"/>
    </xf>
    <xf numFmtId="0" fontId="5" fillId="5" borderId="9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164" fontId="9" fillId="0" borderId="23" xfId="0" applyNumberFormat="1" applyFont="1" applyBorder="1" applyAlignment="1">
      <alignment horizontal="center"/>
    </xf>
    <xf numFmtId="164" fontId="9" fillId="0" borderId="24" xfId="0" applyNumberFormat="1" applyFont="1" applyBorder="1" applyAlignment="1">
      <alignment horizontal="center"/>
    </xf>
    <xf numFmtId="164" fontId="9" fillId="0" borderId="25" xfId="0" applyNumberFormat="1" applyFont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49" xfId="0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0" fillId="9" borderId="26" xfId="0" applyFont="1" applyFill="1" applyBorder="1" applyAlignment="1">
      <alignment horizontal="center"/>
    </xf>
    <xf numFmtId="0" fontId="10" fillId="9" borderId="27" xfId="0" applyFont="1" applyFill="1" applyBorder="1" applyAlignment="1">
      <alignment horizontal="center"/>
    </xf>
    <xf numFmtId="0" fontId="10" fillId="9" borderId="28" xfId="0" applyFont="1" applyFill="1" applyBorder="1" applyAlignment="1">
      <alignment horizontal="center"/>
    </xf>
    <xf numFmtId="0" fontId="5" fillId="4" borderId="6" xfId="0" applyFont="1" applyFill="1" applyBorder="1" applyAlignment="1">
      <alignment horizontal="center"/>
    </xf>
    <xf numFmtId="0" fontId="5" fillId="4" borderId="7" xfId="0" applyFont="1" applyFill="1" applyBorder="1" applyAlignment="1">
      <alignment horizontal="center"/>
    </xf>
    <xf numFmtId="0" fontId="35" fillId="0" borderId="55" xfId="0" applyFont="1" applyBorder="1" applyAlignment="1">
      <alignment horizontal="center"/>
    </xf>
    <xf numFmtId="0" fontId="35" fillId="0" borderId="56" xfId="0" applyFont="1" applyBorder="1" applyAlignment="1">
      <alignment horizontal="center"/>
    </xf>
    <xf numFmtId="0" fontId="26" fillId="20" borderId="21" xfId="6" applyAlignment="1">
      <alignment horizontal="left" vertical="top" wrapText="1"/>
    </xf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5" builtinId="27" customBuiltin="1"/>
    <cellStyle name="Calculation" xfId="3" builtinId="22" customBuiltin="1"/>
    <cellStyle name="Check Cell" xfId="16" builtinId="23" customBuiltin="1"/>
    <cellStyle name="Comma" xfId="1" builtinId="3"/>
    <cellStyle name="Explanatory Text" xfId="18" builtinId="53" customBuiltin="1"/>
    <cellStyle name="Good" xfId="4" builtinId="26" customBuiltin="1"/>
    <cellStyle name="Heading 1" xfId="10" builtinId="16" customBuiltin="1"/>
    <cellStyle name="Heading 2" xfId="11" builtinId="17" customBuiltin="1"/>
    <cellStyle name="Heading 3" xfId="12" builtinId="18" customBuiltin="1"/>
    <cellStyle name="Heading 4" xfId="13" builtinId="19" customBuiltin="1"/>
    <cellStyle name="Input" xfId="6" builtinId="20" customBuiltin="1"/>
    <cellStyle name="Linked Cell" xfId="15" builtinId="24" customBuiltin="1"/>
    <cellStyle name="Neutral" xfId="8" builtinId="28" customBuiltin="1"/>
    <cellStyle name="Normal" xfId="0" builtinId="0"/>
    <cellStyle name="Note" xfId="7" builtinId="10" customBuiltin="1"/>
    <cellStyle name="Output" xfId="14" builtinId="21" customBuiltin="1"/>
    <cellStyle name="Percent" xfId="2" builtinId="5"/>
    <cellStyle name="Title" xfId="9" builtinId="15" customBuiltin="1"/>
    <cellStyle name="Total" xfId="19" builtinId="25" customBuiltin="1"/>
    <cellStyle name="Warning Text" xfId="17" builtinId="11" customBuiltin="1"/>
  </cellStyles>
  <dxfs count="9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/>
      </font>
    </dxf>
    <dxf>
      <numFmt numFmtId="165" formatCode="0.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/>
        <i val="0"/>
        <color rgb="FFFF0000"/>
      </font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E200D8"/>
      </font>
    </dxf>
    <dxf>
      <fill>
        <patternFill patternType="lightGrid">
          <fgColor rgb="FFC00000"/>
          <bgColor auto="1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theme="9" tint="0.59996337778862885"/>
        </patternFill>
      </fill>
    </dxf>
    <dxf>
      <numFmt numFmtId="165" formatCode="0.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numFmt numFmtId="165" formatCode="0.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color rgb="FFFFC5E3"/>
      </font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numFmt numFmtId="165" formatCode="0.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</dxf>
    <dxf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/>
        <i val="0"/>
        <color rgb="FFFFC5E3"/>
      </font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numFmt numFmtId="165" formatCode="0.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</dxf>
    <dxf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/>
        <i val="0"/>
        <color rgb="FFFFC5E3"/>
      </font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numFmt numFmtId="165" formatCode="0.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ill>
        <patternFill patternType="lightGrid">
          <fgColor rgb="FFC00000"/>
          <bgColor auto="1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43A5"/>
      </font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theme="9" tint="0.59996337778862885"/>
        </patternFill>
      </fill>
    </dxf>
    <dxf>
      <numFmt numFmtId="165" formatCode="0.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ill>
        <patternFill>
          <bgColor rgb="FFFF9B9B"/>
        </patternFill>
      </fill>
    </dxf>
    <dxf>
      <font>
        <b/>
        <i val="0"/>
        <color rgb="FFE200D8"/>
      </font>
    </dxf>
    <dxf>
      <fill>
        <patternFill patternType="lightGrid">
          <fgColor rgb="FFC00000"/>
          <bgColor auto="1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theme="9" tint="0.59996337778862885"/>
        </patternFill>
      </fill>
    </dxf>
    <dxf>
      <numFmt numFmtId="165" formatCode="0.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rgb="FFFF9B9B"/>
        </patternFill>
      </fill>
    </dxf>
    <dxf>
      <font>
        <b/>
        <i val="0"/>
        <color rgb="FFE200D8"/>
      </font>
    </dxf>
    <dxf>
      <fill>
        <patternFill patternType="lightGrid">
          <fgColor rgb="FFC00000"/>
          <bgColor auto="1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theme="9" tint="0.59996337778862885"/>
        </patternFill>
      </fill>
    </dxf>
    <dxf>
      <numFmt numFmtId="165" formatCode="0.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rgb="FFFF9B9B"/>
        </patternFill>
      </fill>
    </dxf>
    <dxf>
      <fill>
        <patternFill patternType="lightGrid">
          <fgColor rgb="FFC00000"/>
          <bgColor auto="1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theme="9" tint="0.59996337778862885"/>
        </patternFill>
      </fill>
    </dxf>
    <dxf>
      <fill>
        <patternFill>
          <bgColor rgb="FFFF9B9B"/>
        </patternFill>
      </fill>
    </dxf>
    <dxf>
      <font>
        <b/>
        <i val="0"/>
        <color rgb="FFE200D8"/>
      </font>
    </dxf>
    <dxf>
      <fill>
        <patternFill patternType="lightGrid">
          <fgColor rgb="FFC00000"/>
          <bgColor auto="1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theme="9" tint="0.59996337778862885"/>
        </patternFill>
      </fill>
    </dxf>
    <dxf>
      <numFmt numFmtId="165" formatCode="0.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rgb="FFFF9B9B"/>
        </patternFill>
      </fill>
    </dxf>
    <dxf>
      <font>
        <b/>
        <i val="0"/>
        <color rgb="FFE200D8"/>
      </font>
    </dxf>
    <dxf>
      <fill>
        <patternFill patternType="lightGrid">
          <fgColor rgb="FFC00000"/>
          <bgColor auto="1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theme="9" tint="0.59996337778862885"/>
        </patternFill>
      </fill>
    </dxf>
    <dxf>
      <numFmt numFmtId="165" formatCode="0.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rgb="FFFF9B9B"/>
        </patternFill>
      </fill>
    </dxf>
    <dxf>
      <font>
        <b/>
        <i val="0"/>
        <color rgb="FFE200D8"/>
      </font>
    </dxf>
    <dxf>
      <fill>
        <patternFill patternType="lightGrid">
          <fgColor rgb="FFC00000"/>
          <bgColor auto="1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theme="9" tint="0.59996337778862885"/>
        </patternFill>
      </fill>
    </dxf>
    <dxf>
      <numFmt numFmtId="165" formatCode="0.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rgb="FFFF9B9B"/>
        </patternFill>
      </fill>
    </dxf>
    <dxf>
      <font>
        <b/>
        <i val="0"/>
        <color rgb="FFE200D8"/>
      </font>
    </dxf>
    <dxf>
      <fill>
        <patternFill patternType="lightGrid">
          <fgColor rgb="FFC00000"/>
          <bgColor auto="1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theme="9" tint="0.59996337778862885"/>
        </patternFill>
      </fill>
    </dxf>
    <dxf>
      <numFmt numFmtId="165" formatCode="0.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rgb="FFFF9B9B"/>
        </patternFill>
      </fill>
    </dxf>
    <dxf>
      <font>
        <b/>
        <i val="0"/>
        <color rgb="FFE200D8"/>
      </font>
    </dxf>
    <dxf>
      <fill>
        <patternFill patternType="lightGrid">
          <fgColor rgb="FFC00000"/>
          <bgColor auto="1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theme="9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numFmt numFmtId="165" formatCode="0.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/>
        <i val="0"/>
        <color rgb="FFFF0000"/>
      </font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rgb="FFFF9B9B"/>
        </patternFill>
      </fill>
    </dxf>
    <dxf>
      <font>
        <b/>
        <i val="0"/>
        <color rgb="FFE200D8"/>
      </font>
    </dxf>
    <dxf>
      <fill>
        <patternFill patternType="lightGrid">
          <fgColor rgb="FFC00000"/>
          <bgColor auto="1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theme="9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numFmt numFmtId="165" formatCode="0.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/>
        <i val="0"/>
        <color rgb="FFFF0000"/>
      </font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rgb="FFFF9B9B"/>
        </patternFill>
      </fill>
    </dxf>
    <dxf>
      <font>
        <b/>
        <i val="0"/>
        <color rgb="FFE200D8"/>
      </font>
    </dxf>
    <dxf>
      <fill>
        <patternFill patternType="lightGrid">
          <fgColor rgb="FFC00000"/>
          <bgColor auto="1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theme="9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numFmt numFmtId="165" formatCode="0.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/>
        <i val="0"/>
        <color rgb="FFFF0000"/>
      </font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E200D8"/>
      </font>
    </dxf>
    <dxf>
      <fill>
        <patternFill patternType="lightGrid">
          <fgColor rgb="FFC00000"/>
          <bgColor auto="1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theme="9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numFmt numFmtId="165" formatCode="0.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/>
        <i val="0"/>
        <color rgb="FFFF0000"/>
      </font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E200D8"/>
      </font>
    </dxf>
    <dxf>
      <fill>
        <patternFill patternType="lightGrid">
          <fgColor rgb="FFC00000"/>
          <bgColor auto="1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theme="9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numFmt numFmtId="165" formatCode="0.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/>
        <i val="0"/>
        <color rgb="FFFF0000"/>
      </font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E200D8"/>
      </font>
    </dxf>
    <dxf>
      <fill>
        <patternFill patternType="lightGrid">
          <fgColor rgb="FFC00000"/>
          <bgColor auto="1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theme="9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numFmt numFmtId="165" formatCode="0.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/>
        <i val="0"/>
        <color rgb="FFFF0000"/>
      </font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rgb="FFE200D8"/>
      </font>
    </dxf>
    <dxf>
      <fill>
        <patternFill patternType="lightGrid">
          <fgColor rgb="FFC00000"/>
          <bgColor auto="1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theme="9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none"/>
      </font>
      <numFmt numFmtId="0" formatCode="General"/>
      <fill>
        <patternFill patternType="solid">
          <fgColor rgb="FF000000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none"/>
      </font>
      <numFmt numFmtId="0" formatCode="General"/>
      <fill>
        <patternFill patternType="solid">
          <fgColor rgb="FF000000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none"/>
      </font>
      <numFmt numFmtId="0" formatCode="General"/>
      <fill>
        <patternFill patternType="solid">
          <fgColor rgb="FF000000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none"/>
      </font>
      <numFmt numFmtId="0" formatCode="General"/>
      <fill>
        <patternFill patternType="solid">
          <fgColor rgb="FF000000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none"/>
      </font>
      <numFmt numFmtId="0" formatCode="General"/>
      <fill>
        <patternFill patternType="solid">
          <fgColor rgb="FF000000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none"/>
      </font>
      <numFmt numFmtId="0" formatCode="General"/>
      <fill>
        <patternFill patternType="solid">
          <fgColor rgb="FF000000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none"/>
      </font>
      <numFmt numFmtId="0" formatCode="General"/>
      <fill>
        <patternFill patternType="solid">
          <fgColor rgb="FF000000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none"/>
      </font>
      <numFmt numFmtId="0" formatCode="General"/>
      <fill>
        <patternFill patternType="solid">
          <fgColor rgb="FF000000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none"/>
      </font>
      <numFmt numFmtId="0" formatCode="General"/>
      <fill>
        <patternFill patternType="solid">
          <fgColor rgb="FF000000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none"/>
      </font>
      <numFmt numFmtId="0" formatCode="General"/>
      <fill>
        <patternFill patternType="solid">
          <fgColor rgb="FF000000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none"/>
      </font>
      <numFmt numFmtId="0" formatCode="General"/>
      <fill>
        <patternFill patternType="solid">
          <fgColor rgb="FF000000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none"/>
      </font>
      <numFmt numFmtId="0" formatCode="General"/>
      <fill>
        <patternFill patternType="solid">
          <fgColor rgb="FF000000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none"/>
      </font>
      <numFmt numFmtId="0" formatCode="General"/>
      <fill>
        <patternFill patternType="solid">
          <fgColor rgb="FF000000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none"/>
      </font>
      <numFmt numFmtId="0" formatCode="General"/>
      <fill>
        <patternFill patternType="solid">
          <fgColor rgb="FF000000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none"/>
      </font>
      <numFmt numFmtId="0" formatCode="General"/>
      <fill>
        <patternFill patternType="solid">
          <fgColor rgb="FF000000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none"/>
      </font>
      <numFmt numFmtId="0" formatCode="General"/>
      <fill>
        <patternFill patternType="solid">
          <fgColor rgb="FF000000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none"/>
      </font>
      <numFmt numFmtId="0" formatCode="General"/>
      <fill>
        <patternFill patternType="solid">
          <fgColor rgb="FF000000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none"/>
      </font>
      <numFmt numFmtId="0" formatCode="General"/>
      <fill>
        <patternFill patternType="solid">
          <fgColor rgb="FF000000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rgb="FFB2B2B2"/>
        </right>
        <top style="thin">
          <color rgb="FFB2B2B2"/>
        </top>
        <bottom style="thin">
          <color rgb="FFB2B2B2"/>
        </bottom>
      </border>
    </dxf>
    <dxf>
      <border outline="0">
        <left style="medium">
          <color rgb="FF000000"/>
        </left>
        <right style="medium">
          <color rgb="FFDDDDDD"/>
        </right>
        <top style="medium">
          <color rgb="FFDDDDDD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none"/>
      </font>
      <fill>
        <patternFill patternType="solid">
          <fgColor rgb="FF000000"/>
          <bgColor rgb="FFEDF5FF"/>
        </patternFill>
      </fill>
      <alignment horizontal="left" vertical="center" textRotation="0" wrapText="1" indent="0" justifyLastLine="0" shrinkToFit="0" readingOrder="0"/>
    </dxf>
    <dxf>
      <border>
        <bottom style="double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scheme val="none"/>
      </font>
      <numFmt numFmtId="166" formatCode="m/d/yy;@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/>
        <bottom/>
        <vertical style="medium">
          <color auto="1"/>
        </vertical>
        <horizontal/>
      </border>
    </dxf>
    <dxf>
      <fill>
        <patternFill>
          <bgColor theme="7" tint="0.59996337778862885"/>
        </patternFill>
      </fill>
    </dxf>
    <dxf>
      <fill>
        <patternFill>
          <bgColor rgb="FFFFFFAB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FFFFAB"/>
        </patternFill>
      </fill>
    </dxf>
    <dxf>
      <fill>
        <patternFill>
          <bgColor theme="9" tint="0.39994506668294322"/>
        </patternFill>
      </fill>
    </dxf>
    <dxf>
      <font>
        <b/>
        <i val="0"/>
        <color rgb="FFE20074"/>
      </font>
    </dxf>
    <dxf>
      <font>
        <b val="0"/>
        <i/>
        <color rgb="FFE20074"/>
      </font>
    </dxf>
    <dxf>
      <fill>
        <patternFill>
          <bgColor rgb="FFFFFF99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E20074"/>
      </font>
    </dxf>
    <dxf>
      <fill>
        <patternFill>
          <bgColor rgb="FFFFFF99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E20074"/>
      </font>
    </dxf>
    <dxf>
      <font>
        <color rgb="FFFF97CD"/>
      </font>
    </dxf>
    <dxf>
      <fill>
        <patternFill>
          <bgColor theme="7" tint="0.59996337778862885"/>
        </patternFill>
      </fill>
    </dxf>
    <dxf>
      <fill>
        <patternFill>
          <bgColor rgb="FFFFFFAB"/>
        </patternFill>
      </fill>
    </dxf>
    <dxf>
      <fill>
        <patternFill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fill>
        <patternFill patternType="solid">
          <fgColor indexed="64"/>
          <bgColor rgb="FFFFFFAB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rgb="FFB2B2B2"/>
        </right>
        <top style="thin">
          <color rgb="FFB2B2B2"/>
        </top>
        <bottom style="thin">
          <color rgb="FFB2B2B2"/>
        </bottom>
      </border>
    </dxf>
    <dxf>
      <border outline="0">
        <left style="medium">
          <color indexed="64"/>
        </left>
        <right style="medium">
          <color rgb="FFDDDDDD"/>
        </right>
        <top style="medium">
          <color rgb="FFDDDDDD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</dxf>
    <dxf>
      <border>
        <bottom style="double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scheme val="none"/>
      </font>
      <numFmt numFmtId="166" formatCode="m/d/yy;@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/>
        <bottom/>
        <vertical style="medium">
          <color auto="1"/>
        </vertical>
        <horizontal/>
      </border>
    </dxf>
    <dxf>
      <fill>
        <patternFill>
          <bgColor theme="7" tint="0.59996337778862885"/>
        </patternFill>
      </fill>
    </dxf>
    <dxf>
      <fill>
        <patternFill>
          <bgColor rgb="FFFFFFAB"/>
        </patternFill>
      </fill>
    </dxf>
    <dxf>
      <fill>
        <patternFill>
          <bgColor theme="9" tint="0.39994506668294322"/>
        </patternFill>
      </fill>
    </dxf>
    <dxf>
      <font>
        <b/>
        <i val="0"/>
        <color rgb="FFE20074"/>
      </font>
    </dxf>
    <dxf>
      <font>
        <b val="0"/>
        <i/>
        <color rgb="FFE20074"/>
      </font>
    </dxf>
    <dxf>
      <fill>
        <patternFill>
          <bgColor rgb="FFFFFF99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E20074"/>
      </font>
    </dxf>
    <dxf>
      <fill>
        <patternFill>
          <bgColor rgb="FFFFFF99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E20074"/>
      </font>
    </dxf>
    <dxf>
      <font>
        <color rgb="FFFF97CD"/>
      </font>
    </dxf>
    <dxf>
      <fill>
        <patternFill>
          <bgColor theme="7" tint="0.59996337778862885"/>
        </patternFill>
      </fill>
    </dxf>
    <dxf>
      <fill>
        <patternFill>
          <bgColor rgb="FFFFFFAB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FFFFAB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FFFFAB"/>
        </patternFill>
      </fill>
    </dxf>
    <dxf>
      <fill>
        <patternFill>
          <bgColor theme="9" tint="0.39994506668294322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0"/>
      </font>
      <fill>
        <patternFill patternType="solid">
          <fgColor theme="4"/>
          <bgColor rgb="FFFF43A5"/>
        </patternFill>
      </fill>
    </dxf>
    <dxf>
      <border>
        <top style="double">
          <color theme="1"/>
        </top>
      </border>
    </dxf>
    <dxf>
      <font>
        <color theme="0"/>
      </font>
      <fill>
        <patternFill patternType="solid">
          <fgColor theme="4"/>
          <bgColor rgb="FFE143A5"/>
        </patternFill>
      </fill>
      <border>
        <bottom style="medium">
          <color theme="1"/>
        </bottom>
      </border>
    </dxf>
    <dxf>
      <font>
        <color theme="1"/>
      </font>
      <border>
        <top style="medium">
          <color theme="1"/>
        </top>
        <bottom style="medium">
          <color theme="1"/>
        </bottom>
      </border>
    </dxf>
  </dxfs>
  <tableStyles count="1" defaultTableStyle="TableStyleMedium2" defaultPivotStyle="PivotStyleLight16">
    <tableStyle name="TableStyleMedium16 2" pivot="0" count="6" xr9:uid="{00000000-0011-0000-FFFF-FFFF00000000}">
      <tableStyleElement type="wholeTable" dxfId="998"/>
      <tableStyleElement type="headerRow" dxfId="997"/>
      <tableStyleElement type="totalRow" dxfId="996"/>
      <tableStyleElement type="firstColumn" dxfId="995"/>
      <tableStyleElement type="lastColumn" dxfId="994"/>
      <tableStyleElement type="firstRowStripe" dxfId="993"/>
    </tableStyle>
  </tableStyles>
  <colors>
    <mruColors>
      <color rgb="FFFF9B9B"/>
      <color rgb="FFE200D8"/>
      <color rgb="FFE143A5"/>
      <color rgb="FFFF43A5"/>
      <color rgb="FFFFC5E3"/>
      <color rgb="FFFF29F5"/>
      <color rgb="FFFFFF99"/>
      <color rgb="FFFFFFCC"/>
      <color rgb="FFFFFFAB"/>
      <color rgb="FFE2007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4.xml"/><Relationship Id="rId39" Type="http://schemas.openxmlformats.org/officeDocument/2006/relationships/pivotCacheDefinition" Target="pivotCache/pivotCacheDefinition17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pivotCacheDefinition" Target="pivotCache/pivotCacheDefinition12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3.xml"/><Relationship Id="rId33" Type="http://schemas.openxmlformats.org/officeDocument/2006/relationships/pivotCacheDefinition" Target="pivotCache/pivotCacheDefinition11.xml"/><Relationship Id="rId38" Type="http://schemas.openxmlformats.org/officeDocument/2006/relationships/pivotCacheDefinition" Target="pivotCache/pivotCacheDefinition16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7.xml"/><Relationship Id="rId41" Type="http://schemas.openxmlformats.org/officeDocument/2006/relationships/pivotCacheDefinition" Target="pivotCache/pivotCacheDefinition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32" Type="http://schemas.openxmlformats.org/officeDocument/2006/relationships/pivotCacheDefinition" Target="pivotCache/pivotCacheDefinition10.xml"/><Relationship Id="rId37" Type="http://schemas.openxmlformats.org/officeDocument/2006/relationships/pivotCacheDefinition" Target="pivotCache/pivotCacheDefinition15.xml"/><Relationship Id="rId40" Type="http://schemas.openxmlformats.org/officeDocument/2006/relationships/pivotCacheDefinition" Target="pivotCache/pivotCacheDefinition18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pivotCacheDefinition" Target="pivotCache/pivotCacheDefinition6.xml"/><Relationship Id="rId36" Type="http://schemas.openxmlformats.org/officeDocument/2006/relationships/pivotCacheDefinition" Target="pivotCache/pivotCacheDefinition1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9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5.xml"/><Relationship Id="rId30" Type="http://schemas.openxmlformats.org/officeDocument/2006/relationships/pivotCacheDefinition" Target="pivotCache/pivotCacheDefinition8.xml"/><Relationship Id="rId35" Type="http://schemas.openxmlformats.org/officeDocument/2006/relationships/pivotCacheDefinition" Target="pivotCache/pivotCacheDefinition13.xml"/><Relationship Id="rId43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Percent of Work which was added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'Scope Changes'!$A$3</c:f>
              <c:strCache>
                <c:ptCount val="1"/>
                <c:pt idx="0">
                  <c:v>AIX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'Scope Changes'!$B$2:$G$2</c:f>
              <c:numCache>
                <c:formatCode>m/d/yy;@</c:formatCode>
                <c:ptCount val="6"/>
                <c:pt idx="0">
                  <c:v>43284</c:v>
                </c:pt>
                <c:pt idx="1">
                  <c:v>43298</c:v>
                </c:pt>
                <c:pt idx="2">
                  <c:v>43312</c:v>
                </c:pt>
                <c:pt idx="3">
                  <c:v>43326</c:v>
                </c:pt>
                <c:pt idx="4">
                  <c:v>43340</c:v>
                </c:pt>
                <c:pt idx="5">
                  <c:v>43354</c:v>
                </c:pt>
              </c:numCache>
            </c:numRef>
          </c:cat>
          <c:val>
            <c:numRef>
              <c:f>'Scope Changes'!$B$3:$G$3</c:f>
              <c:numCache>
                <c:formatCode>0.0%</c:formatCode>
                <c:ptCount val="6"/>
                <c:pt idx="0">
                  <c:v>0</c:v>
                </c:pt>
                <c:pt idx="1">
                  <c:v>2.3800000000000002E-2</c:v>
                </c:pt>
                <c:pt idx="2">
                  <c:v>0.124</c:v>
                </c:pt>
                <c:pt idx="3">
                  <c:v>5.5599999999999997E-2</c:v>
                </c:pt>
                <c:pt idx="4">
                  <c:v>0.2</c:v>
                </c:pt>
                <c:pt idx="5">
                  <c:v>0.30230000000000001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69-46DE-85B4-D6B986FBE05A}"/>
            </c:ext>
          </c:extLst>
        </c:ser>
        <c:ser>
          <c:idx val="1"/>
          <c:order val="1"/>
          <c:tx>
            <c:strRef>
              <c:f>'Scope Changes'!$A$4</c:f>
              <c:strCache>
                <c:ptCount val="1"/>
                <c:pt idx="0">
                  <c:v>UNIX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'Scope Changes'!$B$2:$G$2</c:f>
              <c:numCache>
                <c:formatCode>m/d/yy;@</c:formatCode>
                <c:ptCount val="6"/>
                <c:pt idx="0">
                  <c:v>43284</c:v>
                </c:pt>
                <c:pt idx="1">
                  <c:v>43298</c:v>
                </c:pt>
                <c:pt idx="2">
                  <c:v>43312</c:v>
                </c:pt>
                <c:pt idx="3">
                  <c:v>43326</c:v>
                </c:pt>
                <c:pt idx="4">
                  <c:v>43340</c:v>
                </c:pt>
                <c:pt idx="5">
                  <c:v>43354</c:v>
                </c:pt>
              </c:numCache>
            </c:numRef>
          </c:cat>
          <c:val>
            <c:numRef>
              <c:f>'Scope Changes'!$B$4:$G$4</c:f>
              <c:numCache>
                <c:formatCode>0.0%</c:formatCode>
                <c:ptCount val="6"/>
                <c:pt idx="0">
                  <c:v>9.7600000000000006E-2</c:v>
                </c:pt>
                <c:pt idx="1">
                  <c:v>0.15790000000000001</c:v>
                </c:pt>
                <c:pt idx="2">
                  <c:v>0.13900000000000001</c:v>
                </c:pt>
                <c:pt idx="3">
                  <c:v>0.15379999999999999</c:v>
                </c:pt>
                <c:pt idx="4">
                  <c:v>0.25</c:v>
                </c:pt>
                <c:pt idx="5">
                  <c:v>0.40429999999999999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69-46DE-85B4-D6B986FBE05A}"/>
            </c:ext>
          </c:extLst>
        </c:ser>
        <c:ser>
          <c:idx val="2"/>
          <c:order val="2"/>
          <c:tx>
            <c:strRef>
              <c:f>'Scope Changes'!$A$5</c:f>
              <c:strCache>
                <c:ptCount val="1"/>
                <c:pt idx="0">
                  <c:v>Combined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'Scope Changes'!$B$2:$G$2</c:f>
              <c:numCache>
                <c:formatCode>m/d/yy;@</c:formatCode>
                <c:ptCount val="6"/>
                <c:pt idx="0">
                  <c:v>43284</c:v>
                </c:pt>
                <c:pt idx="1">
                  <c:v>43298</c:v>
                </c:pt>
                <c:pt idx="2">
                  <c:v>43312</c:v>
                </c:pt>
                <c:pt idx="3">
                  <c:v>43326</c:v>
                </c:pt>
                <c:pt idx="4">
                  <c:v>43340</c:v>
                </c:pt>
                <c:pt idx="5">
                  <c:v>43354</c:v>
                </c:pt>
              </c:numCache>
            </c:numRef>
          </c:cat>
          <c:val>
            <c:numRef>
              <c:f>'Scope Changes'!$B$5:$G$5</c:f>
              <c:numCache>
                <c:formatCode>0.0%</c:formatCode>
                <c:ptCount val="6"/>
                <c:pt idx="0">
                  <c:v>4.4900000000000002E-2</c:v>
                </c:pt>
                <c:pt idx="1">
                  <c:v>0.10100000000000001</c:v>
                </c:pt>
                <c:pt idx="2">
                  <c:v>0.1019</c:v>
                </c:pt>
                <c:pt idx="3">
                  <c:v>0.11360000000000001</c:v>
                </c:pt>
                <c:pt idx="4">
                  <c:v>0.14099999999999999</c:v>
                </c:pt>
                <c:pt idx="5">
                  <c:v>0.35560000000000003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E69-46DE-85B4-D6B986FBE0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4921856"/>
        <c:axId val="784921528"/>
      </c:lineChart>
      <c:dateAx>
        <c:axId val="784921856"/>
        <c:scaling>
          <c:orientation val="minMax"/>
        </c:scaling>
        <c:delete val="0"/>
        <c:axPos val="b"/>
        <c:numFmt formatCode="m/d/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921528"/>
        <c:crosses val="autoZero"/>
        <c:auto val="1"/>
        <c:lblOffset val="100"/>
        <c:baseTimeUnit val="days"/>
      </c:dateAx>
      <c:valAx>
        <c:axId val="784921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921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Scope Creep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'Scope Changes'!$A$9</c:f>
              <c:strCache>
                <c:ptCount val="1"/>
                <c:pt idx="0">
                  <c:v>AIX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'Scope Changes'!$B$8:$G$8</c:f>
              <c:numCache>
                <c:formatCode>m/d/yy;@</c:formatCode>
                <c:ptCount val="6"/>
                <c:pt idx="0">
                  <c:v>43284</c:v>
                </c:pt>
                <c:pt idx="1">
                  <c:v>43298</c:v>
                </c:pt>
                <c:pt idx="2">
                  <c:v>43312</c:v>
                </c:pt>
                <c:pt idx="3">
                  <c:v>43326</c:v>
                </c:pt>
                <c:pt idx="4">
                  <c:v>43340</c:v>
                </c:pt>
                <c:pt idx="5">
                  <c:v>43354</c:v>
                </c:pt>
              </c:numCache>
            </c:numRef>
          </c:cat>
          <c:val>
            <c:numRef>
              <c:f>'Scope Changes'!$B$9:$G$9</c:f>
              <c:numCache>
                <c:formatCode>0.0%</c:formatCode>
                <c:ptCount val="6"/>
                <c:pt idx="0">
                  <c:v>0</c:v>
                </c:pt>
                <c:pt idx="1">
                  <c:v>2.4400000000000002E-2</c:v>
                </c:pt>
                <c:pt idx="2">
                  <c:v>8.4699999999999998E-2</c:v>
                </c:pt>
                <c:pt idx="3">
                  <c:v>5.8799999999999998E-2</c:v>
                </c:pt>
                <c:pt idx="4">
                  <c:v>7.5999999999999998E-2</c:v>
                </c:pt>
                <c:pt idx="5">
                  <c:v>0.43330000000000002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76-4666-87E6-FDD9FC079AC4}"/>
            </c:ext>
          </c:extLst>
        </c:ser>
        <c:ser>
          <c:idx val="1"/>
          <c:order val="1"/>
          <c:tx>
            <c:strRef>
              <c:f>'Scope Changes'!$A$10</c:f>
              <c:strCache>
                <c:ptCount val="1"/>
                <c:pt idx="0">
                  <c:v>UNIX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'Scope Changes'!$B$8:$G$8</c:f>
              <c:numCache>
                <c:formatCode>m/d/yy;@</c:formatCode>
                <c:ptCount val="6"/>
                <c:pt idx="0">
                  <c:v>43284</c:v>
                </c:pt>
                <c:pt idx="1">
                  <c:v>43298</c:v>
                </c:pt>
                <c:pt idx="2">
                  <c:v>43312</c:v>
                </c:pt>
                <c:pt idx="3">
                  <c:v>43326</c:v>
                </c:pt>
                <c:pt idx="4">
                  <c:v>43340</c:v>
                </c:pt>
                <c:pt idx="5">
                  <c:v>43354</c:v>
                </c:pt>
              </c:numCache>
            </c:numRef>
          </c:cat>
          <c:val>
            <c:numRef>
              <c:f>'Scope Changes'!$B$10:$G$10</c:f>
              <c:numCache>
                <c:formatCode>0.0%</c:formatCode>
                <c:ptCount val="6"/>
                <c:pt idx="0">
                  <c:v>0.1081</c:v>
                </c:pt>
                <c:pt idx="1">
                  <c:v>0.1875</c:v>
                </c:pt>
                <c:pt idx="2">
                  <c:v>9.2600000000000002E-2</c:v>
                </c:pt>
                <c:pt idx="3">
                  <c:v>0.18179999999999999</c:v>
                </c:pt>
                <c:pt idx="4">
                  <c:v>8.3000000000000004E-2</c:v>
                </c:pt>
                <c:pt idx="5">
                  <c:v>0.67859999999999998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76-4666-87E6-FDD9FC079AC4}"/>
            </c:ext>
          </c:extLst>
        </c:ser>
        <c:ser>
          <c:idx val="2"/>
          <c:order val="2"/>
          <c:tx>
            <c:strRef>
              <c:f>'Scope Changes'!$A$11</c:f>
              <c:strCache>
                <c:ptCount val="1"/>
                <c:pt idx="0">
                  <c:v>Combined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'Scope Changes'!$B$8:$G$8</c:f>
              <c:numCache>
                <c:formatCode>m/d/yy;@</c:formatCode>
                <c:ptCount val="6"/>
                <c:pt idx="0">
                  <c:v>43284</c:v>
                </c:pt>
                <c:pt idx="1">
                  <c:v>43298</c:v>
                </c:pt>
                <c:pt idx="2">
                  <c:v>43312</c:v>
                </c:pt>
                <c:pt idx="3">
                  <c:v>43326</c:v>
                </c:pt>
                <c:pt idx="4">
                  <c:v>43340</c:v>
                </c:pt>
                <c:pt idx="5">
                  <c:v>43354</c:v>
                </c:pt>
              </c:numCache>
            </c:numRef>
          </c:cat>
          <c:val>
            <c:numRef>
              <c:f>'Scope Changes'!$B$11:$G$11</c:f>
              <c:numCache>
                <c:formatCode>0.0%</c:formatCode>
                <c:ptCount val="6"/>
                <c:pt idx="0">
                  <c:v>4.7100000000000003E-2</c:v>
                </c:pt>
                <c:pt idx="1">
                  <c:v>0.11247</c:v>
                </c:pt>
                <c:pt idx="2">
                  <c:v>0.1134</c:v>
                </c:pt>
                <c:pt idx="3">
                  <c:v>0.12820000000000001</c:v>
                </c:pt>
                <c:pt idx="4">
                  <c:v>0.16420000000000001</c:v>
                </c:pt>
                <c:pt idx="5">
                  <c:v>0.55169999999999997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F76-4666-87E6-FDD9FC079A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7371120"/>
        <c:axId val="947369808"/>
      </c:lineChart>
      <c:dateAx>
        <c:axId val="947371120"/>
        <c:scaling>
          <c:orientation val="minMax"/>
        </c:scaling>
        <c:delete val="0"/>
        <c:axPos val="b"/>
        <c:numFmt formatCode="m/d/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369808"/>
        <c:crosses val="autoZero"/>
        <c:auto val="1"/>
        <c:lblOffset val="100"/>
        <c:baseTimeUnit val="days"/>
        <c:majorUnit val="14"/>
        <c:majorTimeUnit val="days"/>
      </c:dateAx>
      <c:valAx>
        <c:axId val="94736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371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Sprint By Sprint Velocity for 6 Periods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Velocity!$B$4</c:f>
              <c:strCache>
                <c:ptCount val="1"/>
                <c:pt idx="0">
                  <c:v>Overall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strRef>
              <c:f>Velocity!$W$3:$AB$3</c:f>
              <c:strCache>
                <c:ptCount val="6"/>
                <c:pt idx="0">
                  <c:v>6/19/18</c:v>
                </c:pt>
                <c:pt idx="1">
                  <c:v>7/3/18</c:v>
                </c:pt>
                <c:pt idx="2">
                  <c:v>7/17/18</c:v>
                </c:pt>
                <c:pt idx="3">
                  <c:v>7/31/18</c:v>
                </c:pt>
                <c:pt idx="4">
                  <c:v>8/14/18</c:v>
                </c:pt>
                <c:pt idx="5">
                  <c:v>8/28/18</c:v>
                </c:pt>
              </c:strCache>
            </c:strRef>
          </c:cat>
          <c:val>
            <c:numRef>
              <c:f>Velocity!$W$4:$AB$4</c:f>
              <c:numCache>
                <c:formatCode>General</c:formatCode>
                <c:ptCount val="6"/>
                <c:pt idx="0">
                  <c:v>89</c:v>
                </c:pt>
                <c:pt idx="1">
                  <c:v>81</c:v>
                </c:pt>
                <c:pt idx="2">
                  <c:v>76</c:v>
                </c:pt>
                <c:pt idx="3">
                  <c:v>86</c:v>
                </c:pt>
                <c:pt idx="4">
                  <c:v>72</c:v>
                </c:pt>
                <c:pt idx="5">
                  <c:v>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0D-406E-BCDB-5CEBB0E374BE}"/>
            </c:ext>
          </c:extLst>
        </c:ser>
        <c:ser>
          <c:idx val="1"/>
          <c:order val="1"/>
          <c:tx>
            <c:strRef>
              <c:f>Velocity!$B$5</c:f>
              <c:strCache>
                <c:ptCount val="1"/>
                <c:pt idx="0">
                  <c:v>AIX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Velocity!$W$3:$AB$3</c:f>
              <c:strCache>
                <c:ptCount val="6"/>
                <c:pt idx="0">
                  <c:v>6/19/18</c:v>
                </c:pt>
                <c:pt idx="1">
                  <c:v>7/3/18</c:v>
                </c:pt>
                <c:pt idx="2">
                  <c:v>7/17/18</c:v>
                </c:pt>
                <c:pt idx="3">
                  <c:v>7/31/18</c:v>
                </c:pt>
                <c:pt idx="4">
                  <c:v>8/14/18</c:v>
                </c:pt>
                <c:pt idx="5">
                  <c:v>8/28/18</c:v>
                </c:pt>
              </c:strCache>
            </c:strRef>
          </c:cat>
          <c:val>
            <c:numRef>
              <c:f>Velocity!$W$5:$AB$5</c:f>
              <c:numCache>
                <c:formatCode>General</c:formatCode>
                <c:ptCount val="6"/>
                <c:pt idx="0">
                  <c:v>44</c:v>
                </c:pt>
                <c:pt idx="1">
                  <c:v>45</c:v>
                </c:pt>
                <c:pt idx="2">
                  <c:v>30</c:v>
                </c:pt>
                <c:pt idx="3">
                  <c:v>36</c:v>
                </c:pt>
                <c:pt idx="4">
                  <c:v>26</c:v>
                </c:pt>
                <c:pt idx="5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D-406E-BCDB-5CEBB0E374BE}"/>
            </c:ext>
          </c:extLst>
        </c:ser>
        <c:ser>
          <c:idx val="2"/>
          <c:order val="2"/>
          <c:tx>
            <c:strRef>
              <c:f>Velocity!$B$6</c:f>
              <c:strCache>
                <c:ptCount val="1"/>
                <c:pt idx="0">
                  <c:v>LINUX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Velocity!$W$3:$AB$3</c:f>
              <c:strCache>
                <c:ptCount val="6"/>
                <c:pt idx="0">
                  <c:v>6/19/18</c:v>
                </c:pt>
                <c:pt idx="1">
                  <c:v>7/3/18</c:v>
                </c:pt>
                <c:pt idx="2">
                  <c:v>7/17/18</c:v>
                </c:pt>
                <c:pt idx="3">
                  <c:v>7/31/18</c:v>
                </c:pt>
                <c:pt idx="4">
                  <c:v>8/14/18</c:v>
                </c:pt>
                <c:pt idx="5">
                  <c:v>8/28/18</c:v>
                </c:pt>
              </c:strCache>
            </c:strRef>
          </c:cat>
          <c:val>
            <c:numRef>
              <c:f>Velocity!$W$6:$AB$6</c:f>
              <c:numCache>
                <c:formatCode>General</c:formatCode>
                <c:ptCount val="6"/>
                <c:pt idx="0">
                  <c:v>45</c:v>
                </c:pt>
                <c:pt idx="1">
                  <c:v>36</c:v>
                </c:pt>
                <c:pt idx="2">
                  <c:v>46</c:v>
                </c:pt>
                <c:pt idx="3">
                  <c:v>50</c:v>
                </c:pt>
                <c:pt idx="4">
                  <c:v>46</c:v>
                </c:pt>
                <c:pt idx="5">
                  <c:v>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03A-494E-837A-87681044AC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070880"/>
        <c:axId val="453069216"/>
      </c:lineChart>
      <c:catAx>
        <c:axId val="453070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69216"/>
        <c:crosses val="autoZero"/>
        <c:auto val="1"/>
        <c:lblAlgn val="ctr"/>
        <c:lblOffset val="100"/>
        <c:noMultiLvlLbl val="0"/>
      </c:catAx>
      <c:valAx>
        <c:axId val="453069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708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Sprint By Sprint Velocity for 6 Periods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Committed_Velocity!$B$4</c:f>
              <c:strCache>
                <c:ptCount val="1"/>
                <c:pt idx="0">
                  <c:v>Overall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strRef>
              <c:f>Committed_Velocity!$U$3:$Z$3</c:f>
              <c:strCache>
                <c:ptCount val="6"/>
                <c:pt idx="0">
                  <c:v>6/19/18</c:v>
                </c:pt>
                <c:pt idx="1">
                  <c:v>7/3/18</c:v>
                </c:pt>
                <c:pt idx="2">
                  <c:v>7/17/18</c:v>
                </c:pt>
                <c:pt idx="3">
                  <c:v>7/31/18</c:v>
                </c:pt>
                <c:pt idx="4">
                  <c:v>8/14/18</c:v>
                </c:pt>
                <c:pt idx="5">
                  <c:v>8/28/18</c:v>
                </c:pt>
              </c:strCache>
            </c:strRef>
          </c:cat>
          <c:val>
            <c:numRef>
              <c:f>Committed_Velocity!$U$4:$Z$4</c:f>
              <c:numCache>
                <c:formatCode>General</c:formatCode>
                <c:ptCount val="6"/>
                <c:pt idx="0">
                  <c:v>86</c:v>
                </c:pt>
                <c:pt idx="1">
                  <c:v>85</c:v>
                </c:pt>
                <c:pt idx="2">
                  <c:v>89</c:v>
                </c:pt>
                <c:pt idx="3">
                  <c:v>97</c:v>
                </c:pt>
                <c:pt idx="4">
                  <c:v>78</c:v>
                </c:pt>
                <c:pt idx="5">
                  <c:v>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CE-47D2-ACE9-3F514DE876F6}"/>
            </c:ext>
          </c:extLst>
        </c:ser>
        <c:ser>
          <c:idx val="1"/>
          <c:order val="1"/>
          <c:tx>
            <c:strRef>
              <c:f>Committed_Velocity!$B$5</c:f>
              <c:strCache>
                <c:ptCount val="1"/>
                <c:pt idx="0">
                  <c:v>AIX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Committed_Velocity!$U$3:$Z$3</c:f>
              <c:strCache>
                <c:ptCount val="6"/>
                <c:pt idx="0">
                  <c:v>6/19/18</c:v>
                </c:pt>
                <c:pt idx="1">
                  <c:v>7/3/18</c:v>
                </c:pt>
                <c:pt idx="2">
                  <c:v>7/17/18</c:v>
                </c:pt>
                <c:pt idx="3">
                  <c:v>7/31/18</c:v>
                </c:pt>
                <c:pt idx="4">
                  <c:v>8/14/18</c:v>
                </c:pt>
                <c:pt idx="5">
                  <c:v>8/28/18</c:v>
                </c:pt>
              </c:strCache>
            </c:strRef>
          </c:cat>
          <c:val>
            <c:numRef>
              <c:f>Committed_Velocity!$U$5:$Z$5</c:f>
              <c:numCache>
                <c:formatCode>General</c:formatCode>
                <c:ptCount val="6"/>
                <c:pt idx="0">
                  <c:v>44</c:v>
                </c:pt>
                <c:pt idx="1">
                  <c:v>48</c:v>
                </c:pt>
                <c:pt idx="2">
                  <c:v>41</c:v>
                </c:pt>
                <c:pt idx="3">
                  <c:v>43</c:v>
                </c:pt>
                <c:pt idx="4">
                  <c:v>34</c:v>
                </c:pt>
                <c:pt idx="5">
                  <c:v>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CE-47D2-ACE9-3F514DE876F6}"/>
            </c:ext>
          </c:extLst>
        </c:ser>
        <c:ser>
          <c:idx val="2"/>
          <c:order val="2"/>
          <c:tx>
            <c:strRef>
              <c:f>Committed_Velocity!$B$6</c:f>
              <c:strCache>
                <c:ptCount val="1"/>
                <c:pt idx="0">
                  <c:v>LINUX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Committed_Velocity!$U$3:$Z$3</c:f>
              <c:strCache>
                <c:ptCount val="6"/>
                <c:pt idx="0">
                  <c:v>6/19/18</c:v>
                </c:pt>
                <c:pt idx="1">
                  <c:v>7/3/18</c:v>
                </c:pt>
                <c:pt idx="2">
                  <c:v>7/17/18</c:v>
                </c:pt>
                <c:pt idx="3">
                  <c:v>7/31/18</c:v>
                </c:pt>
                <c:pt idx="4">
                  <c:v>8/14/18</c:v>
                </c:pt>
                <c:pt idx="5">
                  <c:v>8/28/18</c:v>
                </c:pt>
              </c:strCache>
            </c:strRef>
          </c:cat>
          <c:val>
            <c:numRef>
              <c:f>Committed_Velocity!$U$6:$Z$6</c:f>
              <c:numCache>
                <c:formatCode>General</c:formatCode>
                <c:ptCount val="6"/>
                <c:pt idx="0">
                  <c:v>42</c:v>
                </c:pt>
                <c:pt idx="1">
                  <c:v>37</c:v>
                </c:pt>
                <c:pt idx="2">
                  <c:v>48</c:v>
                </c:pt>
                <c:pt idx="3">
                  <c:v>54</c:v>
                </c:pt>
                <c:pt idx="4">
                  <c:v>44</c:v>
                </c:pt>
                <c:pt idx="5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6CE-47D2-ACE9-3F514DE876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070880"/>
        <c:axId val="453069216"/>
      </c:lineChart>
      <c:catAx>
        <c:axId val="453070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69216"/>
        <c:crosses val="autoZero"/>
        <c:auto val="1"/>
        <c:lblAlgn val="ctr"/>
        <c:lblOffset val="100"/>
        <c:noMultiLvlLbl val="0"/>
      </c:catAx>
      <c:valAx>
        <c:axId val="453069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708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14</xdr:row>
      <xdr:rowOff>176212</xdr:rowOff>
    </xdr:from>
    <xdr:to>
      <xdr:col>7</xdr:col>
      <xdr:colOff>47625</xdr:colOff>
      <xdr:row>29</xdr:row>
      <xdr:rowOff>61912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9525</xdr:colOff>
      <xdr:row>15</xdr:row>
      <xdr:rowOff>14287</xdr:rowOff>
    </xdr:from>
    <xdr:to>
      <xdr:col>15</xdr:col>
      <xdr:colOff>314325</xdr:colOff>
      <xdr:row>29</xdr:row>
      <xdr:rowOff>90487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9</xdr:row>
      <xdr:rowOff>169333</xdr:rowOff>
    </xdr:from>
    <xdr:ext cx="5384800" cy="2683933"/>
    <xdr:sp macro="" textlink="">
      <xdr:nvSpPr>
        <xdr:cNvPr id="3" name="ResetDataPanel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09600" y="1803400"/>
          <a:ext cx="5384800" cy="2683933"/>
        </a:xfrm>
        <a:prstGeom prst="rect">
          <a:avLst/>
        </a:prstGeom>
        <a:solidFill>
          <a:schemeClr val="bg1"/>
        </a:solidFill>
        <a:effectLst>
          <a:outerShdw blurRad="101600" dist="152400" dir="2700000" algn="tl" rotWithShape="0">
            <a:prstClr val="black">
              <a:alpha val="41000"/>
            </a:prstClr>
          </a:outerShdw>
        </a:effectLst>
      </xdr:spPr>
      <xdr:txBody>
        <a:bodyPr wrap="square" lIns="91440" tIns="45720" rIns="91440" bIns="45720">
          <a:noAutofit/>
        </a:bodyPr>
        <a:lstStyle/>
        <a:p>
          <a:pPr algn="ctr"/>
          <a:endParaRPr lang="en-US" sz="54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  <a:p>
          <a:pPr algn="ctr"/>
          <a:r>
            <a:rPr lang="en-US" sz="5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Reset the</a:t>
          </a:r>
          <a:r>
            <a:rPr lang="en-US" sz="54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 Data</a:t>
          </a:r>
          <a:endParaRPr lang="en-US" sz="54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7</xdr:row>
          <xdr:rowOff>66675</xdr:rowOff>
        </xdr:from>
        <xdr:to>
          <xdr:col>4</xdr:col>
          <xdr:colOff>561975</xdr:colOff>
          <xdr:row>9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Velocity Column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9</xdr:col>
      <xdr:colOff>111760</xdr:colOff>
      <xdr:row>6</xdr:row>
      <xdr:rowOff>187959</xdr:rowOff>
    </xdr:from>
    <xdr:to>
      <xdr:col>20</xdr:col>
      <xdr:colOff>127000</xdr:colOff>
      <xdr:row>26</xdr:row>
      <xdr:rowOff>66039</xdr:rowOff>
    </xdr:to>
    <xdr:graphicFrame macro="">
      <xdr:nvGraphicFramePr>
        <xdr:cNvPr id="2" name="VelocityCha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10</xdr:row>
          <xdr:rowOff>171450</xdr:rowOff>
        </xdr:from>
        <xdr:to>
          <xdr:col>8</xdr:col>
          <xdr:colOff>685800</xdr:colOff>
          <xdr:row>12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219075</xdr:colOff>
          <xdr:row>7</xdr:row>
          <xdr:rowOff>66675</xdr:rowOff>
        </xdr:from>
        <xdr:to>
          <xdr:col>8</xdr:col>
          <xdr:colOff>714375</xdr:colOff>
          <xdr:row>9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Last Velocity Column</a:t>
              </a:r>
            </a:p>
          </xdr:txBody>
        </xdr:sp>
        <xdr:clientData fPrintsWithSheet="0"/>
      </xdr:twoCellAnchor>
    </mc:Choice>
    <mc:Fallback/>
  </mc:AlternateContent>
  <xdr:oneCellAnchor>
    <xdr:from>
      <xdr:col>9</xdr:col>
      <xdr:colOff>158750</xdr:colOff>
      <xdr:row>27</xdr:row>
      <xdr:rowOff>105833</xdr:rowOff>
    </xdr:from>
    <xdr:ext cx="7950199" cy="2444750"/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6159500" y="5270500"/>
          <a:ext cx="7950199" cy="24447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2700">
                <a:solidFill>
                  <a:srgbClr val="E200D8"/>
                </a:solidFill>
                <a:prstDash val="solid"/>
              </a:ln>
              <a:solidFill>
                <a:schemeClr val="bg1">
                  <a:lumMod val="85000"/>
                </a:schemeClr>
              </a:solidFill>
              <a:effectLst/>
            </a:rPr>
            <a:t>This velocity shows the progress made against all items, operational</a:t>
          </a:r>
          <a:r>
            <a:rPr lang="en-US" sz="2800" b="1" cap="none" spc="0" baseline="0">
              <a:ln w="12700">
                <a:solidFill>
                  <a:srgbClr val="E200D8"/>
                </a:solidFill>
                <a:prstDash val="solid"/>
              </a:ln>
              <a:solidFill>
                <a:schemeClr val="bg1">
                  <a:lumMod val="85000"/>
                </a:schemeClr>
              </a:solidFill>
              <a:effectLst/>
            </a:rPr>
            <a:t> and backlog. It shows the theoretical average velocity.</a:t>
          </a:r>
        </a:p>
        <a:p>
          <a:pPr algn="ctr"/>
          <a:r>
            <a:rPr lang="en-US" sz="2800" b="1" cap="none" spc="0" baseline="0">
              <a:ln w="12700">
                <a:solidFill>
                  <a:srgbClr val="E200D8"/>
                </a:solidFill>
                <a:prstDash val="solid"/>
              </a:ln>
              <a:solidFill>
                <a:schemeClr val="bg1">
                  <a:lumMod val="85000"/>
                </a:schemeClr>
              </a:solidFill>
              <a:effectLst/>
            </a:rPr>
            <a:t>Therefore, in PMP terms, this is the optimistic forecast value.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7619</xdr:colOff>
      <xdr:row>10</xdr:row>
      <xdr:rowOff>0</xdr:rowOff>
    </xdr:from>
    <xdr:ext cx="5351781" cy="2606040"/>
    <xdr:sp macro="" textlink="">
      <xdr:nvSpPr>
        <xdr:cNvPr id="2" name="CV_ResetDataPanel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17219" y="1828800"/>
          <a:ext cx="5351781" cy="2606040"/>
        </a:xfrm>
        <a:prstGeom prst="rect">
          <a:avLst/>
        </a:prstGeom>
        <a:solidFill>
          <a:schemeClr val="bg1"/>
        </a:solidFill>
        <a:effectLst>
          <a:glow rad="139700">
            <a:schemeClr val="accent2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wrap="square" lIns="91440" tIns="45720" rIns="91440" bIns="45720">
          <a:noAutofit/>
        </a:bodyPr>
        <a:lstStyle/>
        <a:p>
          <a:pPr algn="ctr"/>
          <a:endParaRPr lang="en-US" sz="54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  <a:p>
          <a:pPr algn="ctr"/>
          <a:r>
            <a:rPr lang="en-US" sz="5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Reset the</a:t>
          </a:r>
          <a:r>
            <a:rPr lang="en-US" sz="54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 Data</a:t>
          </a:r>
          <a:endParaRPr lang="en-US" sz="54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7</xdr:row>
          <xdr:rowOff>66675</xdr:rowOff>
        </xdr:from>
        <xdr:to>
          <xdr:col>4</xdr:col>
          <xdr:colOff>561975</xdr:colOff>
          <xdr:row>9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Velocity Column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357294</xdr:colOff>
      <xdr:row>6</xdr:row>
      <xdr:rowOff>50800</xdr:rowOff>
    </xdr:from>
    <xdr:to>
      <xdr:col>20</xdr:col>
      <xdr:colOff>372534</xdr:colOff>
      <xdr:row>25</xdr:row>
      <xdr:rowOff>6773</xdr:rowOff>
    </xdr:to>
    <xdr:graphicFrame macro="">
      <xdr:nvGraphicFramePr>
        <xdr:cNvPr id="4" name="CV_VelocityChart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10</xdr:row>
          <xdr:rowOff>171450</xdr:rowOff>
        </xdr:from>
        <xdr:to>
          <xdr:col>8</xdr:col>
          <xdr:colOff>685800</xdr:colOff>
          <xdr:row>12</xdr:row>
          <xdr:rowOff>171450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219075</xdr:colOff>
          <xdr:row>7</xdr:row>
          <xdr:rowOff>66675</xdr:rowOff>
        </xdr:from>
        <xdr:to>
          <xdr:col>8</xdr:col>
          <xdr:colOff>714375</xdr:colOff>
          <xdr:row>9</xdr:row>
          <xdr:rowOff>57150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Last Velocity Column</a:t>
              </a:r>
            </a:p>
          </xdr:txBody>
        </xdr:sp>
        <xdr:clientData fPrintsWithSheet="0"/>
      </xdr:twoCellAnchor>
    </mc:Choice>
    <mc:Fallback/>
  </mc:AlternateContent>
  <xdr:oneCellAnchor>
    <xdr:from>
      <xdr:col>9</xdr:col>
      <xdr:colOff>160868</xdr:colOff>
      <xdr:row>25</xdr:row>
      <xdr:rowOff>0</xdr:rowOff>
    </xdr:from>
    <xdr:ext cx="7950199" cy="1905000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6024035" y="4741333"/>
          <a:ext cx="7950199" cy="190500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9050">
                <a:solidFill>
                  <a:schemeClr val="accent5"/>
                </a:solidFill>
                <a:prstDash val="solid"/>
              </a:ln>
              <a:pattFill prst="smGrid">
                <a:fgClr>
                  <a:srgbClr val="E143A5"/>
                </a:fgClr>
                <a:bgClr>
                  <a:schemeClr val="bg1"/>
                </a:bgClr>
              </a:pattFill>
              <a:effectLst/>
            </a:rPr>
            <a:t>This velocity would show the progress made against the backlog's items</a:t>
          </a:r>
          <a:r>
            <a:rPr lang="en-US" sz="2800" b="1" cap="none" spc="0" baseline="0">
              <a:ln w="19050">
                <a:solidFill>
                  <a:schemeClr val="accent5"/>
                </a:solidFill>
                <a:prstDash val="solid"/>
              </a:ln>
              <a:pattFill prst="smGrid">
                <a:fgClr>
                  <a:srgbClr val="E143A5"/>
                </a:fgClr>
                <a:bgClr>
                  <a:schemeClr val="bg1"/>
                </a:bgClr>
              </a:pattFill>
              <a:effectLst/>
            </a:rPr>
            <a:t>.</a:t>
          </a:r>
        </a:p>
        <a:p>
          <a:pPr algn="ctr"/>
          <a:r>
            <a:rPr lang="en-US" sz="2800" b="1" cap="none" spc="0" baseline="0">
              <a:ln w="19050">
                <a:solidFill>
                  <a:schemeClr val="accent5"/>
                </a:solidFill>
                <a:prstDash val="solid"/>
              </a:ln>
              <a:pattFill prst="smGrid">
                <a:fgClr>
                  <a:srgbClr val="E143A5"/>
                </a:fgClr>
                <a:bgClr>
                  <a:schemeClr val="bg1"/>
                </a:bgClr>
              </a:pattFill>
              <a:effectLst/>
            </a:rPr>
            <a:t>In PMP terms - this is your pessimistic velocity against the backlog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952500</xdr:colOff>
          <xdr:row>8</xdr:row>
          <xdr:rowOff>9525</xdr:rowOff>
        </xdr:from>
        <xdr:to>
          <xdr:col>23</xdr:col>
          <xdr:colOff>0</xdr:colOff>
          <xdr:row>11</xdr:row>
          <xdr:rowOff>180975</xdr:rowOff>
        </xdr:to>
        <xdr:sp macro="" textlink="">
          <xdr:nvSpPr>
            <xdr:cNvPr id="179201" name="Button 1" hidden="1">
              <a:extLst>
                <a:ext uri="{63B3BB69-23CF-44E3-9099-C40C66FF867C}">
                  <a14:compatExt spid="_x0000_s179201"/>
                </a:ext>
                <a:ext uri="{FF2B5EF4-FFF2-40B4-BE49-F238E27FC236}">
                  <a16:creationId xmlns:a16="http://schemas.microsoft.com/office/drawing/2014/main" id="{3F2BC5A4-D27C-4272-9084-322A525E62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The Data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952500</xdr:colOff>
          <xdr:row>8</xdr:row>
          <xdr:rowOff>9525</xdr:rowOff>
        </xdr:from>
        <xdr:to>
          <xdr:col>23</xdr:col>
          <xdr:colOff>0</xdr:colOff>
          <xdr:row>11</xdr:row>
          <xdr:rowOff>180975</xdr:rowOff>
        </xdr:to>
        <xdr:sp macro="" textlink="">
          <xdr:nvSpPr>
            <xdr:cNvPr id="160769" name="Button 1" hidden="1">
              <a:extLst>
                <a:ext uri="{63B3BB69-23CF-44E3-9099-C40C66FF867C}">
                  <a14:compatExt spid="_x0000_s160769"/>
                </a:ext>
                <a:ext uri="{FF2B5EF4-FFF2-40B4-BE49-F238E27FC236}">
                  <a16:creationId xmlns:a16="http://schemas.microsoft.com/office/drawing/2014/main" id="{00000000-0008-0000-0300-000001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The Data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952500</xdr:colOff>
          <xdr:row>8</xdr:row>
          <xdr:rowOff>9525</xdr:rowOff>
        </xdr:from>
        <xdr:to>
          <xdr:col>23</xdr:col>
          <xdr:colOff>0</xdr:colOff>
          <xdr:row>11</xdr:row>
          <xdr:rowOff>180975</xdr:rowOff>
        </xdr:to>
        <xdr:sp macro="" textlink="">
          <xdr:nvSpPr>
            <xdr:cNvPr id="143361" name="Button 1" hidden="1">
              <a:extLst>
                <a:ext uri="{63B3BB69-23CF-44E3-9099-C40C66FF867C}">
                  <a14:compatExt spid="_x0000_s143361"/>
                </a:ext>
                <a:ext uri="{FF2B5EF4-FFF2-40B4-BE49-F238E27FC236}">
                  <a16:creationId xmlns:a16="http://schemas.microsoft.com/office/drawing/2014/main" id="{00000000-0008-0000-0400-000001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The Data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952500</xdr:colOff>
          <xdr:row>8</xdr:row>
          <xdr:rowOff>9525</xdr:rowOff>
        </xdr:from>
        <xdr:to>
          <xdr:col>23</xdr:col>
          <xdr:colOff>0</xdr:colOff>
          <xdr:row>11</xdr:row>
          <xdr:rowOff>180975</xdr:rowOff>
        </xdr:to>
        <xdr:sp macro="" textlink="">
          <xdr:nvSpPr>
            <xdr:cNvPr id="126977" name="Button 1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05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The Data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952500</xdr:colOff>
          <xdr:row>8</xdr:row>
          <xdr:rowOff>9525</xdr:rowOff>
        </xdr:from>
        <xdr:to>
          <xdr:col>23</xdr:col>
          <xdr:colOff>0</xdr:colOff>
          <xdr:row>11</xdr:row>
          <xdr:rowOff>180975</xdr:rowOff>
        </xdr:to>
        <xdr:sp macro="" textlink="">
          <xdr:nvSpPr>
            <xdr:cNvPr id="111617" name="Button 1" hidden="1">
              <a:extLst>
                <a:ext uri="{63B3BB69-23CF-44E3-9099-C40C66FF867C}">
                  <a14:compatExt spid="_x0000_s111617"/>
                </a:ext>
                <a:ext uri="{FF2B5EF4-FFF2-40B4-BE49-F238E27FC236}">
                  <a16:creationId xmlns:a16="http://schemas.microsoft.com/office/drawing/2014/main" id="{00000000-0008-0000-0600-000001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The Data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952500</xdr:colOff>
          <xdr:row>8</xdr:row>
          <xdr:rowOff>9525</xdr:rowOff>
        </xdr:from>
        <xdr:to>
          <xdr:col>23</xdr:col>
          <xdr:colOff>0</xdr:colOff>
          <xdr:row>11</xdr:row>
          <xdr:rowOff>180975</xdr:rowOff>
        </xdr:to>
        <xdr:sp macro="" textlink="">
          <xdr:nvSpPr>
            <xdr:cNvPr id="97281" name="Button 1" hidden="1">
              <a:extLst>
                <a:ext uri="{63B3BB69-23CF-44E3-9099-C40C66FF867C}">
                  <a14:compatExt spid="_x0000_s97281"/>
                </a:ext>
                <a:ext uri="{FF2B5EF4-FFF2-40B4-BE49-F238E27FC236}">
                  <a16:creationId xmlns:a16="http://schemas.microsoft.com/office/drawing/2014/main" id="{00000000-0008-0000-0700-000001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The Data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952500</xdr:colOff>
          <xdr:row>8</xdr:row>
          <xdr:rowOff>9525</xdr:rowOff>
        </xdr:from>
        <xdr:to>
          <xdr:col>23</xdr:col>
          <xdr:colOff>0</xdr:colOff>
          <xdr:row>11</xdr:row>
          <xdr:rowOff>180975</xdr:rowOff>
        </xdr:to>
        <xdr:sp macro="" textlink="">
          <xdr:nvSpPr>
            <xdr:cNvPr id="83969" name="Button 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08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The Data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952500</xdr:colOff>
          <xdr:row>8</xdr:row>
          <xdr:rowOff>9525</xdr:rowOff>
        </xdr:from>
        <xdr:to>
          <xdr:col>23</xdr:col>
          <xdr:colOff>0</xdr:colOff>
          <xdr:row>11</xdr:row>
          <xdr:rowOff>180975</xdr:rowOff>
        </xdr:to>
        <xdr:sp macro="" textlink="">
          <xdr:nvSpPr>
            <xdr:cNvPr id="71681" name="Button 1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09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The Data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952500</xdr:colOff>
          <xdr:row>8</xdr:row>
          <xdr:rowOff>9525</xdr:rowOff>
        </xdr:from>
        <xdr:to>
          <xdr:col>23</xdr:col>
          <xdr:colOff>0</xdr:colOff>
          <xdr:row>11</xdr:row>
          <xdr:rowOff>180975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0A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The Data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952500</xdr:colOff>
          <xdr:row>8</xdr:row>
          <xdr:rowOff>9525</xdr:rowOff>
        </xdr:from>
        <xdr:to>
          <xdr:col>23</xdr:col>
          <xdr:colOff>0</xdr:colOff>
          <xdr:row>11</xdr:row>
          <xdr:rowOff>180975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B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The Data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952500</xdr:colOff>
          <xdr:row>8</xdr:row>
          <xdr:rowOff>9525</xdr:rowOff>
        </xdr:from>
        <xdr:to>
          <xdr:col>23</xdr:col>
          <xdr:colOff>0</xdr:colOff>
          <xdr:row>11</xdr:row>
          <xdr:rowOff>180975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C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The Data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952500</xdr:colOff>
          <xdr:row>8</xdr:row>
          <xdr:rowOff>9525</xdr:rowOff>
        </xdr:from>
        <xdr:to>
          <xdr:col>23</xdr:col>
          <xdr:colOff>0</xdr:colOff>
          <xdr:row>11</xdr:row>
          <xdr:rowOff>180975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D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The Data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952500</xdr:colOff>
          <xdr:row>8</xdr:row>
          <xdr:rowOff>9525</xdr:rowOff>
        </xdr:from>
        <xdr:to>
          <xdr:col>23</xdr:col>
          <xdr:colOff>0</xdr:colOff>
          <xdr:row>11</xdr:row>
          <xdr:rowOff>180975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E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The Data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942975</xdr:colOff>
          <xdr:row>7</xdr:row>
          <xdr:rowOff>133350</xdr:rowOff>
        </xdr:from>
        <xdr:to>
          <xdr:col>22</xdr:col>
          <xdr:colOff>714375</xdr:colOff>
          <xdr:row>11</xdr:row>
          <xdr:rowOff>133350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F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The Data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952500</xdr:colOff>
          <xdr:row>8</xdr:row>
          <xdr:rowOff>9525</xdr:rowOff>
        </xdr:from>
        <xdr:to>
          <xdr:col>23</xdr:col>
          <xdr:colOff>0</xdr:colOff>
          <xdr:row>12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The Data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952500</xdr:colOff>
          <xdr:row>8</xdr:row>
          <xdr:rowOff>9525</xdr:rowOff>
        </xdr:from>
        <xdr:to>
          <xdr:col>24</xdr:col>
          <xdr:colOff>0</xdr:colOff>
          <xdr:row>12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The Data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952500</xdr:colOff>
          <xdr:row>8</xdr:row>
          <xdr:rowOff>9525</xdr:rowOff>
        </xdr:from>
        <xdr:to>
          <xdr:col>24</xdr:col>
          <xdr:colOff>0</xdr:colOff>
          <xdr:row>12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1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The Data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952500</xdr:colOff>
          <xdr:row>7</xdr:row>
          <xdr:rowOff>9525</xdr:rowOff>
        </xdr:from>
        <xdr:to>
          <xdr:col>24</xdr:col>
          <xdr:colOff>0</xdr:colOff>
          <xdr:row>11</xdr:row>
          <xdr:rowOff>9525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1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The Data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5</xdr:row>
          <xdr:rowOff>0</xdr:rowOff>
        </xdr:from>
        <xdr:to>
          <xdr:col>18</xdr:col>
          <xdr:colOff>28575</xdr:colOff>
          <xdr:row>9</xdr:row>
          <xdr:rowOff>28575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1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the Data Results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_rels/pivotCacheDefinition1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xml"/></Relationships>
</file>

<file path=xl/pivotCache/_rels/pivotCacheDefinition1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xml"/></Relationships>
</file>

<file path=xl/pivotCache/_rels/pivotCacheDefinition1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xml"/></Relationships>
</file>

<file path=xl/pivotCache/_rels/pivotCacheDefinition1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xml"/></Relationships>
</file>

<file path=xl/pivotCache/_rels/pivotCacheDefinition1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6.xml"/></Relationships>
</file>

<file path=xl/pivotCache/_rels/pivotCacheDefinition1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7.xml"/></Relationships>
</file>

<file path=xl/pivotCache/_rels/pivotCacheDefinition1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8.xml"/></Relationships>
</file>

<file path=xl/pivotCache/_rels/pivotCacheDefinition1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9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stanzo, Stephen" refreshedDate="43171.660941435184" createdVersion="6" refreshedVersion="6" minRefreshableVersion="3" recordCount="40" xr:uid="{00000000-000A-0000-FFFF-FFFF00000000}">
  <cacheSource type="worksheet">
    <worksheetSource name="T_02_12_1825"/>
  </cacheSource>
  <cacheFields count="10">
    <cacheField name="ID" numFmtId="0">
      <sharedItems/>
    </cacheField>
    <cacheField name="Issue key" numFmtId="0">
      <sharedItems/>
    </cacheField>
    <cacheField name="Status" numFmtId="0">
      <sharedItems containsBlank="1" count="5">
        <s v="To Do"/>
        <s v="Done"/>
        <s v="Blocked"/>
        <m u="1"/>
        <s v="In Progress" u="1"/>
      </sharedItems>
    </cacheField>
    <cacheField name="Summary" numFmtId="0">
      <sharedItems/>
    </cacheField>
    <cacheField name="Story Points" numFmtId="0">
      <sharedItems containsSemiMixedTypes="0" containsString="0" containsNumber="1" containsInteger="1" minValue="1" maxValue="5"/>
    </cacheField>
    <cacheField name="Assignee" numFmtId="0">
      <sharedItems containsBlank="1"/>
    </cacheField>
    <cacheField name="Project" numFmtId="0">
      <sharedItems count="3">
        <s v="U"/>
        <s v="A"/>
        <s v="" u="1"/>
      </sharedItems>
    </cacheField>
    <cacheField name="Added After" numFmtId="0">
      <sharedItems containsBlank="1" count="2">
        <m/>
        <s v="Y"/>
      </sharedItems>
    </cacheField>
    <cacheField name="Prj Cmpt" numFmtId="0">
      <sharedItems containsBlank="1" count="2">
        <m/>
        <s v="Y"/>
      </sharedItems>
    </cacheField>
    <cacheField name=" 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stanzo, Stephen" refreshedDate="43186.570154166664" createdVersion="6" refreshedVersion="6" minRefreshableVersion="3" recordCount="45" xr:uid="{00000000-000A-0000-FFFF-FFFF01000000}">
  <cacheSource type="worksheet">
    <worksheetSource name="T_02_12_182532"/>
  </cacheSource>
  <cacheFields count="9">
    <cacheField name="ID" numFmtId="0">
      <sharedItems/>
    </cacheField>
    <cacheField name="Issue key" numFmtId="0">
      <sharedItems/>
    </cacheField>
    <cacheField name="Status" numFmtId="0">
      <sharedItems containsBlank="1" count="5">
        <s v="Done"/>
        <s v="In Progress"/>
        <s v="Blocked"/>
        <s v="To Do"/>
        <m u="1"/>
      </sharedItems>
    </cacheField>
    <cacheField name="Summary" numFmtId="0">
      <sharedItems/>
    </cacheField>
    <cacheField name="Story Points" numFmtId="0">
      <sharedItems containsSemiMixedTypes="0" containsString="0" containsNumber="1" containsInteger="1" minValue="1" maxValue="5"/>
    </cacheField>
    <cacheField name="Assignee" numFmtId="0">
      <sharedItems containsBlank="1"/>
    </cacheField>
    <cacheField name="Project" numFmtId="0">
      <sharedItems count="3">
        <s v="U"/>
        <s v="A"/>
        <s v="" u="1"/>
      </sharedItems>
    </cacheField>
    <cacheField name="Added After" numFmtId="0">
      <sharedItems containsBlank="1" count="2">
        <s v="Y"/>
        <m/>
      </sharedItems>
    </cacheField>
    <cacheField name="Prj Cmpt" numFmtId="0">
      <sharedItems containsBlank="1" count="2">
        <s v="Y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stanzo, Stephen" refreshedDate="43200.355255787035" createdVersion="6" refreshedVersion="6" minRefreshableVersion="3" recordCount="49" xr:uid="{00000000-000A-0000-FFFF-FFFF02000000}">
  <cacheSource type="worksheet">
    <worksheetSource ref="A1:I50" sheet="Sprint 2018-03-27"/>
  </cacheSource>
  <cacheFields count="9">
    <cacheField name="ID" numFmtId="0">
      <sharedItems/>
    </cacheField>
    <cacheField name="Issue key" numFmtId="0">
      <sharedItems/>
    </cacheField>
    <cacheField name="Status" numFmtId="0">
      <sharedItems count="4">
        <s v="Done"/>
        <s v="In Progress"/>
        <s v="To Do"/>
        <s v="Blocked"/>
      </sharedItems>
    </cacheField>
    <cacheField name="Summary" numFmtId="0">
      <sharedItems/>
    </cacheField>
    <cacheField name="Story Points" numFmtId="0">
      <sharedItems containsSemiMixedTypes="0" containsString="0" containsNumber="1" containsInteger="1" minValue="1" maxValue="5"/>
    </cacheField>
    <cacheField name="Assignee" numFmtId="0">
      <sharedItems containsBlank="1"/>
    </cacheField>
    <cacheField name="Project" numFmtId="0">
      <sharedItems count="2">
        <s v="U"/>
        <s v="A"/>
      </sharedItems>
    </cacheField>
    <cacheField name="Added After" numFmtId="0">
      <sharedItems containsBlank="1" count="3">
        <m/>
        <s v="Y"/>
        <s v="N" u="1"/>
      </sharedItems>
    </cacheField>
    <cacheField name="Prj Cmpt" numFmtId="0">
      <sharedItems containsBlank="1" count="2">
        <s v="Y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stanzo, Stephen" refreshedDate="43221.371969097221" createdVersion="6" refreshedVersion="6" minRefreshableVersion="3" recordCount="56" xr:uid="{00000000-000A-0000-FFFF-FFFF03000000}">
  <cacheSource type="worksheet">
    <worksheetSource name="T_04_11_18"/>
  </cacheSource>
  <cacheFields count="9">
    <cacheField name="ID" numFmtId="0">
      <sharedItems/>
    </cacheField>
    <cacheField name="Issue key" numFmtId="0">
      <sharedItems/>
    </cacheField>
    <cacheField name="Status" numFmtId="0">
      <sharedItems containsBlank="1" count="5">
        <s v="In Progress"/>
        <s v="Blocked"/>
        <s v="Done"/>
        <s v="To Do"/>
        <m u="1"/>
      </sharedItems>
    </cacheField>
    <cacheField name="Summary" numFmtId="0">
      <sharedItems count="56">
        <s v="Automated capacity management - Not able to get recommended EC-VP Values"/>
        <s v="TTIBM605 Frame Rebuild-Phase 2"/>
        <s v="Fix DMP paths on servers-All storage-All paths"/>
        <s v="YUM Implementation - configure YUM on AIX hosts"/>
        <s v="Investigate the missing ITM data for listed servers"/>
        <s v="Update AIX Patching automation script for Q2 2018 standard"/>
        <s v="update Automated capacity management threshold settings - CPU,Memory and AME"/>
        <s v="investigate high cpu utilization of frame PXIBM307"/>
        <s v="Fix misconfigured SAS drive pairs titan VIO's"/>
        <s v="AIX San Migration - 4/10/2018"/>
        <s v="Prep-work for ITM to support Oracle 12c Upgrade"/>
        <s v="Optimize update_Activate_lpar_config script "/>
        <s v="AIX On Call 4/11/2018"/>
        <s v="AIX Patching - Adding Liveupdate"/>
        <s v="AIX patching - Adding common profile on Patching script"/>
        <s v="AIX new build server approvals - Sprint 4/10"/>
        <s v="Add storage for AIX Liveupdate"/>
        <s v="Fix misconfigured SAS drive pairs polaris VIO's PXVXI106C/D PXVXI108B and PXVXI203A"/>
        <s v="Veritas upgrade along with AIX service pack on alt_disk"/>
        <s v="Veritas Upgrade script for 7.3.1"/>
        <s v="Q2 patching - Kevin Luu owned systems - Batch1"/>
        <s v="Q2 patching - testing veritas upgrade scripts"/>
        <s v="Q2 patching - Kevin Luu owned systems - Batch2"/>
        <s v="Q2 patching - troubleshooting and test the fix for patching issue"/>
        <s v="Q2 patching - develop, test and deploy new patch bundle with fix"/>
        <s v="Q2 Patching - ADMTRAC DB server's"/>
        <s v="AIX San Migration - 4/17/2018"/>
        <s v="MKSYSB restore on AIX Patched Servers"/>
        <s v="create automated script for alt_rootvg"/>
        <s v="Planning possibility of placing HPEREPO under &quot;Global Network Load Ba-lancer&quot;"/>
        <s v="UPM upgrade on Linux servers - Testing"/>
        <s v="Hadoop /opt remediation "/>
        <s v="Creating startup script for One-Console development servers"/>
        <s v="Hadoop IPtables log "/>
        <s v="Upgrade VIOM MH from 7.1 --&gt; 7.3 "/>
        <s v="/etc/ssh/sshd_config modification on Linux servers"/>
        <s v="Kerberos Authentication Testing on Linux"/>
        <s v="Solaris-ASR(auto service request) -Cleanup Decom servers "/>
        <s v="Review update service-now article &quot;KB107023&quot;  "/>
        <s v="ON-CALL LINUX 04_11_2018"/>
        <s v="Puppetize vulnerabilities/upgrades/installs for VIOM"/>
        <s v="Patch Validation script Update - Linux , AIX, Solaris"/>
        <s v="Documentation - PowerCLI setup and SNAP script execution"/>
        <s v="Linux Patching/Conversion Troubleshooting"/>
        <s v="Varnois POC (again)"/>
        <s v="Documentation - HPE Smart array  Split Mirror and Remirror"/>
        <s v="SAN Migration - Linux - Week 15"/>
        <s v="Solaris patches and firmware upgrades Q2-2018"/>
        <s v="pxsun008-patching and fixing the issues - Solaris"/>
        <s v="SAN Migration - Linux - Week 16"/>
        <s v="New Server Approvals - Sprint 4/11"/>
        <s v="OSR Migration Project Sprint 4/11"/>
        <s v="Q2 patching on NIM servers using Liveupdate"/>
        <s v="Troubleshooting Qualys agent failures on Linux nodes "/>
        <s v="keepalived VIP setup for prdplopmn001/prdplopmn002 "/>
        <s v="patching on Solaris CDOM-pxsun008"/>
      </sharedItems>
    </cacheField>
    <cacheField name="Story Points" numFmtId="0">
      <sharedItems containsSemiMixedTypes="0" containsString="0" containsNumber="1" containsInteger="1" minValue="1" maxValue="5"/>
    </cacheField>
    <cacheField name="Assignee" numFmtId="0">
      <sharedItems containsBlank="1" count="14">
        <s v="Santosh"/>
        <s v="Muqtadir"/>
        <s v="Azmath"/>
        <s v="Bhuvan"/>
        <s v="Jasim"/>
        <s v="Venkatesh"/>
        <m/>
        <s v="Mammar"/>
        <s v="Rakesh"/>
        <s v="Ramesh"/>
        <s v="Prabal"/>
        <s v="Jon"/>
        <s v="RMalemp" u="1"/>
        <s v="VAnnapu" u="1"/>
      </sharedItems>
    </cacheField>
    <cacheField name="Project" numFmtId="0">
      <sharedItems count="3">
        <s v="A"/>
        <s v="U"/>
        <s v="" u="1"/>
      </sharedItems>
    </cacheField>
    <cacheField name="Added After" numFmtId="0">
      <sharedItems containsBlank="1" count="2">
        <m/>
        <s v="Y"/>
      </sharedItems>
    </cacheField>
    <cacheField name="Prj Cmpt" numFmtId="0">
      <sharedItems containsBlank="1" count="3">
        <m/>
        <s v="Y"/>
        <s v="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stanzo, Stephen" refreshedDate="43311.337964699072" createdVersion="6" refreshedVersion="6" minRefreshableVersion="3" recordCount="61" xr:uid="{00000000-000A-0000-FFFF-FFFF12000000}">
  <cacheSource type="worksheet">
    <worksheetSource name="T_04_11_18466067748188"/>
  </cacheSource>
  <cacheFields count="9">
    <cacheField name="ID" numFmtId="0">
      <sharedItems containsBlank="1" containsMixedTypes="1" containsNumber="1" containsInteger="1" minValue="154938" maxValue="182429"/>
    </cacheField>
    <cacheField name="Issue key" numFmtId="0">
      <sharedItems containsBlank="1"/>
    </cacheField>
    <cacheField name="Status" numFmtId="0">
      <sharedItems containsBlank="1" count="4">
        <s v="Done"/>
        <s v="In Progress"/>
        <s v="To Do"/>
        <m/>
      </sharedItems>
    </cacheField>
    <cacheField name="Summary" numFmtId="0">
      <sharedItems containsBlank="1"/>
    </cacheField>
    <cacheField name="Assignee" numFmtId="0">
      <sharedItems containsBlank="1"/>
    </cacheField>
    <cacheField name="Story Points" numFmtId="0">
      <sharedItems containsString="0" containsBlank="1" containsNumber="1" containsInteger="1" minValue="1" maxValue="5"/>
    </cacheField>
    <cacheField name="Project" numFmtId="0">
      <sharedItems count="3">
        <s v="U"/>
        <s v="A"/>
        <s v=""/>
      </sharedItems>
    </cacheField>
    <cacheField name="Added After" numFmtId="0">
      <sharedItems containsBlank="1" count="2">
        <s v="Y"/>
        <m/>
      </sharedItems>
    </cacheField>
    <cacheField name="Prj Cmpt" numFmtId="0">
      <sharedItems containsBlank="1" count="2">
        <s v="Y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stanzo, Stephen" refreshedDate="43354.317289814811" createdVersion="6" refreshedVersion="6" minRefreshableVersion="3" recordCount="61" xr:uid="{00000000-000A-0000-FFFF-FFFF4D000000}">
  <cacheSource type="worksheet">
    <worksheetSource name="T_04_11_1846606774818895"/>
  </cacheSource>
  <cacheFields count="9">
    <cacheField name="ID" numFmtId="0">
      <sharedItems containsBlank="1" containsMixedTypes="1" containsNumber="1" containsInteger="1" minValue="136378" maxValue="192309"/>
    </cacheField>
    <cacheField name="Issue key" numFmtId="0">
      <sharedItems containsBlank="1"/>
    </cacheField>
    <cacheField name="Status" numFmtId="0">
      <sharedItems containsBlank="1" count="5">
        <s v="Done"/>
        <s v="To Do"/>
        <s v="In Progress"/>
        <s v="Blocked"/>
        <m/>
      </sharedItems>
    </cacheField>
    <cacheField name="Summary" numFmtId="0">
      <sharedItems containsBlank="1"/>
    </cacheField>
    <cacheField name="Assignee" numFmtId="0">
      <sharedItems containsBlank="1"/>
    </cacheField>
    <cacheField name="Story Points" numFmtId="0">
      <sharedItems containsString="0" containsBlank="1" containsNumber="1" containsInteger="1" minValue="1" maxValue="5"/>
    </cacheField>
    <cacheField name="Project" numFmtId="0">
      <sharedItems count="3">
        <s v="U"/>
        <s v="A"/>
        <s v=""/>
      </sharedItems>
    </cacheField>
    <cacheField name="Added After" numFmtId="0">
      <sharedItems containsBlank="1" count="2">
        <s v="Y"/>
        <m/>
      </sharedItems>
    </cacheField>
    <cacheField name="Prj Cmpt" numFmtId="0">
      <sharedItems containsBlank="1" count="2">
        <s v="Y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stanzo, Stephen" refreshedDate="43354.317290393519" createdVersion="6" refreshedVersion="6" minRefreshableVersion="3" recordCount="56" xr:uid="{00000000-000A-0000-FFFF-FFFF7D000000}">
  <cacheSource type="worksheet">
    <worksheetSource name="T_04_11_184660"/>
  </cacheSource>
  <cacheFields count="9">
    <cacheField name="ID" numFmtId="0">
      <sharedItems containsMixedTypes="1" containsNumber="1" containsInteger="1" minValue="117764" maxValue="164229"/>
    </cacheField>
    <cacheField name="Issue key" numFmtId="0">
      <sharedItems containsBlank="1"/>
    </cacheField>
    <cacheField name="Status" numFmtId="0">
      <sharedItems containsBlank="1" count="5">
        <s v="Done"/>
        <s v="In Progress"/>
        <s v="To Do"/>
        <s v="Blocked"/>
        <m/>
      </sharedItems>
    </cacheField>
    <cacheField name="Summary" numFmtId="0">
      <sharedItems containsBlank="1"/>
    </cacheField>
    <cacheField name="Story Points" numFmtId="0">
      <sharedItems containsString="0" containsBlank="1" containsNumber="1" containsInteger="1" minValue="1" maxValue="5"/>
    </cacheField>
    <cacheField name="Assignee" numFmtId="0">
      <sharedItems containsBlank="1"/>
    </cacheField>
    <cacheField name="Project" numFmtId="0">
      <sharedItems count="3">
        <s v="A"/>
        <s v="U"/>
        <s v=""/>
      </sharedItems>
    </cacheField>
    <cacheField name="Added After" numFmtId="0">
      <sharedItems containsBlank="1" count="2">
        <m/>
        <s v="Y"/>
      </sharedItems>
    </cacheField>
    <cacheField name="Prj Cmpt" numFmtId="0">
      <sharedItems containsBlank="1" count="2">
        <s v="Y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stanzo, Stephen" refreshedDate="43354.317291550928" createdVersion="6" refreshedVersion="6" minRefreshableVersion="3" recordCount="56" xr:uid="{00000000-000A-0000-FFFF-FFFF77000000}">
  <cacheSource type="worksheet">
    <worksheetSource name="T_04_11_1846"/>
  </cacheSource>
  <cacheFields count="9">
    <cacheField name="ID" numFmtId="0">
      <sharedItems/>
    </cacheField>
    <cacheField name="Issue key" numFmtId="0">
      <sharedItems containsBlank="1"/>
    </cacheField>
    <cacheField name="Status" numFmtId="0">
      <sharedItems containsBlank="1" count="5">
        <s v="Done"/>
        <s v="To Do"/>
        <s v="In Progress"/>
        <s v="Blocked"/>
        <m/>
      </sharedItems>
    </cacheField>
    <cacheField name="Summary" numFmtId="0">
      <sharedItems containsBlank="1"/>
    </cacheField>
    <cacheField name="Story Points" numFmtId="0">
      <sharedItems containsString="0" containsBlank="1" containsNumber="1" containsInteger="1" minValue="1" maxValue="5"/>
    </cacheField>
    <cacheField name="Assignee" numFmtId="0">
      <sharedItems containsBlank="1"/>
    </cacheField>
    <cacheField name="Project" numFmtId="0">
      <sharedItems count="3">
        <s v="U"/>
        <s v="A"/>
        <s v=""/>
      </sharedItems>
    </cacheField>
    <cacheField name="Added After" numFmtId="0">
      <sharedItems containsBlank="1" count="2">
        <m/>
        <s v="Y"/>
      </sharedItems>
    </cacheField>
    <cacheField name="Prj Cmpt" numFmtId="0">
      <sharedItems containsBlank="1" count="2">
        <s v="Y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stanzo, Stephen" refreshedDate="43354.317292361113" createdVersion="6" refreshedVersion="6" minRefreshableVersion="3" recordCount="39" xr:uid="{00000000-000A-0000-FFFF-FFFF71000000}">
  <cacheSource type="worksheet">
    <worksheetSource name="T_02_12_18"/>
  </cacheSource>
  <cacheFields count="10">
    <cacheField name="ID" numFmtId="0">
      <sharedItems/>
    </cacheField>
    <cacheField name="Issue key" numFmtId="0">
      <sharedItems/>
    </cacheField>
    <cacheField name="Status" numFmtId="0">
      <sharedItems containsBlank="1" count="35">
        <s v="Done"/>
        <s v="To Do"/>
        <m u="1"/>
        <s v="On Call - Linux / Solaris - Week 07 &amp; 08" u="1"/>
        <s v="HP-UX Cyberark setup" u="1"/>
        <s v="Sox Audit for 800+ UNIX Server" u="1"/>
        <s v="Fix fcstat utilization report for NPE ITM" u="1"/>
        <s v="Disabling &quot;critical&quot; parameter on SFHA AIX cluster servers for all Disk groups" u="1"/>
        <s v="In Progress" u="1"/>
        <s v="L2/L3 migration trnpxdb001/002/003" u="1"/>
        <s v="Remove &quot;OFF&quot; HPVMs &amp; vPARs those were Decommed - Cleanup" u="1"/>
        <s v="Migrate Linux Servers Running &quot;RAID 0&quot; to &quot;RAID 1&quot;" u="1"/>
        <s v="Connect Enterprise (file transfer) -prdxfer003/004 -vcs cluster modification " u="1"/>
        <s v="Puppet Task POC" u="1"/>
        <s v="NAS Migration Depot " u="1"/>
        <s v="Sync - HPE ISO Repo Between DC" u="1"/>
        <s v="Publish Patch Set Bundle for Q1 2018" u="1"/>
        <s v="AIX new build server approvals - Sprint 2/12" u="1"/>
        <s v="investigate frequent solaris patching issues and Review the Standards followed by Patching team" u="1"/>
        <s v="PXIBM207 Frame Rebuild- Phase2" u="1"/>
        <s v="Fixing pxibm214/pxibm215 VIO SEA private network " u="1"/>
        <s v="PXIBM207- Frame Rebuild- Phase2 - Rework-External Issues" u="1"/>
        <s v="SAN Migration - 2018-02-12" u="1"/>
        <s v="New Server Approvals" u="1"/>
        <s v="NPE Frame Spike Issue-Investigation" u="1"/>
        <s v="Standardize 'hponcfg' &amp; 'ssacli' across all Linux environment" u="1"/>
        <s v="Multi-factor authentication on UNIX servers " u="1"/>
        <s v="OSR migration project" u="1"/>
        <s v="On call - Sprint 2018-02-12" u="1"/>
        <s v="Qualys Agent deployment on Linux servers - Sprint 2/12" u="1"/>
        <s v="Patch Servers under Kevin Luu for Q1 2018" u="1"/>
        <s v="HPE Linux Firmware installation - Puppet Module" u="1"/>
        <s v="Document Docker Standards for Linux" u="1"/>
        <s v="Change of EIT DNS Server IP _Sprint-2_12" u="1"/>
        <s v=" Qualys Agent deployment on AIX servers - Sprint 2/12" u="1"/>
      </sharedItems>
    </cacheField>
    <cacheField name="Summary" numFmtId="0">
      <sharedItems/>
    </cacheField>
    <cacheField name="Story Points" numFmtId="0">
      <sharedItems containsSemiMixedTypes="0" containsString="0" containsNumber="1" containsInteger="1" minValue="1" maxValue="8"/>
    </cacheField>
    <cacheField name="Assignee" numFmtId="0">
      <sharedItems containsBlank="1"/>
    </cacheField>
    <cacheField name="Project" numFmtId="0">
      <sharedItems count="3">
        <s v="A"/>
        <s v="U"/>
        <s v="" u="1"/>
      </sharedItems>
    </cacheField>
    <cacheField name="Added After" numFmtId="0">
      <sharedItems containsBlank="1" count="2">
        <m/>
        <s v="Y"/>
      </sharedItems>
    </cacheField>
    <cacheField name="Prj Cmpt" numFmtId="0">
      <sharedItems containsBlank="1" count="2">
        <s v="Y"/>
        <m/>
      </sharedItems>
    </cacheField>
    <cacheField name=" 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stanzo, Stephen" refreshedDate="43354.317292708336" createdVersion="6" refreshedVersion="6" minRefreshableVersion="3" recordCount="34" xr:uid="{00000000-000A-0000-FFFF-FFFF6B000000}">
  <cacheSource type="worksheet">
    <worksheetSource name="Table1"/>
  </cacheSource>
  <cacheFields count="10">
    <cacheField name="ID" numFmtId="0">
      <sharedItems/>
    </cacheField>
    <cacheField name="Issue key" numFmtId="0">
      <sharedItems/>
    </cacheField>
    <cacheField name="Status" numFmtId="0">
      <sharedItems containsBlank="1" count="5">
        <s v="In Progress"/>
        <s v="Done"/>
        <s v="To Do"/>
        <m u="1"/>
        <s v="Blocked" u="1"/>
      </sharedItems>
    </cacheField>
    <cacheField name="Summary" numFmtId="0">
      <sharedItems/>
    </cacheField>
    <cacheField name="Story Points" numFmtId="0">
      <sharedItems containsSemiMixedTypes="0" containsString="0" containsNumber="1" containsInteger="1" minValue="1" maxValue="8"/>
    </cacheField>
    <cacheField name="Assignee" numFmtId="0">
      <sharedItems containsBlank="1"/>
    </cacheField>
    <cacheField name="Project" numFmtId="0">
      <sharedItems count="3">
        <s v="A"/>
        <s v="U"/>
        <s v="" u="1"/>
      </sharedItems>
    </cacheField>
    <cacheField name="Added After" numFmtId="0">
      <sharedItems containsBlank="1" count="3">
        <m/>
        <s v="Y"/>
        <s v="N" u="1"/>
      </sharedItems>
    </cacheField>
    <cacheField name="Prj Cmpt" numFmtId="0">
      <sharedItems containsBlank="1" count="3">
        <s v="N"/>
        <s v="Y"/>
        <m u="1"/>
      </sharedItems>
    </cacheField>
    <cacheField name=" 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stanzo, Stephen" refreshedDate="43354.31729363426" createdVersion="6" refreshedVersion="6" minRefreshableVersion="3" recordCount="33" xr:uid="{00000000-000A-0000-FFFF-FFFF65000000}">
  <cacheSource type="worksheet">
    <worksheetSource name="Table111"/>
  </cacheSource>
  <cacheFields count="9">
    <cacheField name="Issue key" numFmtId="0">
      <sharedItems/>
    </cacheField>
    <cacheField name="Status" numFmtId="0">
      <sharedItems count="2">
        <s v="Done"/>
        <s v="In Progress"/>
      </sharedItems>
    </cacheField>
    <cacheField name="Summary" numFmtId="0">
      <sharedItems/>
    </cacheField>
    <cacheField name="Story Points" numFmtId="0">
      <sharedItems containsSemiMixedTypes="0" containsString="0" containsNumber="1" containsInteger="1" minValue="1" maxValue="8"/>
    </cacheField>
    <cacheField name="Assignee" numFmtId="0">
      <sharedItems containsBlank="1"/>
    </cacheField>
    <cacheField name="Project" numFmtId="0">
      <sharedItems count="2">
        <s v="A"/>
        <s v="U"/>
      </sharedItems>
    </cacheField>
    <cacheField name="Added After" numFmtId="0">
      <sharedItems containsBlank="1" count="2">
        <m/>
        <s v="Y"/>
      </sharedItems>
    </cacheField>
    <cacheField name="Prj Cmpt" numFmtId="0">
      <sharedItems containsBlank="1" count="2">
        <s v="Y"/>
        <m/>
      </sharedItems>
    </cacheField>
    <cacheField name=" 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stanzo, Stephen" refreshedDate="43354.317294097222" createdVersion="6" refreshedVersion="6" minRefreshableVersion="3" recordCount="56" xr:uid="{00000000-000A-0000-FFFF-FFFF5F000000}">
  <cacheSource type="worksheet">
    <worksheetSource name="T_04_11_18466067"/>
  </cacheSource>
  <cacheFields count="9">
    <cacheField name="ID" numFmtId="0">
      <sharedItems containsBlank="1" containsMixedTypes="1" containsNumber="1" containsInteger="1" minValue="133448" maxValue="166192"/>
    </cacheField>
    <cacheField name="Issue key" numFmtId="0">
      <sharedItems containsBlank="1"/>
    </cacheField>
    <cacheField name="Status" numFmtId="0">
      <sharedItems containsBlank="1" count="5">
        <s v="In Progress"/>
        <s v="Done"/>
        <s v="To Do"/>
        <s v="Blocked"/>
        <m/>
      </sharedItems>
    </cacheField>
    <cacheField name="Summary" numFmtId="0">
      <sharedItems containsBlank="1"/>
    </cacheField>
    <cacheField name="Story Points" numFmtId="0">
      <sharedItems containsString="0" containsBlank="1" containsNumber="1" containsInteger="1" minValue="1" maxValue="5"/>
    </cacheField>
    <cacheField name="Assignee" numFmtId="0">
      <sharedItems containsBlank="1"/>
    </cacheField>
    <cacheField name="Project" numFmtId="0">
      <sharedItems count="3">
        <s v="A"/>
        <s v="U"/>
        <s v=""/>
      </sharedItems>
    </cacheField>
    <cacheField name="Added After" numFmtId="0">
      <sharedItems containsBlank="1" count="2">
        <m/>
        <s v="Y"/>
      </sharedItems>
    </cacheField>
    <cacheField name="Prj Cmpt" numFmtId="0">
      <sharedItems containsBlank="1" count="2">
        <m/>
        <s v="Y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stanzo, Stephen" refreshedDate="43354.317294560184" createdVersion="6" refreshedVersion="6" minRefreshableVersion="3" recordCount="56" xr:uid="{00000000-000A-0000-FFFF-FFFF59000000}">
  <cacheSource type="worksheet">
    <worksheetSource name="T_04_11_1846606774"/>
  </cacheSource>
  <cacheFields count="9">
    <cacheField name="ID" numFmtId="0">
      <sharedItems containsMixedTypes="1" containsNumber="1" containsInteger="1" minValue="132868" maxValue="172962"/>
    </cacheField>
    <cacheField name="Issue key" numFmtId="0">
      <sharedItems containsBlank="1"/>
    </cacheField>
    <cacheField name="Status" numFmtId="0">
      <sharedItems containsBlank="1" count="5">
        <s v="Done"/>
        <s v="To Do"/>
        <s v="Blocked"/>
        <s v="In Progress"/>
        <m/>
      </sharedItems>
    </cacheField>
    <cacheField name="Summary" numFmtId="0">
      <sharedItems containsBlank="1"/>
    </cacheField>
    <cacheField name="Story Points" numFmtId="0">
      <sharedItems containsString="0" containsBlank="1" containsNumber="1" containsInteger="1" minValue="1" maxValue="5"/>
    </cacheField>
    <cacheField name="Assignee" numFmtId="0">
      <sharedItems containsBlank="1"/>
    </cacheField>
    <cacheField name="Project" numFmtId="0">
      <sharedItems count="3">
        <s v="U"/>
        <s v="A"/>
        <s v=""/>
      </sharedItems>
    </cacheField>
    <cacheField name="Added After" numFmtId="0">
      <sharedItems containsBlank="1" count="2">
        <s v="Y"/>
        <m/>
      </sharedItems>
    </cacheField>
    <cacheField name="Prj Cmpt" numFmtId="0">
      <sharedItems containsBlank="1" count="2">
        <s v="Y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stanzo, Stephen" refreshedDate="43354.317295138891" createdVersion="6" refreshedVersion="6" minRefreshableVersion="3" recordCount="61" xr:uid="{00000000-000A-0000-FFFF-FFFF53000000}">
  <cacheSource type="worksheet">
    <worksheetSource name="T_04_11_184660677481"/>
  </cacheSource>
  <cacheFields count="9">
    <cacheField name="ID" numFmtId="0">
      <sharedItems containsMixedTypes="1" containsNumber="1" containsInteger="1" minValue="136360" maxValue="179572"/>
    </cacheField>
    <cacheField name="Issue key" numFmtId="0">
      <sharedItems containsBlank="1"/>
    </cacheField>
    <cacheField name="Status" numFmtId="0">
      <sharedItems containsBlank="1" count="5">
        <s v="Blocked"/>
        <s v="To Do"/>
        <s v="Done"/>
        <m/>
        <s v="In Progress" u="1"/>
      </sharedItems>
    </cacheField>
    <cacheField name="Summary" numFmtId="0">
      <sharedItems containsBlank="1"/>
    </cacheField>
    <cacheField name="Story Points" numFmtId="0">
      <sharedItems containsString="0" containsBlank="1" containsNumber="1" containsInteger="1" minValue="1" maxValue="5"/>
    </cacheField>
    <cacheField name="Assignee" numFmtId="0">
      <sharedItems containsBlank="1"/>
    </cacheField>
    <cacheField name="Project" numFmtId="0">
      <sharedItems count="3">
        <s v="A"/>
        <s v="U"/>
        <s v=""/>
      </sharedItems>
    </cacheField>
    <cacheField name="Added After" numFmtId="0">
      <sharedItems containsBlank="1" count="2">
        <m/>
        <s v="Y"/>
      </sharedItems>
    </cacheField>
    <cacheField name="Prj Cmpt" numFmtId="0">
      <sharedItems containsBlank="1" count="2">
        <m/>
        <s v="Y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stanzo, Stephen" refreshedDate="43354.317295601853" createdVersion="6" refreshedVersion="6" minRefreshableVersion="3" recordCount="52" xr:uid="{0164CF24-26E4-4367-AB61-968074EDA812}">
  <cacheSource type="worksheet">
    <worksheetSource name="T_04_11_1846606774818895102"/>
  </cacheSource>
  <cacheFields count="9">
    <cacheField name="ID" numFmtId="0">
      <sharedItems containsString="0" containsBlank="1" containsNumber="1" containsInteger="1" minValue="132864" maxValue="198152"/>
    </cacheField>
    <cacheField name="Issue key" numFmtId="0">
      <sharedItems containsBlank="1"/>
    </cacheField>
    <cacheField name="Status" numFmtId="0">
      <sharedItems containsBlank="1" count="5">
        <s v="Done"/>
        <s v="To Do"/>
        <s v="In Progress"/>
        <s v="Blocked"/>
        <m/>
      </sharedItems>
    </cacheField>
    <cacheField name="Summary" numFmtId="0">
      <sharedItems containsBlank="1"/>
    </cacheField>
    <cacheField name="Assignee" numFmtId="0">
      <sharedItems containsBlank="1"/>
    </cacheField>
    <cacheField name="Story Points" numFmtId="0">
      <sharedItems containsString="0" containsBlank="1" containsNumber="1" containsInteger="1" minValue="1" maxValue="8"/>
    </cacheField>
    <cacheField name="Project" numFmtId="0">
      <sharedItems count="3">
        <s v="U"/>
        <s v="A"/>
        <s v=""/>
      </sharedItems>
    </cacheField>
    <cacheField name="Added After" numFmtId="0">
      <sharedItems containsBlank="1" count="2">
        <s v="Y"/>
        <m/>
      </sharedItems>
    </cacheField>
    <cacheField name="Prj Cmpt" numFmtId="0">
      <sharedItems containsBlank="1" count="2">
        <s v="Y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stanzo, Stephen" refreshedDate="43354.317296643516" createdVersion="6" refreshedVersion="6" minRefreshableVersion="3" recordCount="52" xr:uid="{87352126-8FE8-4399-9D32-07394A0F23FD}">
  <cacheSource type="worksheet">
    <worksheetSource name="Sprint0828"/>
  </cacheSource>
  <cacheFields count="9">
    <cacheField name="ID" numFmtId="0">
      <sharedItems containsString="0" containsBlank="1" containsNumber="1" containsInteger="1" minValue="136362" maxValue="206762"/>
    </cacheField>
    <cacheField name="Issue key" numFmtId="0">
      <sharedItems containsBlank="1"/>
    </cacheField>
    <cacheField name="Status" numFmtId="0">
      <sharedItems containsBlank="1" count="5">
        <s v="Done"/>
        <s v="In Progress"/>
        <s v="To Do"/>
        <s v="Blocked"/>
        <m/>
      </sharedItems>
    </cacheField>
    <cacheField name="Summary" numFmtId="0">
      <sharedItems containsBlank="1" count="35">
        <s v="Application Startup Scripts during boot for RHEL7"/>
        <s v="Server Approvals"/>
        <s v="Linux On-Call Sprint 8/28"/>
        <s v="Validate VIOM FW "/>
        <s v="Audit/Disable  AmandaBK Shell "/>
        <s v="Investigate on SOlaris-11 patch subscription "/>
        <s v="LDAP integration with Veritas VOM Server"/>
        <s v="SAN Migration - HPUX Week 34 [ Aug 28 -  Sep 09]"/>
        <s v="Help Application team install Zabbix, MySQL, Python and java on application directory"/>
        <s v="puppet module push for mongodb - (non-prod) servers"/>
        <s v="Build Puppet Module: for sudo default keystroke logging for Solaris OS"/>
        <s v="puppet module draft for hadoop IPtables automation "/>
        <s v="patching on Solaris control Domains "/>
        <s v="Deploy Data from GIT into Devehdp398"/>
        <s v="iLO Version update across all Engineering HPE servers running Linux"/>
        <s v="expired KB article updates (2 KB article updates with Karen C.)"/>
        <s v="Linux Platform Standard - incorporate audit findings from Geoff Ansara's team"/>
        <s v="Remove Veritas DMP on rephub servers "/>
        <s v="admtrac002 - rebuild / restore and Veritas cluster removal"/>
        <s v="NPI readiness - workload balance"/>
        <s v="NPI readiness - performance review of IBM frames"/>
        <s v="QLAB06 SAP Data refresh"/>
        <s v="AIX new build server approvals - Sprint 8/28"/>
        <s v="SAP DR Drill"/>
        <s v="AIX On-Call - Sprint 8/28"/>
        <s v="AIX SAN Migrations - 09/04/2018"/>
        <s v="AIX SAN Migrations - 08/28/2018"/>
        <s v="Q3 patching on pxibm114/115/116 VIO's"/>
        <s v="Q3 patching on pxibm110/111/112/113 VIO's"/>
        <s v="Q3 patching on pxibm218/108/ttibm612 VIO's"/>
        <s v="Q3 patching on pxibm217/107/206/ttibm611 VIO's"/>
        <s v="LDAP integration with HMC [ Authentication Only ] - Implementation"/>
        <s v="TTIBM609 Frame Rebuild -Phase 2"/>
        <s v="PXIBM210 Frame Rebuild -Phase 1"/>
        <m/>
      </sharedItems>
    </cacheField>
    <cacheField name="Assignee" numFmtId="0">
      <sharedItems containsBlank="1" count="11">
        <s v="Rakesh"/>
        <s v="Jon"/>
        <s v="Mammar"/>
        <s v="Bhuvan"/>
        <s v="Prabal"/>
        <s v="Ramesh"/>
        <s v="Venkatesh"/>
        <s v="Jasim"/>
        <s v="Santosh"/>
        <s v="Azmath"/>
        <m/>
      </sharedItems>
    </cacheField>
    <cacheField name="Story Points" numFmtId="0">
      <sharedItems containsString="0" containsBlank="1" containsNumber="1" containsInteger="1" minValue="1" maxValue="5"/>
    </cacheField>
    <cacheField name="Project" numFmtId="0">
      <sharedItems count="3">
        <s v="U"/>
        <s v="A"/>
        <s v=""/>
      </sharedItems>
    </cacheField>
    <cacheField name="Added After" numFmtId="0">
      <sharedItems containsBlank="1" count="2">
        <s v="Y"/>
        <m/>
      </sharedItems>
    </cacheField>
    <cacheField name="Prj Cmpt" numFmtId="0">
      <sharedItems containsBlank="1" count="2">
        <s v="Y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stanzo, Stephen" refreshedDate="43354.319621527779" createdVersion="6" refreshedVersion="6" minRefreshableVersion="3" recordCount="52" xr:uid="{83E28409-D447-4CA9-88EE-20618639CF48}">
  <cacheSource type="worksheet">
    <worksheetSource name="T_04_11_1846606774818895102109"/>
  </cacheSource>
  <cacheFields count="9">
    <cacheField name="ID" numFmtId="0">
      <sharedItems containsString="0" containsBlank="1" containsNumber="1" containsInteger="1" minValue="136367" maxValue="203359"/>
    </cacheField>
    <cacheField name="Issue key" numFmtId="0">
      <sharedItems containsBlank="1"/>
    </cacheField>
    <cacheField name="Status" numFmtId="0">
      <sharedItems containsBlank="1" count="5">
        <s v="Done"/>
        <s v="Blocked"/>
        <s v="In Progress"/>
        <s v="To Do"/>
        <m/>
      </sharedItems>
    </cacheField>
    <cacheField name="Summary" numFmtId="0">
      <sharedItems containsBlank="1"/>
    </cacheField>
    <cacheField name="Assignee" numFmtId="0">
      <sharedItems containsBlank="1"/>
    </cacheField>
    <cacheField name="Story Points" numFmtId="0">
      <sharedItems containsString="0" containsBlank="1" containsNumber="1" containsInteger="1" minValue="1" maxValue="5"/>
    </cacheField>
    <cacheField name="Project" numFmtId="0">
      <sharedItems count="3">
        <s v="U"/>
        <s v="A"/>
        <s v=""/>
      </sharedItems>
    </cacheField>
    <cacheField name="Added After" numFmtId="0">
      <sharedItems containsBlank="1" count="2">
        <s v="Y"/>
        <m/>
      </sharedItems>
    </cacheField>
    <cacheField name="Prj Cmpt" numFmtId="0">
      <sharedItems containsBlank="1" count="2">
        <s v="Y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stanzo, Stephen" refreshedDate="43382.420520370368" createdVersion="6" refreshedVersion="6" minRefreshableVersion="3" recordCount="52" xr:uid="{5C859EEF-9C7F-4B58-AB26-E76938296871}">
  <cacheSource type="worksheet">
    <worksheetSource name="Sprint09112018"/>
  </cacheSource>
  <cacheFields count="9">
    <cacheField name="ID" numFmtId="0">
      <sharedItems containsString="0" containsBlank="1" containsNumber="1" containsInteger="1" minValue="136361" maxValue="211593"/>
    </cacheField>
    <cacheField name="Issue key" numFmtId="0">
      <sharedItems containsBlank="1"/>
    </cacheField>
    <cacheField name="Status" numFmtId="0">
      <sharedItems containsBlank="1" count="5">
        <s v="Done"/>
        <s v="In Progress"/>
        <s v="To Do"/>
        <m/>
        <s v="Blocked" u="1"/>
      </sharedItems>
    </cacheField>
    <cacheField name="Summary" numFmtId="0">
      <sharedItems containsBlank="1"/>
    </cacheField>
    <cacheField name="Assignee" numFmtId="0">
      <sharedItems containsBlank="1"/>
    </cacheField>
    <cacheField name="Story Points" numFmtId="0">
      <sharedItems containsString="0" containsBlank="1" containsNumber="1" containsInteger="1" minValue="1" maxValue="5"/>
    </cacheField>
    <cacheField name="Project" numFmtId="0">
      <sharedItems count="3">
        <s v="A"/>
        <s v="U"/>
        <s v=""/>
      </sharedItems>
    </cacheField>
    <cacheField name="Added After" numFmtId="0">
      <sharedItems containsBlank="1" count="3">
        <s v="N"/>
        <m/>
        <s v="Y"/>
      </sharedItems>
    </cacheField>
    <cacheField name="Prj Cmpt" numFmtId="0">
      <sharedItems containsBlank="1" count="2">
        <s v="Y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stanzo, Stephen" refreshedDate="43382.420593634262" createdVersion="6" refreshedVersion="6" minRefreshableVersion="3" recordCount="52" xr:uid="{6010669F-A0C6-40BE-B382-F57CB709DE35}">
  <cacheSource type="worksheet">
    <worksheetSource name="Sprint09112018130"/>
  </cacheSource>
  <cacheFields count="9">
    <cacheField name="ID" numFmtId="0">
      <sharedItems containsString="0" containsBlank="1" containsNumber="1" containsInteger="1" minValue="150332" maxValue="214864"/>
    </cacheField>
    <cacheField name="Issue key" numFmtId="0">
      <sharedItems containsBlank="1"/>
    </cacheField>
    <cacheField name="Status" numFmtId="0">
      <sharedItems containsBlank="1" count="3">
        <s v="In Progress"/>
        <s v="Done"/>
        <m/>
      </sharedItems>
    </cacheField>
    <cacheField name="Summary" numFmtId="0">
      <sharedItems containsBlank="1"/>
    </cacheField>
    <cacheField name="Assignee" numFmtId="0">
      <sharedItems containsBlank="1"/>
    </cacheField>
    <cacheField name="Story Points" numFmtId="0">
      <sharedItems containsString="0" containsBlank="1" containsNumber="1" containsInteger="1" minValue="1" maxValue="5"/>
    </cacheField>
    <cacheField name="Project" numFmtId="0">
      <sharedItems containsMixedTypes="1" containsNumber="1" containsInteger="1" minValue="1" maxValue="5" count="7">
        <s v="U"/>
        <s v="A"/>
        <s v=""/>
        <n v="5" u="1"/>
        <n v="2" u="1"/>
        <n v="1" u="1"/>
        <n v="3" u="1"/>
      </sharedItems>
    </cacheField>
    <cacheField name="Added After" numFmtId="0">
      <sharedItems containsBlank="1" count="2">
        <m/>
        <s v="Y"/>
      </sharedItems>
    </cacheField>
    <cacheField name="Prj Cmpt" numFmtId="0">
      <sharedItems containsBlank="1" count="2">
        <m/>
        <s v="Y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0">
  <r>
    <s v="254"/>
    <s v="INFUOP-254"/>
    <x v="0"/>
    <s v="RHEL 7 and RHEL 6 build image hardening"/>
    <n v="5"/>
    <s v="Jon"/>
    <x v="0"/>
    <x v="0"/>
    <x v="0"/>
    <s v=""/>
  </r>
  <r>
    <s v="694"/>
    <s v="INFUOP-694"/>
    <x v="1"/>
    <s v="LINUX new build server approvals - Sprint 2/12"/>
    <n v="1"/>
    <s v="Jon"/>
    <x v="0"/>
    <x v="0"/>
    <x v="1"/>
    <s v=""/>
  </r>
  <r>
    <s v="838"/>
    <s v="INFUOP-838"/>
    <x v="1"/>
    <s v="Enable and Process puppet Service across all Linux Servers"/>
    <n v="3"/>
    <s v="Bhuvan"/>
    <x v="0"/>
    <x v="0"/>
    <x v="1"/>
    <s v=""/>
  </r>
  <r>
    <s v="839"/>
    <s v="INFUOP-839"/>
    <x v="0"/>
    <s v="Modify SSACLI scripting"/>
    <n v="3"/>
    <s v="Bhuvan"/>
    <x v="0"/>
    <x v="0"/>
    <x v="0"/>
    <s v=""/>
  </r>
  <r>
    <s v="841"/>
    <s v="INFUOP-841"/>
    <x v="1"/>
    <s v="Engineering iLO Standardization - Phase 2"/>
    <n v="3"/>
    <s v="Bhuvan"/>
    <x v="0"/>
    <x v="0"/>
    <x v="1"/>
    <s v=""/>
  </r>
  <r>
    <s v="842"/>
    <s v="INFUOP-842"/>
    <x v="1"/>
    <s v="Summarizing Servers list for Upcoming SAN migration"/>
    <n v="3"/>
    <s v="Bhuvan"/>
    <x v="0"/>
    <x v="0"/>
    <x v="1"/>
    <s v=""/>
  </r>
  <r>
    <s v="843"/>
    <s v="INFUOP-843"/>
    <x v="1"/>
    <s v="Qualys agent on linux _Sprint 2_26"/>
    <n v="2"/>
    <s v="Ramesh"/>
    <x v="0"/>
    <x v="0"/>
    <x v="1"/>
    <s v=""/>
  </r>
  <r>
    <s v="844"/>
    <s v="INFUOP-844"/>
    <x v="2"/>
    <s v="DNS IP migration "/>
    <n v="2"/>
    <s v="Ramesh"/>
    <x v="0"/>
    <x v="0"/>
    <x v="0"/>
    <s v=""/>
  </r>
  <r>
    <s v="846"/>
    <s v="INFUOP-846"/>
    <x v="1"/>
    <s v="Puppet Tasks - Script update &amp; Training"/>
    <n v="3"/>
    <s v="Bhuvan"/>
    <x v="0"/>
    <x v="0"/>
    <x v="1"/>
    <s v=""/>
  </r>
  <r>
    <s v="847"/>
    <s v="INFUOP-847"/>
    <x v="1"/>
    <s v="OSR migration tasks - 2/26 sprint"/>
    <n v="3"/>
    <m/>
    <x v="0"/>
    <x v="0"/>
    <x v="1"/>
    <s v=""/>
  </r>
  <r>
    <s v="848"/>
    <s v="INFUOP-848"/>
    <x v="1"/>
    <s v="ON-CALL LINUX 02_26_2018"/>
    <n v="3"/>
    <s v="Rakesh"/>
    <x v="0"/>
    <x v="0"/>
    <x v="1"/>
    <s v=""/>
  </r>
  <r>
    <s v="849"/>
    <s v="INFUOP-849"/>
    <x v="1"/>
    <s v="NAS Migration Cleanup"/>
    <n v="5"/>
    <s v="Mammar"/>
    <x v="0"/>
    <x v="0"/>
    <x v="1"/>
    <s v=""/>
  </r>
  <r>
    <s v="850"/>
    <s v="INFUOP-850"/>
    <x v="1"/>
    <s v="VOM Maintenance "/>
    <n v="3"/>
    <s v="Mammar"/>
    <x v="0"/>
    <x v="0"/>
    <x v="1"/>
    <s v=""/>
  </r>
  <r>
    <s v="851"/>
    <s v="INFUOP-851"/>
    <x v="1"/>
    <s v="NAS and Firewall Pre-Requests for setting Kdump on all linux environment."/>
    <n v="3"/>
    <s v="Rakesh"/>
    <x v="0"/>
    <x v="0"/>
    <x v="1"/>
    <s v=""/>
  </r>
  <r>
    <s v="852"/>
    <s v="INFUOP-852"/>
    <x v="1"/>
    <s v="Vulnerabilities on Unix servers "/>
    <n v="3"/>
    <s v="Ramesh"/>
    <x v="0"/>
    <x v="0"/>
    <x v="1"/>
    <s v=""/>
  </r>
  <r>
    <s v="853"/>
    <s v="INFUOP-853"/>
    <x v="1"/>
    <s v="Multi-factor authentication on UNIX servers"/>
    <n v="5"/>
    <s v="Prabal"/>
    <x v="0"/>
    <x v="0"/>
    <x v="1"/>
    <s v=""/>
  </r>
  <r>
    <s v="854"/>
    <s v="INFUOP-854"/>
    <x v="1"/>
    <s v="Patch Servers under Kevin Luu for Q1 2018"/>
    <n v="3"/>
    <s v="Prabal"/>
    <x v="0"/>
    <x v="0"/>
    <x v="1"/>
    <s v=""/>
  </r>
  <r>
    <s v="855"/>
    <s v="INFUOP-855"/>
    <x v="1"/>
    <s v="service know KB articles review "/>
    <n v="1"/>
    <s v="Ramesh"/>
    <x v="0"/>
    <x v="1"/>
    <x v="1"/>
    <s v=""/>
  </r>
  <r>
    <s v="857"/>
    <s v="INFUOP-857"/>
    <x v="1"/>
    <s v="Connect Enterprise"/>
    <n v="1"/>
    <s v="VS"/>
    <x v="0"/>
    <x v="1"/>
    <x v="1"/>
    <s v=""/>
  </r>
  <r>
    <s v="859"/>
    <s v="INFUOP-859"/>
    <x v="1"/>
    <s v="BL460 Firmware upgrade on pelensp106"/>
    <n v="1"/>
    <s v="Venkatesh"/>
    <x v="0"/>
    <x v="0"/>
    <x v="1"/>
    <s v=""/>
  </r>
  <r>
    <s v="860"/>
    <s v="INFUOP-860"/>
    <x v="1"/>
    <s v="BL460 Firmware upgrade on pelensp107"/>
    <n v="1"/>
    <s v="Venkatesh"/>
    <x v="0"/>
    <x v="0"/>
    <x v="1"/>
    <s v=""/>
  </r>
  <r>
    <s v="861"/>
    <s v="INFUOP-861"/>
    <x v="1"/>
    <s v="BL460 Firmware upgrade on pelensp108"/>
    <n v="1"/>
    <s v="Venkatesh"/>
    <x v="0"/>
    <x v="0"/>
    <x v="1"/>
    <s v=""/>
  </r>
  <r>
    <s v="863"/>
    <s v="INFUOP-863"/>
    <x v="1"/>
    <s v="OSR Migrations Tasks (Part II)"/>
    <n v="3"/>
    <s v="Jon"/>
    <x v="0"/>
    <x v="0"/>
    <x v="0"/>
    <m/>
  </r>
  <r>
    <s v="867"/>
    <s v="INFUOP-867"/>
    <x v="2"/>
    <s v="Appsync POC Troubleshooting session"/>
    <n v="3"/>
    <s v="Rakesh"/>
    <x v="0"/>
    <x v="1"/>
    <x v="0"/>
    <s v=""/>
  </r>
  <r>
    <s v="2"/>
    <s v="INFAOP-2"/>
    <x v="1"/>
    <s v="VIOS patching - Polaris PRD"/>
    <n v="5"/>
    <s v="Jasim"/>
    <x v="1"/>
    <x v="0"/>
    <x v="1"/>
    <s v=""/>
  </r>
  <r>
    <s v="263"/>
    <s v="INFAOP-263"/>
    <x v="1"/>
    <s v="Fix fcstat utilization report for PROD ITM"/>
    <n v="5"/>
    <s v="Azmath"/>
    <x v="1"/>
    <x v="0"/>
    <x v="1"/>
    <s v=""/>
  </r>
  <r>
    <s v="397"/>
    <s v="INFAOP-397"/>
    <x v="0"/>
    <s v="Create a script to automate /goldengate file system creation on AIX npe servers "/>
    <n v="3"/>
    <s v="Venkatesh"/>
    <x v="1"/>
    <x v="0"/>
    <x v="0"/>
    <s v=""/>
  </r>
  <r>
    <s v="398"/>
    <s v="INFAOP-398"/>
    <x v="0"/>
    <s v="PXIBM208 Frame Rebuild - Phase 1"/>
    <n v="3"/>
    <s v="Muqtadir"/>
    <x v="1"/>
    <x v="0"/>
    <x v="0"/>
    <s v=""/>
  </r>
  <r>
    <s v="452"/>
    <s v="INFAOP-452"/>
    <x v="0"/>
    <s v="TTIBM609 Frame Rebuild -Phase 1"/>
    <n v="3"/>
    <s v="Azmath"/>
    <x v="1"/>
    <x v="0"/>
    <x v="0"/>
    <s v=""/>
  </r>
  <r>
    <s v="501"/>
    <s v="INFAOP-501"/>
    <x v="1"/>
    <s v="AIX Liveupdate testing on selected SAP NPE servers"/>
    <n v="3"/>
    <s v="Jasim"/>
    <x v="1"/>
    <x v="0"/>
    <x v="1"/>
    <s v=""/>
  </r>
  <r>
    <s v="503"/>
    <s v="INFAOP-503"/>
    <x v="1"/>
    <s v="Qualys Agent deployment on AIX servers - Sprint 2/26"/>
    <n v="3"/>
    <s v="Santosh"/>
    <x v="1"/>
    <x v="0"/>
    <x v="1"/>
    <s v=""/>
  </r>
  <r>
    <s v="504"/>
    <s v="INFAOP-504"/>
    <x v="1"/>
    <s v="AIX new build server approvals - Sprint 2/26"/>
    <n v="1"/>
    <s v="Santosh"/>
    <x v="1"/>
    <x v="0"/>
    <x v="1"/>
    <s v=""/>
  </r>
  <r>
    <s v="510"/>
    <s v="INFAOP-510"/>
    <x v="1"/>
    <s v="Meltdown vulnerability - rollout frame firmware to NPE IBM frames"/>
    <n v="3"/>
    <s v="Santosh"/>
    <x v="1"/>
    <x v="0"/>
    <x v="1"/>
    <s v=""/>
  </r>
  <r>
    <s v="511"/>
    <s v="INFAOP-511"/>
    <x v="1"/>
    <s v="Automate boot lun migration"/>
    <n v="3"/>
    <s v="Santosh"/>
    <x v="1"/>
    <x v="0"/>
    <x v="1"/>
    <s v=""/>
  </r>
  <r>
    <s v="514"/>
    <s v="INFAOP-514"/>
    <x v="1"/>
    <s v="Integrate Liveupdate with patching automation"/>
    <n v="3"/>
    <s v="Bhuvan"/>
    <x v="1"/>
    <x v="0"/>
    <x v="1"/>
    <s v=""/>
  </r>
  <r>
    <s v="515"/>
    <s v="INFAOP-515"/>
    <x v="1"/>
    <s v="AIX Liveupdate testing on selected SAP NPE servers - Venkatesh"/>
    <n v="3"/>
    <s v="Venkatesh"/>
    <x v="1"/>
    <x v="0"/>
    <x v="1"/>
    <s v=""/>
  </r>
  <r>
    <s v="517"/>
    <s v="INFAOP-517"/>
    <x v="1"/>
    <s v="AIX Sprint On call - 02/26 - 03/12"/>
    <n v="3"/>
    <m/>
    <x v="1"/>
    <x v="0"/>
    <x v="1"/>
    <s v=""/>
  </r>
  <r>
    <s v="518"/>
    <s v="INFAOP-518"/>
    <x v="1"/>
    <s v="Veritas upgrade on admtrac005/006 to 7.3"/>
    <n v="5"/>
    <s v="Muqtadir"/>
    <x v="1"/>
    <x v="0"/>
    <x v="1"/>
    <s v=""/>
  </r>
  <r>
    <s v="521"/>
    <s v="INFAOP-521"/>
    <x v="1"/>
    <s v="AIX Liveupdate testing on selected servers"/>
    <n v="3"/>
    <s v="Azmath"/>
    <x v="1"/>
    <x v="0"/>
    <x v="1"/>
    <s v=""/>
  </r>
  <r>
    <s v="576"/>
    <s v="INFAOP-576"/>
    <x v="1"/>
    <s v="L2 - L3 migration stgtbdb201"/>
    <n v="3"/>
    <s v="Jasim"/>
    <x v="1"/>
    <x v="1"/>
    <x v="1"/>
    <s v="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5">
  <r>
    <s v="254"/>
    <s v="INFUOP-254"/>
    <x v="0"/>
    <s v="RHEL 7 and RHEL 6 build image hardening"/>
    <n v="5"/>
    <s v="Jon"/>
    <x v="0"/>
    <x v="0"/>
    <x v="0"/>
  </r>
  <r>
    <s v="776"/>
    <s v="INFUOP-776"/>
    <x v="1"/>
    <s v="Solaris Q2 patches"/>
    <n v="2"/>
    <s v="Rakesh"/>
    <x v="0"/>
    <x v="1"/>
    <x v="1"/>
  </r>
  <r>
    <s v="787"/>
    <s v="INFUOP-787"/>
    <x v="0"/>
    <s v="OpenJDK Standardization on Hadoop servers - Phase 2"/>
    <n v="2"/>
    <s v="Venkatesh"/>
    <x v="0"/>
    <x v="1"/>
    <x v="0"/>
  </r>
  <r>
    <s v="844"/>
    <s v="INFUOP-844"/>
    <x v="0"/>
    <s v="DNS IP migration "/>
    <n v="2"/>
    <s v="Ramesh"/>
    <x v="0"/>
    <x v="1"/>
    <x v="0"/>
  </r>
  <r>
    <s v="865"/>
    <s v="INFUOP-865"/>
    <x v="0"/>
    <s v="Tidal upgrade "/>
    <n v="3"/>
    <s v="Ramesh"/>
    <x v="0"/>
    <x v="1"/>
    <x v="0"/>
  </r>
  <r>
    <s v="867"/>
    <s v="INFUOP-867"/>
    <x v="2"/>
    <s v="Appsync POC Troubleshooting session"/>
    <n v="3"/>
    <s v="Rakesh"/>
    <x v="0"/>
    <x v="1"/>
    <x v="1"/>
  </r>
  <r>
    <s v="873"/>
    <s v="INFUOP-873"/>
    <x v="0"/>
    <s v="Qualys Agent deployment on Linux servers - Sprint3_12"/>
    <n v="2"/>
    <s v="Ramesh"/>
    <x v="0"/>
    <x v="1"/>
    <x v="0"/>
  </r>
  <r>
    <s v="874"/>
    <s v="INFUOP-874"/>
    <x v="0"/>
    <s v="Dell IDRAC Standards DOC"/>
    <n v="3"/>
    <s v="Rakesh"/>
    <x v="0"/>
    <x v="1"/>
    <x v="0"/>
  </r>
  <r>
    <s v="879"/>
    <s v="INFUOP-879"/>
    <x v="0"/>
    <s v="EIT iLO Amplifier - Update to 1.15 Version"/>
    <n v="2"/>
    <s v="Bhuvan"/>
    <x v="0"/>
    <x v="1"/>
    <x v="0"/>
  </r>
  <r>
    <s v="880"/>
    <s v="INFUOP-880"/>
    <x v="0"/>
    <s v="Spectre Meltdown - Testing Firmware patches on HPE Gen8, 9 &amp; 10"/>
    <n v="3"/>
    <s v="Bhuvan"/>
    <x v="0"/>
    <x v="1"/>
    <x v="0"/>
  </r>
  <r>
    <s v="882"/>
    <s v="INFUOP-882"/>
    <x v="0"/>
    <s v="iLO Local users Password rotation"/>
    <n v="2"/>
    <s v="Bhuvan"/>
    <x v="0"/>
    <x v="1"/>
    <x v="0"/>
  </r>
  <r>
    <s v="883"/>
    <s v="INFUOP-883"/>
    <x v="0"/>
    <s v="NAS Migration Cleanup "/>
    <n v="3"/>
    <s v="Mammar"/>
    <x v="0"/>
    <x v="1"/>
    <x v="0"/>
  </r>
  <r>
    <s v="884"/>
    <s v="INFUOP-884"/>
    <x v="0"/>
    <s v="patching Kevin Luu Servers 3/12 Sprint"/>
    <n v="2"/>
    <s v="Prabal"/>
    <x v="0"/>
    <x v="1"/>
    <x v="0"/>
  </r>
  <r>
    <s v="885"/>
    <s v="INFUOP-885"/>
    <x v="0"/>
    <s v="LINUX On-Call Sprint 2018-03-12"/>
    <n v="3"/>
    <m/>
    <x v="0"/>
    <x v="1"/>
    <x v="0"/>
  </r>
  <r>
    <s v="887"/>
    <s v="INFUOP-887"/>
    <x v="0"/>
    <s v="Vulnerabilities and patching standards -Solaris "/>
    <n v="2"/>
    <s v="Ramesh"/>
    <x v="0"/>
    <x v="1"/>
    <x v="0"/>
  </r>
  <r>
    <s v="890"/>
    <s v="INFUOP-890"/>
    <x v="0"/>
    <s v="Rubrik POC testing for XFS and VXFS file recovery - Phase1"/>
    <n v="3"/>
    <s v="Venkatesh"/>
    <x v="0"/>
    <x v="1"/>
    <x v="0"/>
  </r>
  <r>
    <s v="891"/>
    <s v="INFUOP-891"/>
    <x v="2"/>
    <s v="Multi-factor authentication on AIX servers"/>
    <n v="3"/>
    <s v="Prabal"/>
    <x v="0"/>
    <x v="1"/>
    <x v="0"/>
  </r>
  <r>
    <s v="893"/>
    <s v="INFUOP-893"/>
    <x v="0"/>
    <s v="Conversion Demonstration"/>
    <n v="5"/>
    <s v="Jon"/>
    <x v="0"/>
    <x v="1"/>
    <x v="0"/>
  </r>
  <r>
    <s v="894"/>
    <s v="INFUOP-894"/>
    <x v="0"/>
    <s v="OSR Migration Project Sprint 3/12"/>
    <n v="3"/>
    <s v="Jon"/>
    <x v="0"/>
    <x v="1"/>
    <x v="0"/>
  </r>
  <r>
    <s v="895"/>
    <s v="INFUOP-895"/>
    <x v="0"/>
    <s v="Licence Update for TimeTravel "/>
    <n v="2"/>
    <s v="Rakesh"/>
    <x v="0"/>
    <x v="1"/>
    <x v="0"/>
  </r>
  <r>
    <s v="898"/>
    <s v="INFUOP-898"/>
    <x v="0"/>
    <s v="SOX/PCI Attestation Tasks for Unix Servers(KB Q2) Refresh "/>
    <n v="1"/>
    <s v="Mammar"/>
    <x v="0"/>
    <x v="0"/>
    <x v="0"/>
  </r>
  <r>
    <s v="899"/>
    <s v="INFUOP-899"/>
    <x v="0"/>
    <s v="How to Handle HP OpenView Agent Tickets - UNIX Servers (KB Q2) Refresh"/>
    <n v="1"/>
    <s v="Mammar"/>
    <x v="0"/>
    <x v="0"/>
    <x v="0"/>
  </r>
  <r>
    <s v="900"/>
    <s v="INFUOP-900"/>
    <x v="0"/>
    <s v="New server build approvals"/>
    <n v="2"/>
    <s v="Jon"/>
    <x v="0"/>
    <x v="0"/>
    <x v="0"/>
  </r>
  <r>
    <s v="903"/>
    <s v="INFUOP-903"/>
    <x v="0"/>
    <s v="Q2 2018 Platform Standards document"/>
    <n v="3"/>
    <s v="Jon"/>
    <x v="0"/>
    <x v="0"/>
    <x v="0"/>
  </r>
  <r>
    <s v="909"/>
    <s v="INFUOP-909"/>
    <x v="0"/>
    <s v="iLO Amplifier Upgrade - EIT"/>
    <n v="3"/>
    <s v="Bhuvan"/>
    <x v="0"/>
    <x v="0"/>
    <x v="0"/>
  </r>
  <r>
    <s v="380"/>
    <s v="INFAOP-380"/>
    <x v="1"/>
    <s v="Test - LDAP Integration with HMC"/>
    <n v="3"/>
    <s v="Bhuvan"/>
    <x v="1"/>
    <x v="1"/>
    <x v="1"/>
  </r>
  <r>
    <s v="397"/>
    <s v="INFAOP-397"/>
    <x v="0"/>
    <s v="Create a script to automate /goldengate file system creation on AIX npe servers "/>
    <n v="3"/>
    <s v="Venkatesh"/>
    <x v="1"/>
    <x v="1"/>
    <x v="0"/>
  </r>
  <r>
    <s v="398"/>
    <s v="INFAOP-398"/>
    <x v="0"/>
    <s v="PXIBM208 Frame Rebuild - Phase 1"/>
    <n v="3"/>
    <s v="Azmath"/>
    <x v="1"/>
    <x v="1"/>
    <x v="0"/>
  </r>
  <r>
    <s v="508"/>
    <s v="INFAOP-508"/>
    <x v="3"/>
    <s v="Patch Linux on Power hosts - admplpyum0009, tstplpvcx0001, tstplpvcx0002"/>
    <n v="3"/>
    <s v="Santosh"/>
    <x v="1"/>
    <x v="1"/>
    <x v="1"/>
  </r>
  <r>
    <s v="509"/>
    <s v="INFAOP-509"/>
    <x v="0"/>
    <s v="Update NPE PowerVC to 1.4.0.1"/>
    <n v="3"/>
    <s v="Santosh"/>
    <x v="1"/>
    <x v="1"/>
    <x v="0"/>
  </r>
  <r>
    <s v="519"/>
    <s v="INFAOP-519"/>
    <x v="1"/>
    <s v="AIX Live update testing-Muqtadir"/>
    <n v="3"/>
    <s v="Muqtadir"/>
    <x v="1"/>
    <x v="1"/>
    <x v="1"/>
  </r>
  <r>
    <s v="520"/>
    <s v="INFAOP-520"/>
    <x v="3"/>
    <s v="Fix DMP paths on servers-All storage-All paths"/>
    <n v="3"/>
    <s v="Muqtadir"/>
    <x v="1"/>
    <x v="1"/>
    <x v="1"/>
  </r>
  <r>
    <s v="526"/>
    <s v="INFAOP-526"/>
    <x v="0"/>
    <s v="VIO's Q1 2018 Patching - PXIBM100/103/104/105"/>
    <n v="5"/>
    <s v="Jasim"/>
    <x v="1"/>
    <x v="1"/>
    <x v="0"/>
  </r>
  <r>
    <s v="530"/>
    <s v="INFAOP-530"/>
    <x v="0"/>
    <s v="VIO's Q1 2018 Patching - PXIBM106/107/108/110"/>
    <n v="5"/>
    <s v="Jasim"/>
    <x v="1"/>
    <x v="1"/>
    <x v="0"/>
  </r>
  <r>
    <s v="536"/>
    <s v="INFAOP-536"/>
    <x v="0"/>
    <s v="VIO's Q1 2018 Patching - PXIBM112/201 and TTIBM601"/>
    <n v="5"/>
    <s v="Muqtadir"/>
    <x v="1"/>
    <x v="1"/>
    <x v="0"/>
  </r>
  <r>
    <s v="537"/>
    <s v="INFAOP-537"/>
    <x v="0"/>
    <s v="VIO's Q1 2018 Patching - PXIBM113/202 and TTIBM602/605/607"/>
    <n v="5"/>
    <s v="Muqtadir"/>
    <x v="1"/>
    <x v="1"/>
    <x v="0"/>
  </r>
  <r>
    <s v="538"/>
    <s v="INFAOP-538"/>
    <x v="0"/>
    <s v="VIO's Q1 2018 Patching - PXIBM114/203 and TTIBM603"/>
    <n v="3"/>
    <s v="Muqtadir"/>
    <x v="1"/>
    <x v="0"/>
    <x v="0"/>
  </r>
  <r>
    <s v="548"/>
    <s v="INFAOP-548"/>
    <x v="0"/>
    <s v="VIO's Q1 2018 Patching - PXIBM208/209/210/111"/>
    <n v="3"/>
    <s v="Jasim"/>
    <x v="1"/>
    <x v="0"/>
    <x v="0"/>
  </r>
  <r>
    <s v="577"/>
    <s v="INFAOP-577"/>
    <x v="0"/>
    <s v="AIX upgrade from 6.1 to 7.2 - 22 NPE servers"/>
    <n v="5"/>
    <s v="Venkatesh"/>
    <x v="1"/>
    <x v="1"/>
    <x v="0"/>
  </r>
  <r>
    <s v="582"/>
    <s v="INFAOP-582"/>
    <x v="0"/>
    <s v="L2-L3 migration for Passive RPX database servers"/>
    <n v="3"/>
    <s v="Azmath"/>
    <x v="1"/>
    <x v="1"/>
    <x v="0"/>
  </r>
  <r>
    <s v="586"/>
    <s v="INFAOP-586"/>
    <x v="2"/>
    <s v="L2-L3 migration for Active CPRF database servers"/>
    <n v="3"/>
    <s v="Azmath"/>
    <x v="1"/>
    <x v="1"/>
    <x v="1"/>
  </r>
  <r>
    <s v="590"/>
    <s v="INFAOP-590"/>
    <x v="0"/>
    <s v="AIX new build server approvals - Sprint 3/12"/>
    <n v="1"/>
    <s v="Santosh"/>
    <x v="1"/>
    <x v="1"/>
    <x v="0"/>
  </r>
  <r>
    <s v="591"/>
    <s v="INFAOP-591"/>
    <x v="0"/>
    <s v="Qualys Agent deployment on AIX servers - Sprint 3/12"/>
    <n v="2"/>
    <s v="Santosh"/>
    <x v="1"/>
    <x v="1"/>
    <x v="0"/>
  </r>
  <r>
    <s v="592"/>
    <s v="INFAOP-592"/>
    <x v="0"/>
    <s v="AIX On Call - Sprint 3/12"/>
    <n v="3"/>
    <m/>
    <x v="1"/>
    <x v="1"/>
    <x v="0"/>
  </r>
  <r>
    <s v="594"/>
    <s v="INFAOP-594"/>
    <x v="0"/>
    <s v="Veritas upgrade to 7.3 on stand alone system  tstsposx101."/>
    <n v="3"/>
    <s v="Muqtadir"/>
    <x v="1"/>
    <x v="0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49">
  <r>
    <s v="574"/>
    <s v="INFUOP-574"/>
    <x v="0"/>
    <s v="Solaris Auto Service Request (ASR) cleanups "/>
    <n v="2"/>
    <s v="Ramesh"/>
    <x v="0"/>
    <x v="0"/>
    <x v="0"/>
  </r>
  <r>
    <s v="579"/>
    <s v="INFUOP-579"/>
    <x v="0"/>
    <s v="upgrading Enterprise Manager Ops Center- Solaris "/>
    <n v="3"/>
    <s v="Ramesh"/>
    <x v="0"/>
    <x v="1"/>
    <x v="0"/>
  </r>
  <r>
    <s v="776"/>
    <s v="INFUOP-776"/>
    <x v="1"/>
    <s v="Solaris Q2 patches"/>
    <n v="2"/>
    <s v="Rakesh"/>
    <x v="0"/>
    <x v="0"/>
    <x v="1"/>
  </r>
  <r>
    <s v="881"/>
    <s v="INFUOP-881"/>
    <x v="1"/>
    <s v="Set of iLOs missing DNS records are identified - Add DNS Host Records "/>
    <n v="2"/>
    <s v="Bhuvan"/>
    <x v="0"/>
    <x v="0"/>
    <x v="1"/>
  </r>
  <r>
    <s v="886"/>
    <s v="INFUOP-886"/>
    <x v="0"/>
    <s v="LINUX oncall Sprint 3_26"/>
    <n v="3"/>
    <m/>
    <x v="0"/>
    <x v="0"/>
    <x v="0"/>
  </r>
  <r>
    <s v="901"/>
    <s v="INFUOP-901"/>
    <x v="2"/>
    <s v="Hadoop /opt remediation "/>
    <n v="3"/>
    <s v="Mammar"/>
    <x v="0"/>
    <x v="0"/>
    <x v="1"/>
  </r>
  <r>
    <s v="908"/>
    <s v="INFUOP-908"/>
    <x v="0"/>
    <s v="Fail over test for NFSv4 on Isilon"/>
    <n v="2"/>
    <s v="Venkatesh"/>
    <x v="0"/>
    <x v="0"/>
    <x v="0"/>
  </r>
  <r>
    <s v="910"/>
    <s v="INFUOP-910"/>
    <x v="2"/>
    <s v="NAS Firewall Standardization Document "/>
    <n v="3"/>
    <s v="Mammar"/>
    <x v="0"/>
    <x v="0"/>
    <x v="1"/>
  </r>
  <r>
    <s v="911"/>
    <s v="INFUOP-911"/>
    <x v="0"/>
    <s v="SNMP/r-commands vulnerability on Solaris "/>
    <n v="2"/>
    <s v="Rakesh"/>
    <x v="0"/>
    <x v="0"/>
    <x v="0"/>
  </r>
  <r>
    <s v="912"/>
    <s v="INFUOP-912"/>
    <x v="0"/>
    <s v="Engineering - iLO Integration with LDAP [ POC ]"/>
    <n v="2"/>
    <s v="Bhuvan"/>
    <x v="0"/>
    <x v="0"/>
    <x v="0"/>
  </r>
  <r>
    <s v="913"/>
    <s v="INFUOP-913"/>
    <x v="0"/>
    <s v="Testing Linux Patch set for Q2 2018"/>
    <n v="2"/>
    <s v="Prabal"/>
    <x v="0"/>
    <x v="0"/>
    <x v="0"/>
  </r>
  <r>
    <s v="914"/>
    <s v="INFUOP-914"/>
    <x v="0"/>
    <s v="Update patch-set document for Q2 2018"/>
    <n v="1"/>
    <s v="Prabal"/>
    <x v="0"/>
    <x v="0"/>
    <x v="0"/>
  </r>
  <r>
    <s v="915"/>
    <s v="INFUOP-915"/>
    <x v="0"/>
    <s v="Clear Stale Mounts"/>
    <n v="3"/>
    <s v="Mammar"/>
    <x v="0"/>
    <x v="0"/>
    <x v="0"/>
  </r>
  <r>
    <s v="916"/>
    <s v="INFUOP-916"/>
    <x v="0"/>
    <s v="Dell IDRAC Standards DOC Phase 2"/>
    <n v="3"/>
    <s v="Rakesh"/>
    <x v="0"/>
    <x v="0"/>
    <x v="0"/>
  </r>
  <r>
    <s v="917"/>
    <s v="INFUOP-917"/>
    <x v="0"/>
    <s v="POC - VM Snapshot  using PowerCLI"/>
    <n v="2"/>
    <s v="Bhuvan"/>
    <x v="0"/>
    <x v="0"/>
    <x v="0"/>
  </r>
  <r>
    <s v="918"/>
    <s v="INFUOP-918"/>
    <x v="0"/>
    <s v="Qualys agent on linux _Sprint 2_26"/>
    <n v="2"/>
    <s v="Ramesh"/>
    <x v="0"/>
    <x v="0"/>
    <x v="0"/>
  </r>
  <r>
    <s v="919"/>
    <s v="INFUOP-919"/>
    <x v="0"/>
    <s v="New Server Approvals - Sprint 3/26"/>
    <n v="3"/>
    <s v="Jon"/>
    <x v="0"/>
    <x v="0"/>
    <x v="0"/>
  </r>
  <r>
    <s v="920"/>
    <s v="INFUOP-920"/>
    <x v="0"/>
    <s v="OSR Migration Project Sprint 3/26"/>
    <n v="1"/>
    <s v="Jon"/>
    <x v="0"/>
    <x v="0"/>
    <x v="0"/>
  </r>
  <r>
    <s v="922"/>
    <s v="INFUOP-922"/>
    <x v="0"/>
    <s v="Master Depot/NFS/Infra Replication Re architecture"/>
    <n v="3"/>
    <s v="Jon"/>
    <x v="0"/>
    <x v="0"/>
    <x v="0"/>
  </r>
  <r>
    <s v="923"/>
    <s v="INFUOP-923"/>
    <x v="0"/>
    <s v="Q2 Platform Document (LINUX)"/>
    <n v="2"/>
    <s v="Jon"/>
    <x v="0"/>
    <x v="0"/>
    <x v="0"/>
  </r>
  <r>
    <s v="925"/>
    <s v="INFUOP-925"/>
    <x v="0"/>
    <s v="DNS migration - manual effort to fix on leftover servers "/>
    <n v="1"/>
    <s v="Ramesh"/>
    <x v="0"/>
    <x v="0"/>
    <x v="0"/>
  </r>
  <r>
    <s v="927"/>
    <s v="INFUOP-927"/>
    <x v="0"/>
    <s v="Storage Request on Rephub servers -reppldfrh0052/053"/>
    <n v="2"/>
    <s v="Ramesh"/>
    <x v="0"/>
    <x v="1"/>
    <x v="0"/>
  </r>
  <r>
    <s v="928"/>
    <s v="INFUOP-928"/>
    <x v="0"/>
    <s v="Provide list of VCS clients "/>
    <n v="1"/>
    <s v="Mammar"/>
    <x v="0"/>
    <x v="1"/>
    <x v="0"/>
  </r>
  <r>
    <s v="930"/>
    <s v="INFUOP-930"/>
    <x v="1"/>
    <s v="Upgrade VIOM MH from 7.1 --&gt; 7.3 "/>
    <n v="3"/>
    <s v="Mammar"/>
    <x v="0"/>
    <x v="1"/>
    <x v="1"/>
  </r>
  <r>
    <s v="194"/>
    <s v="INFAOP-194"/>
    <x v="2"/>
    <s v="Automated capacity management - Not able to get recommended EC-VP Values"/>
    <n v="5"/>
    <s v="Santosh"/>
    <x v="1"/>
    <x v="0"/>
    <x v="1"/>
  </r>
  <r>
    <s v="196"/>
    <s v="INFAOP-196"/>
    <x v="0"/>
    <s v="ITM - Remediate offline ITM agents"/>
    <n v="5"/>
    <s v="Venkatesh"/>
    <x v="1"/>
    <x v="0"/>
    <x v="0"/>
  </r>
  <r>
    <s v="199"/>
    <s v="INFAOP-199"/>
    <x v="0"/>
    <s v="Veritas upgrade using alt_disk_install method"/>
    <n v="5"/>
    <s v="Muqtadir"/>
    <x v="1"/>
    <x v="0"/>
    <x v="0"/>
  </r>
  <r>
    <s v="380"/>
    <s v="INFAOP-380"/>
    <x v="0"/>
    <s v="Test - LDAP Integration with HMC"/>
    <n v="3"/>
    <s v="Bhuvan"/>
    <x v="1"/>
    <x v="0"/>
    <x v="0"/>
  </r>
  <r>
    <s v="399"/>
    <s v="INFAOP-399"/>
    <x v="0"/>
    <s v="Disabling &quot;critical&quot; parameter on SFHA AIX cluster servers for all Disk groups"/>
    <n v="3"/>
    <s v="Venkatesh"/>
    <x v="1"/>
    <x v="0"/>
    <x v="0"/>
  </r>
  <r>
    <s v="445"/>
    <s v="INFAOP-445"/>
    <x v="3"/>
    <s v="TTIBM605 Frame Rebuild-Phase 2"/>
    <n v="5"/>
    <s v="Muqtadir"/>
    <x v="1"/>
    <x v="1"/>
    <x v="1"/>
  </r>
  <r>
    <s v="508"/>
    <s v="INFAOP-508"/>
    <x v="0"/>
    <s v="Patch Linux on Power hosts - admplpyum0009, tstplpvcx0001, tstplpvcx0002"/>
    <n v="3"/>
    <s v="Santosh"/>
    <x v="1"/>
    <x v="0"/>
    <x v="0"/>
  </r>
  <r>
    <s v="520"/>
    <s v="INFAOP-520"/>
    <x v="1"/>
    <s v="Fix DMP paths on servers-All storage-All paths"/>
    <n v="3"/>
    <s v="Muqtadir"/>
    <x v="1"/>
    <x v="0"/>
    <x v="1"/>
  </r>
  <r>
    <s v="539"/>
    <s v="INFAOP-539"/>
    <x v="0"/>
    <s v="VIO's Q1 2018 Patching - PXIBM115/204 and TTIBM604"/>
    <n v="3"/>
    <s v="Muqtadir"/>
    <x v="1"/>
    <x v="0"/>
    <x v="0"/>
  </r>
  <r>
    <s v="540"/>
    <s v="INFAOP-540"/>
    <x v="0"/>
    <s v="VIO's Q1 2018 Patching - PXIBM213/260/261 and TTIBM608"/>
    <n v="3"/>
    <s v="Jasim"/>
    <x v="1"/>
    <x v="1"/>
    <x v="0"/>
  </r>
  <r>
    <s v="555"/>
    <s v="INFAOP-555"/>
    <x v="0"/>
    <s v="VIO's Q1 2018 Patching - PXIBM214/215/211/212"/>
    <n v="3"/>
    <s v="Jasim"/>
    <x v="1"/>
    <x v="0"/>
    <x v="0"/>
  </r>
  <r>
    <s v="560"/>
    <s v="INFAOP-560"/>
    <x v="0"/>
    <s v="VIO's Q1 2018 Patching - PXIBM205/206/116"/>
    <n v="3"/>
    <s v="Jasim"/>
    <x v="1"/>
    <x v="1"/>
    <x v="0"/>
  </r>
  <r>
    <s v="570"/>
    <s v="INFAOP-570"/>
    <x v="0"/>
    <s v="VIO's Q1 2018 Patching - TTIBM609/610/611/612"/>
    <n v="3"/>
    <s v="Jasim"/>
    <x v="1"/>
    <x v="0"/>
    <x v="0"/>
  </r>
  <r>
    <s v="586"/>
    <s v="INFAOP-586"/>
    <x v="0"/>
    <s v="L2-L3 migration for Active CPRF database servers"/>
    <n v="3"/>
    <s v="Azmath"/>
    <x v="1"/>
    <x v="0"/>
    <x v="0"/>
  </r>
  <r>
    <s v="598"/>
    <s v="INFAOP-598"/>
    <x v="2"/>
    <s v="Investigate the missing ITM data for listed servers"/>
    <n v="3"/>
    <s v="Azmath"/>
    <x v="1"/>
    <x v="0"/>
    <x v="1"/>
  </r>
  <r>
    <s v="600"/>
    <s v="INFAOP-600"/>
    <x v="0"/>
    <s v="Define Q2 2018 AIX platform standards"/>
    <n v="3"/>
    <s v="Santosh"/>
    <x v="1"/>
    <x v="0"/>
    <x v="0"/>
  </r>
  <r>
    <s v="601"/>
    <s v="INFAOP-601"/>
    <x v="1"/>
    <s v="Update AIX Patching automation script for Q2 2018 standard"/>
    <n v="3"/>
    <s v="Bhuvan"/>
    <x v="1"/>
    <x v="0"/>
    <x v="1"/>
  </r>
  <r>
    <s v="605"/>
    <s v="INFAOP-605"/>
    <x v="1"/>
    <s v="update Automated capacity management threshold settings - CPU,Memory and AME"/>
    <n v="3"/>
    <s v="Azmath"/>
    <x v="1"/>
    <x v="0"/>
    <x v="1"/>
  </r>
  <r>
    <s v="611"/>
    <s v="INFAOP-611"/>
    <x v="0"/>
    <s v="Investigate/Decom Systems over 1 year wo/patching"/>
    <n v="2"/>
    <s v="Venkatesh"/>
    <x v="1"/>
    <x v="0"/>
    <x v="0"/>
  </r>
  <r>
    <s v="612"/>
    <s v="INFAOP-612"/>
    <x v="0"/>
    <s v="Minotaur firmware upgrade NPE"/>
    <n v="3"/>
    <s v="Azmath"/>
    <x v="1"/>
    <x v="0"/>
    <x v="0"/>
  </r>
  <r>
    <s v="613"/>
    <s v="INFAOP-613"/>
    <x v="0"/>
    <s v="Minotaur firmware upgrade PROD"/>
    <n v="2"/>
    <s v="Azmath"/>
    <x v="1"/>
    <x v="0"/>
    <x v="0"/>
  </r>
  <r>
    <s v="614"/>
    <s v="INFAOP-614"/>
    <x v="0"/>
    <s v="L2-L3 migration for PROD SCMS DB  Servers"/>
    <n v="3"/>
    <s v="Azmath"/>
    <x v="1"/>
    <x v="1"/>
    <x v="0"/>
  </r>
  <r>
    <s v="618"/>
    <s v="INFAOP-618"/>
    <x v="0"/>
    <s v="AIX-Oncall-2018_03_27"/>
    <n v="3"/>
    <m/>
    <x v="1"/>
    <x v="0"/>
    <x v="0"/>
  </r>
  <r>
    <s v="620"/>
    <s v="INFAOP-620"/>
    <x v="0"/>
    <s v="AIX new build server approvals - Sprint 3/27"/>
    <n v="1"/>
    <s v="Santosh"/>
    <x v="1"/>
    <x v="0"/>
    <x v="0"/>
  </r>
  <r>
    <s v="621"/>
    <s v="INFAOP-621"/>
    <x v="0"/>
    <s v="Qualys Agent deployment on AIX servers - Sprint 3/27"/>
    <n v="1"/>
    <s v="Santosh"/>
    <x v="1"/>
    <x v="0"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56">
  <r>
    <s v="194"/>
    <s v="INFAOP-194"/>
    <x v="0"/>
    <x v="0"/>
    <n v="5"/>
    <x v="0"/>
    <x v="0"/>
    <x v="0"/>
    <x v="0"/>
  </r>
  <r>
    <s v="445"/>
    <s v="INFAOP-445"/>
    <x v="1"/>
    <x v="1"/>
    <n v="5"/>
    <x v="1"/>
    <x v="0"/>
    <x v="0"/>
    <x v="0"/>
  </r>
  <r>
    <s v="520"/>
    <s v="INFAOP-520"/>
    <x v="2"/>
    <x v="2"/>
    <n v="3"/>
    <x v="1"/>
    <x v="0"/>
    <x v="0"/>
    <x v="1"/>
  </r>
  <r>
    <s v="523"/>
    <s v="INFAOP-523"/>
    <x v="3"/>
    <x v="3"/>
    <n v="3"/>
    <x v="0"/>
    <x v="0"/>
    <x v="0"/>
    <x v="0"/>
  </r>
  <r>
    <s v="598"/>
    <s v="INFAOP-598"/>
    <x v="3"/>
    <x v="4"/>
    <n v="3"/>
    <x v="2"/>
    <x v="0"/>
    <x v="0"/>
    <x v="0"/>
  </r>
  <r>
    <s v="601"/>
    <s v="INFAOP-601"/>
    <x v="2"/>
    <x v="5"/>
    <n v="3"/>
    <x v="3"/>
    <x v="0"/>
    <x v="0"/>
    <x v="1"/>
  </r>
  <r>
    <s v="605"/>
    <s v="INFAOP-605"/>
    <x v="2"/>
    <x v="6"/>
    <n v="3"/>
    <x v="2"/>
    <x v="0"/>
    <x v="0"/>
    <x v="1"/>
  </r>
  <r>
    <s v="626"/>
    <s v="INFAOP-626"/>
    <x v="3"/>
    <x v="7"/>
    <n v="2"/>
    <x v="1"/>
    <x v="0"/>
    <x v="0"/>
    <x v="0"/>
  </r>
  <r>
    <s v="631"/>
    <s v="INFAOP-631"/>
    <x v="2"/>
    <x v="8"/>
    <n v="2"/>
    <x v="4"/>
    <x v="0"/>
    <x v="0"/>
    <x v="1"/>
  </r>
  <r>
    <s v="634"/>
    <s v="INFAOP-634"/>
    <x v="2"/>
    <x v="9"/>
    <n v="3"/>
    <x v="5"/>
    <x v="0"/>
    <x v="0"/>
    <x v="1"/>
  </r>
  <r>
    <s v="635"/>
    <s v="INFAOP-635"/>
    <x v="0"/>
    <x v="10"/>
    <n v="3"/>
    <x v="2"/>
    <x v="0"/>
    <x v="0"/>
    <x v="0"/>
  </r>
  <r>
    <s v="636"/>
    <s v="INFAOP-636"/>
    <x v="3"/>
    <x v="11"/>
    <n v="2"/>
    <x v="2"/>
    <x v="0"/>
    <x v="0"/>
    <x v="0"/>
  </r>
  <r>
    <s v="638"/>
    <s v="INFAOP-638"/>
    <x v="2"/>
    <x v="12"/>
    <n v="5"/>
    <x v="6"/>
    <x v="0"/>
    <x v="0"/>
    <x v="1"/>
  </r>
  <r>
    <s v="639"/>
    <s v="INFAOP-639"/>
    <x v="2"/>
    <x v="13"/>
    <n v="2"/>
    <x v="3"/>
    <x v="0"/>
    <x v="0"/>
    <x v="1"/>
  </r>
  <r>
    <s v="640"/>
    <s v="INFAOP-640"/>
    <x v="2"/>
    <x v="14"/>
    <n v="2"/>
    <x v="3"/>
    <x v="0"/>
    <x v="0"/>
    <x v="1"/>
  </r>
  <r>
    <s v="641"/>
    <s v="INFAOP-641"/>
    <x v="2"/>
    <x v="15"/>
    <n v="1"/>
    <x v="0"/>
    <x v="0"/>
    <x v="0"/>
    <x v="1"/>
  </r>
  <r>
    <s v="643"/>
    <s v="INFAOP-643"/>
    <x v="2"/>
    <x v="16"/>
    <n v="3"/>
    <x v="5"/>
    <x v="0"/>
    <x v="0"/>
    <x v="1"/>
  </r>
  <r>
    <s v="644"/>
    <s v="INFAOP-644"/>
    <x v="2"/>
    <x v="17"/>
    <n v="3"/>
    <x v="4"/>
    <x v="0"/>
    <x v="0"/>
    <x v="1"/>
  </r>
  <r>
    <s v="646"/>
    <s v="INFAOP-646"/>
    <x v="2"/>
    <x v="18"/>
    <n v="3"/>
    <x v="1"/>
    <x v="0"/>
    <x v="0"/>
    <x v="1"/>
  </r>
  <r>
    <s v="651"/>
    <s v="INFAOP-651"/>
    <x v="2"/>
    <x v="19"/>
    <n v="3"/>
    <x v="3"/>
    <x v="0"/>
    <x v="1"/>
    <x v="1"/>
  </r>
  <r>
    <s v="653"/>
    <s v="INFAOP-653"/>
    <x v="2"/>
    <x v="20"/>
    <n v="3"/>
    <x v="5"/>
    <x v="0"/>
    <x v="1"/>
    <x v="1"/>
  </r>
  <r>
    <s v="654"/>
    <s v="INFAOP-654"/>
    <x v="2"/>
    <x v="21"/>
    <n v="5"/>
    <x v="2"/>
    <x v="0"/>
    <x v="1"/>
    <x v="1"/>
  </r>
  <r>
    <s v="655"/>
    <s v="INFAOP-655"/>
    <x v="2"/>
    <x v="22"/>
    <n v="3"/>
    <x v="4"/>
    <x v="0"/>
    <x v="1"/>
    <x v="1"/>
  </r>
  <r>
    <s v="656"/>
    <s v="INFAOP-656"/>
    <x v="2"/>
    <x v="23"/>
    <n v="3"/>
    <x v="1"/>
    <x v="0"/>
    <x v="1"/>
    <x v="1"/>
  </r>
  <r>
    <s v="657"/>
    <s v="INFAOP-657"/>
    <x v="2"/>
    <x v="24"/>
    <n v="5"/>
    <x v="0"/>
    <x v="0"/>
    <x v="1"/>
    <x v="1"/>
  </r>
  <r>
    <s v="658"/>
    <s v="INFAOP-658"/>
    <x v="0"/>
    <x v="25"/>
    <n v="1"/>
    <x v="4"/>
    <x v="0"/>
    <x v="1"/>
    <x v="0"/>
  </r>
  <r>
    <s v="659"/>
    <s v="INFAOP-659"/>
    <x v="2"/>
    <x v="26"/>
    <n v="3"/>
    <x v="5"/>
    <x v="0"/>
    <x v="1"/>
    <x v="1"/>
  </r>
  <r>
    <s v="660"/>
    <s v="INFAOP-660"/>
    <x v="2"/>
    <x v="27"/>
    <n v="5"/>
    <x v="5"/>
    <x v="0"/>
    <x v="1"/>
    <x v="1"/>
  </r>
  <r>
    <s v="661"/>
    <s v="INFAOP-661"/>
    <x v="2"/>
    <x v="28"/>
    <n v="3"/>
    <x v="0"/>
    <x v="0"/>
    <x v="1"/>
    <x v="1"/>
  </r>
  <r>
    <s v="731"/>
    <s v="INFUOP-731"/>
    <x v="2"/>
    <x v="29"/>
    <n v="3"/>
    <x v="3"/>
    <x v="1"/>
    <x v="0"/>
    <x v="1"/>
  </r>
  <r>
    <s v="897"/>
    <s v="INFUOP-897"/>
    <x v="2"/>
    <x v="30"/>
    <n v="2"/>
    <x v="5"/>
    <x v="1"/>
    <x v="0"/>
    <x v="1"/>
  </r>
  <r>
    <s v="901"/>
    <s v="INFUOP-901"/>
    <x v="1"/>
    <x v="31"/>
    <n v="3"/>
    <x v="7"/>
    <x v="1"/>
    <x v="0"/>
    <x v="0"/>
  </r>
  <r>
    <s v="904"/>
    <s v="INFUOP-904"/>
    <x v="3"/>
    <x v="32"/>
    <n v="3"/>
    <x v="5"/>
    <x v="1"/>
    <x v="0"/>
    <x v="0"/>
  </r>
  <r>
    <s v="926"/>
    <s v="INFUOP-926"/>
    <x v="3"/>
    <x v="33"/>
    <n v="3"/>
    <x v="7"/>
    <x v="1"/>
    <x v="0"/>
    <x v="0"/>
  </r>
  <r>
    <s v="930"/>
    <s v="INFUOP-930"/>
    <x v="2"/>
    <x v="34"/>
    <n v="3"/>
    <x v="7"/>
    <x v="1"/>
    <x v="0"/>
    <x v="1"/>
  </r>
  <r>
    <s v="931"/>
    <s v="INFUOP-931"/>
    <x v="3"/>
    <x v="35"/>
    <n v="3"/>
    <x v="5"/>
    <x v="1"/>
    <x v="0"/>
    <x v="0"/>
  </r>
  <r>
    <s v="935"/>
    <s v="INFUOP-935"/>
    <x v="0"/>
    <x v="36"/>
    <n v="3"/>
    <x v="8"/>
    <x v="1"/>
    <x v="0"/>
    <x v="0"/>
  </r>
  <r>
    <s v="937"/>
    <s v="INFUOP-937"/>
    <x v="2"/>
    <x v="37"/>
    <n v="2"/>
    <x v="9"/>
    <x v="1"/>
    <x v="0"/>
    <x v="1"/>
  </r>
  <r>
    <s v="938"/>
    <s v="INFUOP-938"/>
    <x v="2"/>
    <x v="38"/>
    <n v="2"/>
    <x v="8"/>
    <x v="1"/>
    <x v="0"/>
    <x v="1"/>
  </r>
  <r>
    <s v="939"/>
    <s v="INFUOP-939"/>
    <x v="2"/>
    <x v="39"/>
    <n v="5"/>
    <x v="8"/>
    <x v="1"/>
    <x v="0"/>
    <x v="1"/>
  </r>
  <r>
    <s v="941"/>
    <s v="INFUOP-941"/>
    <x v="0"/>
    <x v="40"/>
    <n v="5"/>
    <x v="9"/>
    <x v="1"/>
    <x v="0"/>
    <x v="0"/>
  </r>
  <r>
    <s v="942"/>
    <s v="INFUOP-942"/>
    <x v="2"/>
    <x v="41"/>
    <n v="2"/>
    <x v="3"/>
    <x v="1"/>
    <x v="0"/>
    <x v="1"/>
  </r>
  <r>
    <s v="945"/>
    <s v="INFUOP-945"/>
    <x v="0"/>
    <x v="42"/>
    <n v="2"/>
    <x v="3"/>
    <x v="1"/>
    <x v="0"/>
    <x v="1"/>
  </r>
  <r>
    <s v="946"/>
    <s v="INFUOP-946"/>
    <x v="2"/>
    <x v="43"/>
    <n v="2"/>
    <x v="10"/>
    <x v="1"/>
    <x v="0"/>
    <x v="1"/>
  </r>
  <r>
    <s v="947"/>
    <s v="INFUOP-947"/>
    <x v="0"/>
    <x v="44"/>
    <n v="1"/>
    <x v="10"/>
    <x v="1"/>
    <x v="0"/>
    <x v="1"/>
  </r>
  <r>
    <s v="948"/>
    <s v="INFUOP-948"/>
    <x v="0"/>
    <x v="45"/>
    <n v="2"/>
    <x v="3"/>
    <x v="1"/>
    <x v="0"/>
    <x v="1"/>
  </r>
  <r>
    <s v="949"/>
    <s v="INFUOP-949"/>
    <x v="2"/>
    <x v="46"/>
    <n v="3"/>
    <x v="3"/>
    <x v="1"/>
    <x v="0"/>
    <x v="1"/>
  </r>
  <r>
    <s v="950"/>
    <s v="INFUOP-950"/>
    <x v="1"/>
    <x v="47"/>
    <n v="3"/>
    <x v="8"/>
    <x v="1"/>
    <x v="0"/>
    <x v="0"/>
  </r>
  <r>
    <s v="952"/>
    <s v="INFUOP-952"/>
    <x v="2"/>
    <x v="48"/>
    <n v="3"/>
    <x v="9"/>
    <x v="1"/>
    <x v="1"/>
    <x v="1"/>
  </r>
  <r>
    <s v="954"/>
    <s v="INFUOP-954"/>
    <x v="2"/>
    <x v="49"/>
    <n v="3"/>
    <x v="3"/>
    <x v="1"/>
    <x v="0"/>
    <x v="1"/>
  </r>
  <r>
    <s v="955"/>
    <s v="INFUOP-955"/>
    <x v="2"/>
    <x v="50"/>
    <n v="3"/>
    <x v="11"/>
    <x v="1"/>
    <x v="0"/>
    <x v="1"/>
  </r>
  <r>
    <s v="956"/>
    <s v="INFUOP-956"/>
    <x v="2"/>
    <x v="51"/>
    <n v="1"/>
    <x v="11"/>
    <x v="1"/>
    <x v="0"/>
    <x v="1"/>
  </r>
  <r>
    <s v="957"/>
    <s v="INFUOP-957"/>
    <x v="3"/>
    <x v="52"/>
    <n v="2"/>
    <x v="0"/>
    <x v="1"/>
    <x v="0"/>
    <x v="0"/>
  </r>
  <r>
    <s v="961"/>
    <s v="INFUOP-961"/>
    <x v="2"/>
    <x v="53"/>
    <n v="1"/>
    <x v="9"/>
    <x v="1"/>
    <x v="1"/>
    <x v="1"/>
  </r>
  <r>
    <s v="965"/>
    <s v="INFUOP-965"/>
    <x v="2"/>
    <x v="54"/>
    <n v="2"/>
    <x v="8"/>
    <x v="1"/>
    <x v="1"/>
    <x v="1"/>
  </r>
  <r>
    <s v="969"/>
    <s v="INFUOP-969"/>
    <x v="2"/>
    <x v="55"/>
    <n v="1"/>
    <x v="9"/>
    <x v="1"/>
    <x v="1"/>
    <x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61">
  <r>
    <n v="182429"/>
    <s v="INFUOP-1129"/>
    <x v="0"/>
    <s v=" Informatica on-prem Project OS Pre-Requirements"/>
    <s v="VAnnapu"/>
    <n v="3"/>
    <x v="0"/>
    <x v="0"/>
    <x v="0"/>
  </r>
  <r>
    <n v="181933"/>
    <s v="INFUOP-1127"/>
    <x v="0"/>
    <s v="Blade firmware upgrade on prdtsaf201"/>
    <s v="VS"/>
    <n v="1"/>
    <x v="0"/>
    <x v="0"/>
    <x v="0"/>
  </r>
  <r>
    <n v="180283"/>
    <s v="INFUOP-1125"/>
    <x v="0"/>
    <s v=" SAN Migration - Linux - Week 24 [ July 09- 13 ]"/>
    <s v="RMalemp"/>
    <n v="3"/>
    <x v="0"/>
    <x v="1"/>
    <x v="0"/>
  </r>
  <r>
    <n v="180282"/>
    <s v="INFUOP-1124"/>
    <x v="0"/>
    <s v="UNIX Server Approvals - Sprint 2018-07-03"/>
    <s v="JChrist30"/>
    <n v="3"/>
    <x v="0"/>
    <x v="1"/>
    <x v="0"/>
  </r>
  <r>
    <n v="180281"/>
    <s v="INFUOP-1123"/>
    <x v="0"/>
    <s v="SAN Migration - Linux - Week 23 [ July 02- 06 ]"/>
    <s v="RMalemp"/>
    <n v="3"/>
    <x v="0"/>
    <x v="1"/>
    <x v="0"/>
  </r>
  <r>
    <n v="180325"/>
    <s v="INFUOP-1122"/>
    <x v="0"/>
    <s v="Q3 Patching Validation Script Update "/>
    <s v="Bhuvan"/>
    <n v="2"/>
    <x v="0"/>
    <x v="1"/>
    <x v="0"/>
  </r>
  <r>
    <n v="180585"/>
    <s v="INFUOP-1121"/>
    <x v="0"/>
    <s v="ON-CALL LINUX 2018-07-03"/>
    <s v="JChrist30"/>
    <n v="3"/>
    <x v="0"/>
    <x v="1"/>
    <x v="0"/>
  </r>
  <r>
    <n v="180318"/>
    <s v="INFUOP-1120"/>
    <x v="0"/>
    <s v="Puppetize Iptables for Hadoop_Dev"/>
    <s v="Mammar"/>
    <n v="3"/>
    <x v="0"/>
    <x v="1"/>
    <x v="0"/>
  </r>
  <r>
    <n v="180258"/>
    <s v="INFUOP-1119"/>
    <x v="0"/>
    <s v="Testing puppet module for netbackup upgrade 8.1 "/>
    <s v="Ramesh"/>
    <n v="3"/>
    <x v="0"/>
    <x v="1"/>
    <x v="0"/>
  </r>
  <r>
    <n v="180046"/>
    <s v="INFUOP-1118"/>
    <x v="0"/>
    <s v="Testing Linux Patch set for Q3 2018"/>
    <s v="Prabal"/>
    <n v="3"/>
    <x v="0"/>
    <x v="1"/>
    <x v="0"/>
  </r>
  <r>
    <n v="180045"/>
    <s v="INFUOP-1117"/>
    <x v="0"/>
    <s v="Publish Linux Patch Set Bundle for Q3 2018"/>
    <s v="Prabal"/>
    <n v="1"/>
    <x v="0"/>
    <x v="1"/>
    <x v="0"/>
  </r>
  <r>
    <n v="179970"/>
    <s v="INFUOP-1116"/>
    <x v="0"/>
    <s v="Apply puppet module (tmo_ops_packages) on Linux prod "/>
    <s v="RMalemp"/>
    <n v="1"/>
    <x v="0"/>
    <x v="1"/>
    <x v="0"/>
  </r>
  <r>
    <n v="179965"/>
    <s v="INFUOP-1115"/>
    <x v="1"/>
    <s v="Solaris Move metadata Library files to NAS share from local guest on all LDOM's"/>
    <s v="Rakesh"/>
    <n v="2"/>
    <x v="0"/>
    <x v="1"/>
    <x v="1"/>
  </r>
  <r>
    <n v="177877"/>
    <s v="INFUOP-1113"/>
    <x v="0"/>
    <s v="Q3 Solaris10/11 OS Patching - Testing"/>
    <s v="VAnnapu"/>
    <n v="3"/>
    <x v="0"/>
    <x v="1"/>
    <x v="0"/>
  </r>
  <r>
    <n v="177876"/>
    <s v="INFUOP-1112"/>
    <x v="0"/>
    <s v="Q3 Solaris OS Patching - update scripts"/>
    <s v="VAnnapu"/>
    <n v="3"/>
    <x v="0"/>
    <x v="1"/>
    <x v="0"/>
  </r>
  <r>
    <n v="162671"/>
    <s v="INFUOP-1014"/>
    <x v="2"/>
    <s v="Varonis POC Phase III"/>
    <s v="Prabal"/>
    <n v="3"/>
    <x v="0"/>
    <x v="1"/>
    <x v="1"/>
  </r>
  <r>
    <n v="154938"/>
    <s v="INFUOP-964"/>
    <x v="0"/>
    <s v="Clean up tmo_puppet_depotmaster.txt fact "/>
    <s v="MRashid"/>
    <n v="1"/>
    <x v="0"/>
    <x v="1"/>
    <x v="0"/>
  </r>
  <r>
    <n v="180291"/>
    <s v="INFAOP-803"/>
    <x v="0"/>
    <s v="ensure one alt_root_backup for all systems"/>
    <s v="Venkatesh"/>
    <n v="3"/>
    <x v="1"/>
    <x v="1"/>
    <x v="0"/>
  </r>
  <r>
    <n v="180630"/>
    <s v="INFAOP-802"/>
    <x v="0"/>
    <s v="Upgrade the vertias version on prdspgc801/802"/>
    <s v="MAbdul1"/>
    <n v="2"/>
    <x v="1"/>
    <x v="1"/>
    <x v="0"/>
  </r>
  <r>
    <n v="180634"/>
    <s v="INFAOP-801"/>
    <x v="0"/>
    <s v="Post-migration tasks "/>
    <s v="MAbdul1"/>
    <m/>
    <x v="1"/>
    <x v="1"/>
    <x v="0"/>
  </r>
  <r>
    <n v="180633"/>
    <s v="INFAOP-800"/>
    <x v="0"/>
    <s v="Maintenance tasks for L2-L3 migration "/>
    <s v="MAbdul1"/>
    <m/>
    <x v="1"/>
    <x v="1"/>
    <x v="0"/>
  </r>
  <r>
    <n v="180632"/>
    <s v="INFAOP-799"/>
    <x v="0"/>
    <s v="Prep-work for L2-L3 migration "/>
    <s v="MAbdul1"/>
    <m/>
    <x v="1"/>
    <x v="1"/>
    <x v="0"/>
  </r>
  <r>
    <n v="180631"/>
    <s v="INFAOP-798"/>
    <x v="0"/>
    <s v="L2-L3 migration for active CHUB servers."/>
    <s v="MAbdul1"/>
    <n v="3"/>
    <x v="1"/>
    <x v="1"/>
    <x v="0"/>
  </r>
  <r>
    <n v="180596"/>
    <s v="INFAOP-797"/>
    <x v="1"/>
    <s v="Fixing private vlan 132-133 on pxibm100"/>
    <s v="Muqtadir"/>
    <n v="3"/>
    <x v="1"/>
    <x v="1"/>
    <x v="1"/>
  </r>
  <r>
    <n v="180284"/>
    <s v="INFAOP-796"/>
    <x v="0"/>
    <s v="Q3 Patch Testing"/>
    <s v="AKhan130"/>
    <n v="3"/>
    <x v="1"/>
    <x v="1"/>
    <x v="0"/>
  </r>
  <r>
    <n v="180300"/>
    <s v="INFAOP-793"/>
    <x v="0"/>
    <s v="SAP HANA PoC - Planning"/>
    <s v="Santosh"/>
    <n v="3"/>
    <x v="1"/>
    <x v="1"/>
    <x v="0"/>
  </r>
  <r>
    <n v="180199"/>
    <s v="INFAOP-792"/>
    <x v="0"/>
    <s v="AIX-Oncall Sprint 7/3"/>
    <s v="VS"/>
    <n v="3"/>
    <x v="1"/>
    <x v="1"/>
    <x v="0"/>
  </r>
  <r>
    <n v="180198"/>
    <s v="INFAOP-791"/>
    <x v="0"/>
    <s v="Update IO adapter patching automation script for Q3 standard"/>
    <s v="Jasim"/>
    <n v="2"/>
    <x v="1"/>
    <x v="1"/>
    <x v="0"/>
  </r>
  <r>
    <n v="180197"/>
    <s v="INFAOP-790"/>
    <x v="0"/>
    <s v="VIOS Patching - 2018 Q3 - Polaris NPE"/>
    <s v="Jasim"/>
    <n v="3"/>
    <x v="1"/>
    <x v="1"/>
    <x v="0"/>
  </r>
  <r>
    <n v="180196"/>
    <s v="INFAOP-789"/>
    <x v="0"/>
    <s v="HMC upgrade to 8.8.7 and automate - pxhmc103a"/>
    <s v="Jasim"/>
    <n v="3"/>
    <x v="1"/>
    <x v="1"/>
    <x v="0"/>
  </r>
  <r>
    <n v="180195"/>
    <s v="INFAOP-788"/>
    <x v="0"/>
    <s v="HMC upgrade to 8.8.7 - pxhmc310a "/>
    <s v="MJasim"/>
    <n v="2"/>
    <x v="1"/>
    <x v="1"/>
    <x v="0"/>
  </r>
  <r>
    <n v="180194"/>
    <s v="INFAOP-787"/>
    <x v="0"/>
    <s v="AIX new build server approvals - Sprint 7/3"/>
    <s v="SPadiya1"/>
    <n v="1"/>
    <x v="1"/>
    <x v="1"/>
    <x v="0"/>
  </r>
  <r>
    <n v="179776"/>
    <s v="INFAOP-786"/>
    <x v="0"/>
    <s v="Q3 Patching Script Update"/>
    <s v="Bhuvan"/>
    <n v="5"/>
    <x v="1"/>
    <x v="1"/>
    <x v="0"/>
  </r>
  <r>
    <n v="180004"/>
    <s v="INFAOP-785"/>
    <x v="0"/>
    <s v="AIX SAN Migrations - 07/10/2018"/>
    <s v="VS"/>
    <n v="3"/>
    <x v="1"/>
    <x v="1"/>
    <x v="0"/>
  </r>
  <r>
    <n v="180003"/>
    <s v="INFAOP-784"/>
    <x v="0"/>
    <s v="AIX SAN Migrations - 07/03/2018"/>
    <s v="VS"/>
    <n v="3"/>
    <x v="1"/>
    <x v="1"/>
    <x v="0"/>
  </r>
  <r>
    <n v="179152"/>
    <s v="INFAOP-783"/>
    <x v="0"/>
    <s v="AIX Patch Pipe Line - Phase I"/>
    <s v="AKhan130"/>
    <n v="3"/>
    <x v="1"/>
    <x v="1"/>
    <x v="0"/>
  </r>
  <r>
    <n v="173030"/>
    <s v="INFAOP-759"/>
    <x v="0"/>
    <s v="VIO's Q1 2018 Patching - PXVXI260A/B"/>
    <s v="MJasim"/>
    <n v="3"/>
    <x v="1"/>
    <x v="1"/>
    <x v="0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s v=""/>
    <m/>
    <x v="3"/>
    <m/>
    <m/>
    <m/>
    <x v="2"/>
    <x v="1"/>
    <x v="1"/>
  </r>
  <r>
    <s v=""/>
    <m/>
    <x v="3"/>
    <m/>
    <m/>
    <m/>
    <x v="2"/>
    <x v="1"/>
    <x v="1"/>
  </r>
  <r>
    <s v=""/>
    <m/>
    <x v="3"/>
    <m/>
    <m/>
    <m/>
    <x v="2"/>
    <x v="1"/>
    <x v="1"/>
  </r>
  <r>
    <s v=""/>
    <m/>
    <x v="3"/>
    <m/>
    <m/>
    <m/>
    <x v="2"/>
    <x v="1"/>
    <x v="1"/>
  </r>
  <r>
    <s v=""/>
    <m/>
    <x v="3"/>
    <m/>
    <m/>
    <m/>
    <x v="2"/>
    <x v="1"/>
    <x v="1"/>
  </r>
  <r>
    <s v=""/>
    <m/>
    <x v="3"/>
    <m/>
    <m/>
    <m/>
    <x v="2"/>
    <x v="1"/>
    <x v="1"/>
  </r>
  <r>
    <s v=""/>
    <m/>
    <x v="3"/>
    <m/>
    <m/>
    <m/>
    <x v="2"/>
    <x v="1"/>
    <x v="1"/>
  </r>
  <r>
    <s v=""/>
    <m/>
    <x v="3"/>
    <m/>
    <m/>
    <m/>
    <x v="2"/>
    <x v="1"/>
    <x v="1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">
  <r>
    <n v="192309"/>
    <s v="INFUOP-1169"/>
    <x v="0"/>
    <s v="Splunk - recreate RAID6 Single Logical Drive - 21 TB"/>
    <s v="BMadasa1"/>
    <n v="1"/>
    <x v="0"/>
    <x v="0"/>
    <x v="0"/>
  </r>
  <r>
    <n v="192238"/>
    <s v="INFUOP-1168"/>
    <x v="0"/>
    <s v="Trobleshoot/update puppet module (Netbackup upgrade ) for NMnet servers "/>
    <s v="RMalemp"/>
    <n v="2"/>
    <x v="0"/>
    <x v="0"/>
    <x v="0"/>
  </r>
  <r>
    <n v="189001"/>
    <s v="INFUOP-1166"/>
    <x v="0"/>
    <s v="Fixing Dell Hard drive issues for Hadoop 4 servers."/>
    <s v="VAnnapu"/>
    <n v="3"/>
    <x v="0"/>
    <x v="0"/>
    <x v="0"/>
  </r>
  <r>
    <n v="187405"/>
    <s v="INFUOP-1163"/>
    <x v="0"/>
    <s v="Splunk Capacity re-add / reconfigure propose / design / hand off"/>
    <s v="JChrist30"/>
    <n v="1"/>
    <x v="0"/>
    <x v="1"/>
    <x v="0"/>
  </r>
  <r>
    <n v="187404"/>
    <s v="INFUOP-1162"/>
    <x v="1"/>
    <s v="expired KB article updates (2 KB article updates with Karen C.)"/>
    <s v="JChrist30"/>
    <n v="2"/>
    <x v="0"/>
    <x v="1"/>
    <x v="1"/>
  </r>
  <r>
    <n v="187403"/>
    <s v="INFUOP-1161"/>
    <x v="2"/>
    <s v="Linux Platform Standard - incorporate audit findings from Geoff Ansara's team"/>
    <s v="JChrist30"/>
    <n v="1"/>
    <x v="0"/>
    <x v="1"/>
    <x v="1"/>
  </r>
  <r>
    <n v="187402"/>
    <s v="INFUOP-1160"/>
    <x v="0"/>
    <s v="Linux corporate security standards document proposal review"/>
    <s v="JChrist30"/>
    <n v="2"/>
    <x v="0"/>
    <x v="1"/>
    <x v="0"/>
  </r>
  <r>
    <n v="187401"/>
    <s v="INFUOP-1159"/>
    <x v="0"/>
    <s v="ENGR AD Integration planning"/>
    <s v="JChrist30"/>
    <n v="1"/>
    <x v="0"/>
    <x v="1"/>
    <x v="0"/>
  </r>
  <r>
    <n v="187400"/>
    <s v="INFUOP-1158"/>
    <x v="0"/>
    <s v="New Server Build Approvals"/>
    <s v="JChrist30"/>
    <n v="2"/>
    <x v="0"/>
    <x v="1"/>
    <x v="0"/>
  </r>
  <r>
    <n v="187137"/>
    <s v="INFUOP-1156"/>
    <x v="0"/>
    <s v="HPE iLO NAND Remediation - POC"/>
    <s v="BMadasa1"/>
    <n v="2"/>
    <x v="0"/>
    <x v="1"/>
    <x v="0"/>
  </r>
  <r>
    <n v="186980"/>
    <s v="INFUOP-1155"/>
    <x v="2"/>
    <s v="Test Iptables new config on devehdpxxx"/>
    <s v="MRashid"/>
    <n v="3"/>
    <x v="0"/>
    <x v="0"/>
    <x v="1"/>
  </r>
  <r>
    <n v="186979"/>
    <s v="INFUOP-1153"/>
    <x v="0"/>
    <s v="Segregate iptables_rules.txt file from app and infrastructure devehdpxxx"/>
    <s v="MRashid"/>
    <n v="1"/>
    <x v="0"/>
    <x v="1"/>
    <x v="0"/>
  </r>
  <r>
    <n v="187129"/>
    <s v="INFUOP-1152"/>
    <x v="0"/>
    <s v="SAN Migration - Linux - Week 26 [ Jul 25 - 31 ]"/>
    <s v="BMadasa1"/>
    <n v="3"/>
    <x v="0"/>
    <x v="1"/>
    <x v="0"/>
  </r>
  <r>
    <n v="187127"/>
    <s v="INFUOP-1151"/>
    <x v="0"/>
    <s v="SAN Migration - Linux - Week 25 [ Jul 17 - 24 ]"/>
    <s v="BMadasa1"/>
    <n v="3"/>
    <x v="0"/>
    <x v="1"/>
    <x v="0"/>
  </r>
  <r>
    <n v="187014"/>
    <s v="INFUOP-1150"/>
    <x v="2"/>
    <s v="Troubleshooting Q3 Linux Patching Issues"/>
    <s v="PMalla2"/>
    <n v="2"/>
    <x v="0"/>
    <x v="1"/>
    <x v="0"/>
  </r>
  <r>
    <n v="186905"/>
    <s v="INFUOP-1149"/>
    <x v="0"/>
    <s v="Linux -oncall sprint 07/17"/>
    <s v="BMadasa1"/>
    <n v="5"/>
    <x v="0"/>
    <x v="1"/>
    <x v="0"/>
  </r>
  <r>
    <n v="186577"/>
    <s v="INFUOP-1145"/>
    <x v="0"/>
    <s v="Testing Veritas Infoscale 7.4 on RHEL 6.10 /  7.5 OS for Q4-2018 Patching"/>
    <s v="PMalla2"/>
    <n v="3"/>
    <x v="0"/>
    <x v="1"/>
    <x v="0"/>
  </r>
  <r>
    <n v="186327"/>
    <s v="INFUOP-1135"/>
    <x v="0"/>
    <s v="Segregate all_ipsets.txt file from app and infrastructure devehdpxxx"/>
    <s v="MRashid"/>
    <n v="1"/>
    <x v="0"/>
    <x v="1"/>
    <x v="0"/>
  </r>
  <r>
    <n v="186326"/>
    <s v="INFUOP-1134"/>
    <x v="3"/>
    <s v="Tibco TItan NAS Migration "/>
    <s v="MRashid"/>
    <n v="1"/>
    <x v="0"/>
    <x v="1"/>
    <x v="1"/>
  </r>
  <r>
    <n v="186325"/>
    <s v="INFUOP-1133"/>
    <x v="0"/>
    <s v="Iptables Power Point Presentation "/>
    <s v="MRashid"/>
    <n v="1"/>
    <x v="0"/>
    <x v="1"/>
    <x v="0"/>
  </r>
  <r>
    <n v="183358"/>
    <s v="INFUOP-1130"/>
    <x v="0"/>
    <s v="NAS  cleanup - File Systems migration to new network MPCS"/>
    <s v="VAnnapu"/>
    <n v="3"/>
    <x v="0"/>
    <x v="1"/>
    <x v="0"/>
  </r>
  <r>
    <n v="179965"/>
    <s v="INFUOP-1115"/>
    <x v="0"/>
    <s v="Solaris Move metadata Library files to NAS share from local guest on all LDOM's"/>
    <s v="VAnnapu"/>
    <n v="2"/>
    <x v="0"/>
    <x v="1"/>
    <x v="0"/>
  </r>
  <r>
    <n v="175163"/>
    <s v="INFUOP-1107"/>
    <x v="2"/>
    <s v="Auditing RPM DB issue on OEL 6 &amp; RH 6 Linux servers"/>
    <s v="VS"/>
    <n v="3"/>
    <x v="0"/>
    <x v="1"/>
    <x v="0"/>
  </r>
  <r>
    <n v="175162"/>
    <s v="INFUOP-1106"/>
    <x v="0"/>
    <s v="Health check script to monitor the puppet services "/>
    <s v="VS"/>
    <n v="3"/>
    <x v="0"/>
    <x v="1"/>
    <x v="0"/>
  </r>
  <r>
    <n v="172993"/>
    <s v="INFUOP-1088"/>
    <x v="0"/>
    <s v="Cleanup Decommissioned servers on CDOM-pxsun008"/>
    <s v="VAnnapu"/>
    <n v="2"/>
    <x v="0"/>
    <x v="1"/>
    <x v="0"/>
  </r>
  <r>
    <n v="161981"/>
    <s v="INFUOP-1007"/>
    <x v="0"/>
    <s v="Apply puppet module(VOM upgrade) on NPE "/>
    <s v="RMalemp"/>
    <n v="2"/>
    <x v="0"/>
    <x v="1"/>
    <x v="0"/>
  </r>
  <r>
    <n v="136378"/>
    <s v="INFUOP-767"/>
    <x v="0"/>
    <s v="Document Docker Standards for Linux - Initial Draft v1.0"/>
    <s v="VAnnapu"/>
    <n v="3"/>
    <x v="0"/>
    <x v="1"/>
    <x v="0"/>
  </r>
  <r>
    <n v="192308"/>
    <s v="INFAOP-825"/>
    <x v="1"/>
    <s v="AIX Patching Precheck Script - Update"/>
    <s v="BMadasa1"/>
    <n v="1"/>
    <x v="1"/>
    <x v="0"/>
    <x v="0"/>
  </r>
  <r>
    <n v="187319"/>
    <s v="INFAOP-824"/>
    <x v="0"/>
    <s v="Fix altroot backups"/>
    <s v="MAbdul1"/>
    <n v="2"/>
    <x v="1"/>
    <x v="1"/>
    <x v="0"/>
  </r>
  <r>
    <n v="187322"/>
    <s v="INFAOP-820"/>
    <x v="0"/>
    <s v="Upgrading veritas on prdspgc101/102"/>
    <s v="MAbdul1"/>
    <n v="2"/>
    <x v="1"/>
    <x v="1"/>
    <x v="0"/>
  </r>
  <r>
    <n v="187318"/>
    <s v="INFAOP-818"/>
    <x v="0"/>
    <s v="Fix alt_root backup on listed servers"/>
    <s v="AKhan130"/>
    <n v="2"/>
    <x v="1"/>
    <x v="1"/>
    <x v="0"/>
  </r>
  <r>
    <n v="186989"/>
    <s v="INFAOP-816"/>
    <x v="0"/>
    <s v="VIOS Patching - 2018 Q3 - Polaris NPE"/>
    <s v="MJasim"/>
    <n v="1"/>
    <x v="1"/>
    <x v="1"/>
    <x v="0"/>
  </r>
  <r>
    <n v="186857"/>
    <s v="INFAOP-815"/>
    <x v="2"/>
    <s v="AIX Patch Pipe Line - Phase II"/>
    <s v="AKhan130"/>
    <n v="3"/>
    <x v="1"/>
    <x v="1"/>
    <x v="1"/>
  </r>
  <r>
    <n v="186855"/>
    <s v="INFAOP-814"/>
    <x v="0"/>
    <s v="L2-L3 migration for listed servers"/>
    <s v="AKhan130"/>
    <n v="3"/>
    <x v="1"/>
    <x v="1"/>
    <x v="0"/>
  </r>
  <r>
    <n v="186845"/>
    <s v="INFAOP-813"/>
    <x v="0"/>
    <s v="AIX new build server approvals - Sprint 7/17"/>
    <s v="SPadiya1"/>
    <n v="1"/>
    <x v="1"/>
    <x v="1"/>
    <x v="0"/>
  </r>
  <r>
    <n v="186583"/>
    <s v="INFAOP-812"/>
    <x v="0"/>
    <s v="HMC Upgrade/Patch roll out (Version 8.8.6 to 8.8.7 SP1) "/>
    <s v="MJasim"/>
    <n v="2"/>
    <x v="1"/>
    <x v="1"/>
    <x v="0"/>
  </r>
  <r>
    <n v="186269"/>
    <s v="INFAOP-806"/>
    <x v="0"/>
    <s v="AIX SAN Migrations - 07/31/2018"/>
    <s v="VS"/>
    <n v="3"/>
    <x v="1"/>
    <x v="1"/>
    <x v="0"/>
  </r>
  <r>
    <n v="186268"/>
    <s v="INFAOP-805"/>
    <x v="0"/>
    <s v="AIX SAN Migrations - 07/24/2018"/>
    <s v="VS"/>
    <n v="3"/>
    <x v="1"/>
    <x v="1"/>
    <x v="0"/>
  </r>
  <r>
    <n v="180596"/>
    <s v="INFAOP-797"/>
    <x v="2"/>
    <s v="Fixing private vlan 132-133 on pxibm100"/>
    <s v="MAbdul1"/>
    <n v="3"/>
    <x v="1"/>
    <x v="1"/>
    <x v="1"/>
  </r>
  <r>
    <n v="180280"/>
    <s v="INFAOP-795"/>
    <x v="0"/>
    <s v="On-Call AIX On-Call AIX 2018-07-17"/>
    <s v="MAbdul1"/>
    <n v="3"/>
    <x v="1"/>
    <x v="1"/>
    <x v="0"/>
  </r>
  <r>
    <n v="153705"/>
    <s v="INFAOP-649"/>
    <x v="0"/>
    <s v="AIX patching script issues - ssh_setup_rsa_keys"/>
    <s v="BMadasa1"/>
    <n v="2"/>
    <x v="1"/>
    <x v="1"/>
    <x v="0"/>
  </r>
  <r>
    <n v="150931"/>
    <s v="INFAOP-624"/>
    <x v="1"/>
    <s v="automate maint_off after 7 days"/>
    <m/>
    <n v="2"/>
    <x v="1"/>
    <x v="1"/>
    <x v="1"/>
  </r>
  <r>
    <n v="147673"/>
    <s v="INFAOP-603"/>
    <x v="0"/>
    <s v="Create/Test HMC Upgrade automation script"/>
    <s v="MJasim"/>
    <n v="3"/>
    <x v="1"/>
    <x v="1"/>
    <x v="0"/>
  </r>
  <r>
    <n v="147672"/>
    <s v="INFAOP-602"/>
    <x v="0"/>
    <s v="Update/Test VIOS Patching automation scripts for Q3 2018 standards"/>
    <s v="MJasim"/>
    <n v="3"/>
    <x v="1"/>
    <x v="1"/>
    <x v="0"/>
  </r>
  <r>
    <n v="139794"/>
    <s v="INFAOP-513"/>
    <x v="2"/>
    <s v="Automate ASM lun migration"/>
    <s v="SPadiya1"/>
    <n v="3"/>
    <x v="1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s v=""/>
    <m/>
    <x v="4"/>
    <m/>
    <m/>
    <m/>
    <x v="2"/>
    <x v="1"/>
    <x v="1"/>
  </r>
  <r>
    <s v=""/>
    <m/>
    <x v="4"/>
    <m/>
    <m/>
    <m/>
    <x v="2"/>
    <x v="1"/>
    <x v="1"/>
  </r>
  <r>
    <s v=""/>
    <m/>
    <x v="4"/>
    <m/>
    <m/>
    <m/>
    <x v="2"/>
    <x v="1"/>
    <x v="1"/>
  </r>
  <r>
    <s v=""/>
    <m/>
    <x v="4"/>
    <m/>
    <m/>
    <m/>
    <x v="2"/>
    <x v="1"/>
    <x v="1"/>
  </r>
  <r>
    <s v=""/>
    <m/>
    <x v="4"/>
    <m/>
    <m/>
    <m/>
    <x v="2"/>
    <x v="1"/>
    <x v="1"/>
  </r>
  <r>
    <s v=""/>
    <m/>
    <x v="4"/>
    <m/>
    <m/>
    <m/>
    <x v="2"/>
    <x v="1"/>
    <x v="1"/>
  </r>
  <r>
    <s v=""/>
    <m/>
    <x v="4"/>
    <m/>
    <m/>
    <m/>
    <x v="2"/>
    <x v="1"/>
    <x v="1"/>
  </r>
  <r>
    <s v=""/>
    <m/>
    <x v="4"/>
    <m/>
    <m/>
    <m/>
    <x v="2"/>
    <x v="1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">
  <r>
    <n v="120591"/>
    <s v="INFAOP-194"/>
    <x v="0"/>
    <s v="Automated capacity management - Not able to get recommended EC-VP Values"/>
    <n v="5"/>
    <s v="Santosh"/>
    <x v="0"/>
    <x v="0"/>
    <x v="0"/>
  </r>
  <r>
    <n v="122880"/>
    <s v="INFAOP-289"/>
    <x v="1"/>
    <s v="ITM - missing data for HMC cpu and memory utilization"/>
    <n v="5"/>
    <s v="Santosh"/>
    <x v="0"/>
    <x v="0"/>
    <x v="1"/>
  </r>
  <r>
    <n v="132794"/>
    <s v="INFAOP-400"/>
    <x v="0"/>
    <s v="Balance the LPARS accross the frames tthmc601a"/>
    <n v="3"/>
    <s v="Jasim"/>
    <x v="0"/>
    <x v="0"/>
    <x v="0"/>
  </r>
  <r>
    <n v="139793"/>
    <s v="INFAOP-512"/>
    <x v="2"/>
    <s v="Automate LVM lun migration"/>
    <n v="5"/>
    <s v="Santosh"/>
    <x v="0"/>
    <x v="0"/>
    <x v="1"/>
  </r>
  <r>
    <n v="141394"/>
    <s v="INFAOP-523"/>
    <x v="3"/>
    <s v="YUM Implementation - configure YUM on AIX hosts"/>
    <n v="3"/>
    <s v="Santosh"/>
    <x v="0"/>
    <x v="0"/>
    <x v="1"/>
  </r>
  <r>
    <n v="151326"/>
    <s v="INFAOP-626"/>
    <x v="0"/>
    <s v="investigate high cpu utilization of frame PXIBM307"/>
    <n v="2"/>
    <s v="Santosh"/>
    <x v="0"/>
    <x v="0"/>
    <x v="0"/>
  </r>
  <r>
    <n v="156006"/>
    <s v="INFAOP-662"/>
    <x v="0"/>
    <s v="Veritas CVM , DG &amp; VxFS version upgrades along with Veritas upgrades"/>
    <n v="3"/>
    <s v="Santosh"/>
    <x v="0"/>
    <x v="0"/>
    <x v="0"/>
  </r>
  <r>
    <n v="155862"/>
    <s v="INFAOP-671"/>
    <x v="0"/>
    <s v="Patch production IBM frame firmware with Meltdown/Spectre fix - Batch1"/>
    <n v="2"/>
    <s v="Santosh"/>
    <x v="0"/>
    <x v="0"/>
    <x v="0"/>
  </r>
  <r>
    <n v="155861"/>
    <s v="INFAOP-672"/>
    <x v="0"/>
    <s v="Patch production IBM frame firmware with Meltdown/Spectre fix - Batch2"/>
    <n v="2"/>
    <s v="Santosh"/>
    <x v="0"/>
    <x v="0"/>
    <x v="0"/>
  </r>
  <r>
    <n v="160056"/>
    <s v="INFAOP-674"/>
    <x v="0"/>
    <s v="AIX new build server approvals - Sprint 5/8"/>
    <n v="1"/>
    <s v="Santosh"/>
    <x v="0"/>
    <x v="0"/>
    <x v="0"/>
  </r>
  <r>
    <n v="159941"/>
    <s v="INFAOP-675"/>
    <x v="0"/>
    <s v="AIX On-call 05/08 Sprint"/>
    <n v="5"/>
    <s v="Azmath"/>
    <x v="0"/>
    <x v="0"/>
    <x v="0"/>
  </r>
  <r>
    <n v="152518"/>
    <s v="INFAOP-681"/>
    <x v="0"/>
    <s v="Q2 patching on NIM servers using Liveupdate"/>
    <n v="2"/>
    <s v="Santosh"/>
    <x v="0"/>
    <x v="0"/>
    <x v="0"/>
  </r>
  <r>
    <n v="160405"/>
    <s v="INFAOP-682"/>
    <x v="0"/>
    <s v="AIX SAN Migration - 05/08/2018"/>
    <n v="3"/>
    <s v="Venkatesh"/>
    <x v="0"/>
    <x v="0"/>
    <x v="0"/>
  </r>
  <r>
    <n v="160407"/>
    <s v="INFAOP-683"/>
    <x v="0"/>
    <s v="AIX SAN Migration - 05/15/2018"/>
    <n v="3"/>
    <s v="Venkatesh"/>
    <x v="0"/>
    <x v="0"/>
    <x v="0"/>
  </r>
  <r>
    <n v="160410"/>
    <s v="INFAOP-684"/>
    <x v="0"/>
    <s v="Fix VXDMP Issues after Storage Migration "/>
    <n v="3"/>
    <s v="Venkatesh"/>
    <x v="0"/>
    <x v="0"/>
    <x v="0"/>
  </r>
  <r>
    <n v="160435"/>
    <s v="INFAOP-687"/>
    <x v="0"/>
    <s v="Remote TEMS not starting for admitmx105 * tstitmx302"/>
    <n v="3"/>
    <s v="Muqtadir"/>
    <x v="0"/>
    <x v="0"/>
    <x v="0"/>
  </r>
  <r>
    <n v="160436"/>
    <s v="INFAOP-688"/>
    <x v="0"/>
    <s v="Remote TEMS Warehouse Data row insertion failure"/>
    <n v="3"/>
    <s v="Muqtadir"/>
    <x v="0"/>
    <x v="0"/>
    <x v="0"/>
  </r>
  <r>
    <n v="161214"/>
    <s v="INFAOP-689"/>
    <x v="0"/>
    <s v="improve patch_frame_firmware_auto script"/>
    <n v="1"/>
    <s v="Santosh"/>
    <x v="0"/>
    <x v="1"/>
    <x v="0"/>
  </r>
  <r>
    <n v="161215"/>
    <s v="INFAOP-690"/>
    <x v="0"/>
    <s v="create automated script for frame firmware readiness"/>
    <n v="1"/>
    <s v="Santosh"/>
    <x v="0"/>
    <x v="1"/>
    <x v="0"/>
  </r>
  <r>
    <n v="162153"/>
    <s v="INFAOP-693"/>
    <x v="0"/>
    <s v="Blade firmware upgrade on stgplcmsv0001 "/>
    <n v="1"/>
    <s v="Venkatesh"/>
    <x v="0"/>
    <x v="1"/>
    <x v="0"/>
  </r>
  <r>
    <n v="162632"/>
    <s v="INFAOP-694"/>
    <x v="0"/>
    <s v="improve alt_root_backup"/>
    <n v="1"/>
    <s v="Santosh"/>
    <x v="0"/>
    <x v="1"/>
    <x v="0"/>
  </r>
  <r>
    <n v="164228"/>
    <s v="INFAOP-701"/>
    <x v="2"/>
    <s v="integrate upgrade_vx_elements to patching automation"/>
    <n v="2"/>
    <s v="Santosh"/>
    <x v="0"/>
    <x v="0"/>
    <x v="1"/>
  </r>
  <r>
    <n v="164229"/>
    <s v="INFAOP-702"/>
    <x v="1"/>
    <s v="Find solution for SAP agent not starting on VCS and integrate with patching automation"/>
    <n v="2"/>
    <s v="Santosh"/>
    <x v="0"/>
    <x v="0"/>
    <x v="1"/>
  </r>
  <r>
    <n v="117764"/>
    <s v="INFUOP-402"/>
    <x v="0"/>
    <s v="Linux Pre / Post Healthcheck script for Patching"/>
    <n v="3"/>
    <s v="Bhuvan"/>
    <x v="1"/>
    <x v="0"/>
    <x v="0"/>
  </r>
  <r>
    <n v="139970"/>
    <s v="INFUOP-839"/>
    <x v="0"/>
    <s v="Modify SSACLI scripting"/>
    <n v="3"/>
    <s v="Bhuvan"/>
    <x v="1"/>
    <x v="0"/>
    <x v="0"/>
  </r>
  <r>
    <n v="146625"/>
    <s v="INFUOP-906"/>
    <x v="0"/>
    <s v="patching Kevin Luu Servers - Solaris CDOM Servers"/>
    <n v="1"/>
    <s v="Prabal"/>
    <x v="1"/>
    <x v="0"/>
    <x v="0"/>
  </r>
  <r>
    <n v="152284"/>
    <s v="INFUOP-945"/>
    <x v="0"/>
    <s v="Documentation - PowerCLI setup and SNAP script execution"/>
    <n v="2"/>
    <s v="Bhuvan"/>
    <x v="1"/>
    <x v="0"/>
    <x v="0"/>
  </r>
  <r>
    <n v="152289"/>
    <s v="INFUOP-948"/>
    <x v="0"/>
    <s v="Documentation - HPE Smart array  Split Mirror and Remirror"/>
    <n v="2"/>
    <s v="Bhuvan"/>
    <x v="1"/>
    <x v="0"/>
    <x v="0"/>
  </r>
  <r>
    <n v="154099"/>
    <s v="INFUOP-963"/>
    <x v="0"/>
    <s v="Solaris LDOM migration issues "/>
    <n v="1"/>
    <s v="Ramesh"/>
    <x v="1"/>
    <x v="0"/>
    <x v="0"/>
  </r>
  <r>
    <n v="153271"/>
    <s v="INFUOP-967"/>
    <x v="0"/>
    <s v="Analyzing puppet module for Netbackup client Upgrade on Linux &amp; AIX servers to 8.1"/>
    <n v="3"/>
    <s v="RNagall"/>
    <x v="1"/>
    <x v="0"/>
    <x v="0"/>
  </r>
  <r>
    <n v="159695"/>
    <s v="INFUOP-989"/>
    <x v="0"/>
    <s v="Implement Iptables logs on Hadoop Dev"/>
    <n v="3"/>
    <s v="Mammar"/>
    <x v="1"/>
    <x v="0"/>
    <x v="0"/>
  </r>
  <r>
    <n v="159870"/>
    <s v="INFUOP-990"/>
    <x v="1"/>
    <s v="Create UNIX landing page"/>
    <n v="3"/>
    <s v="Mammar"/>
    <x v="1"/>
    <x v="0"/>
    <x v="1"/>
  </r>
  <r>
    <n v="159871"/>
    <s v="INFUOP-991"/>
    <x v="0"/>
    <s v="Varonis POC Phase II"/>
    <n v="2"/>
    <s v="Prabal"/>
    <x v="1"/>
    <x v="0"/>
    <x v="0"/>
  </r>
  <r>
    <n v="159872"/>
    <s v="INFUOP-992"/>
    <x v="0"/>
    <s v="Troubleshooting Rephub Linux server post Patching."/>
    <n v="1"/>
    <s v="Prabal"/>
    <x v="1"/>
    <x v="0"/>
    <x v="0"/>
  </r>
  <r>
    <n v="159874"/>
    <s v="INFUOP-993"/>
    <x v="0"/>
    <s v="LINUX oncall Sprint 5_08"/>
    <n v="5"/>
    <s v="Prabal"/>
    <x v="1"/>
    <x v="0"/>
    <x v="0"/>
  </r>
  <r>
    <n v="159875"/>
    <s v="INFUOP-994"/>
    <x v="1"/>
    <s v="SOLARIS - SNMP Vulnerability Fix (NON-PROD and PROD)"/>
    <n v="3"/>
    <s v="Rakesh"/>
    <x v="1"/>
    <x v="0"/>
    <x v="1"/>
  </r>
  <r>
    <n v="159879"/>
    <s v="INFUOP-995"/>
    <x v="2"/>
    <s v="Kerberos Authentication POC on Linux Platform - Phase 1"/>
    <n v="3"/>
    <s v="Rakesh"/>
    <x v="1"/>
    <x v="0"/>
    <x v="1"/>
  </r>
  <r>
    <n v="159881"/>
    <s v="INFUOP-996"/>
    <x v="0"/>
    <s v="Sudo and Java upgrade on SOlaris "/>
    <n v="1"/>
    <s v="Ramesh"/>
    <x v="1"/>
    <x v="0"/>
    <x v="0"/>
  </r>
  <r>
    <n v="160129"/>
    <s v="INFUOP-998"/>
    <x v="0"/>
    <s v="New Server Build Approvals"/>
    <n v="2"/>
    <s v="Jon"/>
    <x v="1"/>
    <x v="0"/>
    <x v="0"/>
  </r>
  <r>
    <n v="160130"/>
    <s v="INFUOP-999"/>
    <x v="0"/>
    <s v="OSR03 migration"/>
    <n v="2"/>
    <s v="Jon"/>
    <x v="1"/>
    <x v="0"/>
    <x v="0"/>
  </r>
  <r>
    <n v="160132"/>
    <s v="INFUOP-1000"/>
    <x v="1"/>
    <s v="Linux EPEL repository"/>
    <n v="2"/>
    <s v="Jon"/>
    <x v="1"/>
    <x v="0"/>
    <x v="1"/>
  </r>
  <r>
    <n v="160096"/>
    <s v="INFUOP-1001"/>
    <x v="0"/>
    <s v="SAN Migration - Linux - Week 17"/>
    <n v="3"/>
    <s v="Bhuvan"/>
    <x v="1"/>
    <x v="0"/>
    <x v="0"/>
  </r>
  <r>
    <n v="160412"/>
    <s v="INFUOP-1003"/>
    <x v="0"/>
    <s v="SAN Migration - Linux - Week 18"/>
    <n v="3"/>
    <s v="Bhuvan"/>
    <x v="1"/>
    <x v="0"/>
    <x v="0"/>
  </r>
  <r>
    <n v="161064"/>
    <s v="INFUOP-1006"/>
    <x v="0"/>
    <s v="SOX  auditing on *NIX servers "/>
    <n v="3"/>
    <s v="Ramesh"/>
    <x v="1"/>
    <x v="1"/>
    <x v="0"/>
  </r>
  <r>
    <n v="162681"/>
    <s v="INFUOP-1015"/>
    <x v="0"/>
    <s v="Recover stgcmrcol7 after Application Upgrade"/>
    <n v="1"/>
    <s v="Prabal"/>
    <x v="1"/>
    <x v="0"/>
    <x v="0"/>
  </r>
  <r>
    <s v=""/>
    <m/>
    <x v="4"/>
    <m/>
    <m/>
    <m/>
    <x v="2"/>
    <x v="0"/>
    <x v="1"/>
  </r>
  <r>
    <s v=""/>
    <m/>
    <x v="4"/>
    <m/>
    <m/>
    <m/>
    <x v="2"/>
    <x v="0"/>
    <x v="1"/>
  </r>
  <r>
    <s v=""/>
    <m/>
    <x v="4"/>
    <m/>
    <m/>
    <m/>
    <x v="2"/>
    <x v="0"/>
    <x v="1"/>
  </r>
  <r>
    <s v=""/>
    <m/>
    <x v="4"/>
    <m/>
    <m/>
    <m/>
    <x v="2"/>
    <x v="0"/>
    <x v="1"/>
  </r>
  <r>
    <s v=""/>
    <m/>
    <x v="4"/>
    <m/>
    <m/>
    <m/>
    <x v="2"/>
    <x v="0"/>
    <x v="1"/>
  </r>
  <r>
    <s v=""/>
    <m/>
    <x v="4"/>
    <m/>
    <m/>
    <m/>
    <x v="2"/>
    <x v="0"/>
    <x v="1"/>
  </r>
  <r>
    <s v=""/>
    <m/>
    <x v="4"/>
    <m/>
    <m/>
    <m/>
    <x v="2"/>
    <x v="0"/>
    <x v="1"/>
  </r>
  <r>
    <s v=""/>
    <m/>
    <x v="4"/>
    <m/>
    <m/>
    <m/>
    <x v="2"/>
    <x v="0"/>
    <x v="1"/>
  </r>
  <r>
    <s v=""/>
    <m/>
    <x v="4"/>
    <m/>
    <m/>
    <m/>
    <x v="2"/>
    <x v="0"/>
    <x v="1"/>
  </r>
  <r>
    <s v=""/>
    <m/>
    <x v="4"/>
    <m/>
    <m/>
    <m/>
    <x v="2"/>
    <x v="0"/>
    <x v="1"/>
  </r>
  <r>
    <s v=""/>
    <m/>
    <x v="4"/>
    <m/>
    <m/>
    <m/>
    <x v="2"/>
    <x v="0"/>
    <x v="1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">
  <r>
    <s v="904"/>
    <s v="INFUOP-904"/>
    <x v="0"/>
    <s v="Creating startup script for One-Console development servers"/>
    <n v="3"/>
    <s v="Venkatesh"/>
    <x v="0"/>
    <x v="0"/>
    <x v="0"/>
  </r>
  <r>
    <s v="926"/>
    <s v="INFUOP-926"/>
    <x v="1"/>
    <s v="Hadoop IPtables log "/>
    <n v="3"/>
    <s v="Mammar"/>
    <x v="0"/>
    <x v="0"/>
    <x v="1"/>
  </r>
  <r>
    <s v="931"/>
    <s v="INFUOP-931"/>
    <x v="0"/>
    <s v="/etc/ssh/sshd_config modification on Linux servers"/>
    <n v="3"/>
    <s v="Venkatesh"/>
    <x v="0"/>
    <x v="0"/>
    <x v="0"/>
  </r>
  <r>
    <s v="935"/>
    <s v="INFUOP-935"/>
    <x v="0"/>
    <s v="Kerberos Authentication Testing on Linux"/>
    <n v="3"/>
    <s v="Rakesh"/>
    <x v="0"/>
    <x v="0"/>
    <x v="0"/>
  </r>
  <r>
    <s v="941"/>
    <s v="INFUOP-941"/>
    <x v="2"/>
    <s v="Puppetize vulnerabilities/upgrades/installs for VIOM"/>
    <n v="5"/>
    <s v="Ramesh"/>
    <x v="0"/>
    <x v="0"/>
    <x v="1"/>
  </r>
  <r>
    <s v="945"/>
    <s v="INFUOP-945"/>
    <x v="2"/>
    <s v="Documentation - PowerCLI setup and SNAP script execution"/>
    <n v="2"/>
    <s v="Bhuvan"/>
    <x v="0"/>
    <x v="0"/>
    <x v="0"/>
  </r>
  <r>
    <s v="947"/>
    <s v="INFUOP-947"/>
    <x v="0"/>
    <s v="Varnois POC (again)"/>
    <n v="1"/>
    <s v="Prabal"/>
    <x v="0"/>
    <x v="0"/>
    <x v="0"/>
  </r>
  <r>
    <s v="948"/>
    <s v="INFUOP-948"/>
    <x v="2"/>
    <s v="Documentation - HPE Smart array  Split Mirror and Remirror"/>
    <n v="2"/>
    <s v="Bhuvan"/>
    <x v="0"/>
    <x v="0"/>
    <x v="0"/>
  </r>
  <r>
    <s v="957"/>
    <s v="INFUOP-957"/>
    <x v="1"/>
    <s v="Q2 patching on NIM servers using Liveupdate"/>
    <n v="2"/>
    <s v="Santosh"/>
    <x v="0"/>
    <x v="0"/>
    <x v="1"/>
  </r>
  <r>
    <s v="963"/>
    <s v="INFUOP-963"/>
    <x v="3"/>
    <s v="Solaris LDOM migration issues "/>
    <n v="1"/>
    <s v="Ramesh"/>
    <x v="0"/>
    <x v="0"/>
    <x v="1"/>
  </r>
  <r>
    <s v="966"/>
    <s v="INFUOP-966"/>
    <x v="0"/>
    <s v="Solaris - rsh/rlogin vulnerability - apply fix on all Solaris box"/>
    <n v="3"/>
    <s v="Rakesh"/>
    <x v="0"/>
    <x v="0"/>
    <x v="0"/>
  </r>
  <r>
    <s v="967"/>
    <s v="INFUOP-967"/>
    <x v="3"/>
    <s v="Analyzing puppet module for Netbackup client Upgrade on Linux &amp; AIX servers to 8.1"/>
    <n v="3"/>
    <s v="Ramesh"/>
    <x v="0"/>
    <x v="0"/>
    <x v="1"/>
  </r>
  <r>
    <s v="971"/>
    <s v="INFUOP-971"/>
    <x v="0"/>
    <s v="Patch Linux Tier 2 Servers under Kevin Luu for Q2 2018"/>
    <n v="2"/>
    <s v="Prabal"/>
    <x v="0"/>
    <x v="0"/>
    <x v="0"/>
  </r>
  <r>
    <s v="972"/>
    <s v="INFUOP-972"/>
    <x v="0"/>
    <s v="Encase Agent Testing on Linux Servers"/>
    <n v="2"/>
    <s v="Prabal"/>
    <x v="0"/>
    <x v="0"/>
    <x v="0"/>
  </r>
  <r>
    <s v="974"/>
    <s v="INFUOP-974"/>
    <x v="0"/>
    <s v="SOX Audit /Request for OIM servers"/>
    <n v="2"/>
    <s v="Rakesh"/>
    <x v="0"/>
    <x v="0"/>
    <x v="0"/>
  </r>
  <r>
    <s v="975"/>
    <s v="INFUOP-975"/>
    <x v="0"/>
    <s v="New Server Build Approvals"/>
    <n v="3"/>
    <s v="Jon"/>
    <x v="0"/>
    <x v="0"/>
    <x v="0"/>
  </r>
  <r>
    <s v="976"/>
    <s v="INFUOP-976"/>
    <x v="0"/>
    <s v="OSR Migration"/>
    <n v="5"/>
    <s v="Jon"/>
    <x v="0"/>
    <x v="0"/>
    <x v="0"/>
  </r>
  <r>
    <s v="977"/>
    <s v="INFUOP-977"/>
    <x v="0"/>
    <s v="SAN Migration - Linux - Week 17"/>
    <n v="2"/>
    <s v="Bhuvan"/>
    <x v="0"/>
    <x v="0"/>
    <x v="0"/>
  </r>
  <r>
    <s v="978"/>
    <s v="INFUOP-978"/>
    <x v="0"/>
    <s v="SAN Migration - Linux - Week 18"/>
    <n v="2"/>
    <s v="Bhuvan"/>
    <x v="0"/>
    <x v="0"/>
    <x v="0"/>
  </r>
  <r>
    <s v="981"/>
    <s v="INFUOP-981"/>
    <x v="0"/>
    <s v="Consolidate Titan NPE VOM servers "/>
    <n v="3"/>
    <s v="Mammar"/>
    <x v="0"/>
    <x v="0"/>
    <x v="0"/>
  </r>
  <r>
    <s v="982"/>
    <s v="INFUOP-982"/>
    <x v="1"/>
    <s v="Consolidate Polaris NPE VOM servers"/>
    <n v="3"/>
    <s v="Mammar"/>
    <x v="0"/>
    <x v="0"/>
    <x v="1"/>
  </r>
  <r>
    <s v="985"/>
    <s v="INFUOP-985"/>
    <x v="0"/>
    <s v="TEST IDRAC password Rotation via CyberArc"/>
    <n v="2"/>
    <s v="Rakesh"/>
    <x v="0"/>
    <x v="1"/>
    <x v="0"/>
  </r>
  <r>
    <s v="986"/>
    <s v="INFUOP-986"/>
    <x v="1"/>
    <s v="UNIX On-Call"/>
    <n v="5"/>
    <m/>
    <x v="0"/>
    <x v="0"/>
    <x v="0"/>
  </r>
  <r>
    <s v="194"/>
    <s v="INFAOP-194"/>
    <x v="2"/>
    <s v="Automated capacity management - Not able to get recommended EC-VP Values"/>
    <n v="5"/>
    <s v="Santosh"/>
    <x v="1"/>
    <x v="0"/>
    <x v="0"/>
  </r>
  <r>
    <s v="516"/>
    <s v="INFAOP-516"/>
    <x v="0"/>
    <s v="L2-L3 migration for listed staging servers"/>
    <n v="3"/>
    <s v="Azmath"/>
    <x v="1"/>
    <x v="0"/>
    <x v="0"/>
  </r>
  <r>
    <s v="523"/>
    <s v="INFAOP-523"/>
    <x v="2"/>
    <s v="YUM Implementation - configure YUM on AIX hosts"/>
    <n v="3"/>
    <s v="Santosh"/>
    <x v="1"/>
    <x v="0"/>
    <x v="1"/>
  </r>
  <r>
    <s v="626"/>
    <s v="INFAOP-626"/>
    <x v="1"/>
    <s v="investigate high cpu utilization of frame PXIBM307"/>
    <n v="2"/>
    <s v="Muqtadir"/>
    <x v="1"/>
    <x v="0"/>
    <x v="1"/>
  </r>
  <r>
    <s v="633"/>
    <s v="INFAOP-633"/>
    <x v="0"/>
    <s v="Veritas upgrade test for CVM cluster using alt_disk and Rollling"/>
    <n v="5"/>
    <s v="Muqtadir"/>
    <x v="1"/>
    <x v="0"/>
    <x v="0"/>
  </r>
  <r>
    <s v="635"/>
    <s v="INFAOP-635"/>
    <x v="2"/>
    <s v="Prep-work for ITM to support Oracle 12c Upgrade"/>
    <n v="3"/>
    <s v="Azmath"/>
    <x v="1"/>
    <x v="0"/>
    <x v="1"/>
  </r>
  <r>
    <s v="645"/>
    <s v="INFAOP-645"/>
    <x v="0"/>
    <s v="Fix misconfigured SAS drive pairs polaris VIO's PXVXI204a PXVXI205a and PXVX206a"/>
    <n v="3"/>
    <s v="Jasim"/>
    <x v="1"/>
    <x v="0"/>
    <x v="0"/>
  </r>
  <r>
    <s v="648"/>
    <s v="INFAOP-648"/>
    <x v="1"/>
    <s v="AIX patching script issues - relink_db"/>
    <n v="1"/>
    <s v="Bhuvan"/>
    <x v="1"/>
    <x v="0"/>
    <x v="1"/>
  </r>
  <r>
    <s v="649"/>
    <s v="INFAOP-649"/>
    <x v="1"/>
    <s v="AIX patching script issues - ssh_setup_rsa_keys"/>
    <n v="1"/>
    <s v="Bhuvan"/>
    <x v="1"/>
    <x v="0"/>
    <x v="1"/>
  </r>
  <r>
    <s v="650"/>
    <s v="INFAOP-650"/>
    <x v="1"/>
    <s v="AIX patching script issues - complete"/>
    <n v="1"/>
    <s v="Bhuvan"/>
    <x v="1"/>
    <x v="0"/>
    <x v="1"/>
  </r>
  <r>
    <s v="658"/>
    <s v="INFAOP-658"/>
    <x v="0"/>
    <s v="Q2 Patching - ADMTRAC DB server's"/>
    <n v="2"/>
    <s v="Jasim"/>
    <x v="1"/>
    <x v="0"/>
    <x v="0"/>
  </r>
  <r>
    <s v="662"/>
    <s v="INFAOP-662"/>
    <x v="2"/>
    <s v="Veritas CVM , DG &amp; VxFS version upgrades along with Veritas upgrades"/>
    <n v="3"/>
    <s v="Bhuvan"/>
    <x v="1"/>
    <x v="0"/>
    <x v="1"/>
  </r>
  <r>
    <s v="663"/>
    <s v="INFAOP-663"/>
    <x v="2"/>
    <s v="Automate veritas upgrade along with AIX patching using alt_rootvg"/>
    <n v="3"/>
    <s v="Muqtadir"/>
    <x v="1"/>
    <x v="0"/>
    <x v="1"/>
  </r>
  <r>
    <s v="664"/>
    <s v="INFAOP-664"/>
    <x v="1"/>
    <s v="Build patching pipe line for AIX standalone system patching testing "/>
    <n v="5"/>
    <s v="Bhuvan"/>
    <x v="1"/>
    <x v="0"/>
    <x v="1"/>
  </r>
  <r>
    <s v="665"/>
    <s v="INFAOP-665"/>
    <x v="0"/>
    <s v="Automate alt_rootvg for all systems in regular interval"/>
    <n v="3"/>
    <s v="Santosh"/>
    <x v="1"/>
    <x v="0"/>
    <x v="0"/>
  </r>
  <r>
    <s v="666"/>
    <s v="INFAOP-666"/>
    <x v="0"/>
    <s v="AIX SAN migration - 4/24/2018"/>
    <n v="3"/>
    <s v="Venkatesh"/>
    <x v="1"/>
    <x v="0"/>
    <x v="0"/>
  </r>
  <r>
    <s v="667"/>
    <s v="INFAOP-667"/>
    <x v="0"/>
    <s v="remove asmrac systems from rolling patching"/>
    <n v="2"/>
    <s v="Bhuvan"/>
    <x v="1"/>
    <x v="0"/>
    <x v="0"/>
  </r>
  <r>
    <s v="668"/>
    <s v="INFAOP-668"/>
    <x v="2"/>
    <s v="AIX SAN migration - 5/01/2018"/>
    <n v="3"/>
    <s v="Venkatesh"/>
    <x v="1"/>
    <x v="0"/>
    <x v="0"/>
  </r>
  <r>
    <s v="669"/>
    <s v="INFAOP-669"/>
    <x v="2"/>
    <s v="AIX_On-call 4/24/2018"/>
    <n v="3"/>
    <s v="Venkatesh"/>
    <x v="1"/>
    <x v="0"/>
    <x v="0"/>
  </r>
  <r>
    <s v="671"/>
    <s v="INFAOP-671"/>
    <x v="1"/>
    <s v="patch production IBM frame firmware with Meltdown/Spectre fix - Polaris"/>
    <n v="2"/>
    <s v="Jasim"/>
    <x v="1"/>
    <x v="0"/>
    <x v="1"/>
  </r>
  <r>
    <s v="672"/>
    <s v="INFAOP-672"/>
    <x v="1"/>
    <s v="patch production IBM frame firmware with Meltdown/Spectre fix - Titan"/>
    <n v="2"/>
    <s v="Jasim"/>
    <x v="1"/>
    <x v="0"/>
    <x v="1"/>
  </r>
  <r>
    <s v=""/>
    <m/>
    <x v="4"/>
    <m/>
    <m/>
    <m/>
    <x v="2"/>
    <x v="0"/>
    <x v="1"/>
  </r>
  <r>
    <s v=""/>
    <m/>
    <x v="4"/>
    <m/>
    <m/>
    <m/>
    <x v="2"/>
    <x v="0"/>
    <x v="1"/>
  </r>
  <r>
    <s v=""/>
    <m/>
    <x v="4"/>
    <m/>
    <m/>
    <m/>
    <x v="2"/>
    <x v="0"/>
    <x v="1"/>
  </r>
  <r>
    <s v=""/>
    <m/>
    <x v="4"/>
    <m/>
    <m/>
    <m/>
    <x v="2"/>
    <x v="0"/>
    <x v="1"/>
  </r>
  <r>
    <s v=""/>
    <m/>
    <x v="4"/>
    <m/>
    <m/>
    <m/>
    <x v="2"/>
    <x v="0"/>
    <x v="1"/>
  </r>
  <r>
    <s v=""/>
    <m/>
    <x v="4"/>
    <m/>
    <m/>
    <m/>
    <x v="2"/>
    <x v="0"/>
    <x v="1"/>
  </r>
  <r>
    <s v=""/>
    <m/>
    <x v="4"/>
    <m/>
    <m/>
    <m/>
    <x v="2"/>
    <x v="0"/>
    <x v="1"/>
  </r>
  <r>
    <s v=""/>
    <m/>
    <x v="4"/>
    <m/>
    <m/>
    <m/>
    <x v="2"/>
    <x v="0"/>
    <x v="1"/>
  </r>
  <r>
    <s v=""/>
    <m/>
    <x v="4"/>
    <m/>
    <m/>
    <m/>
    <x v="2"/>
    <x v="0"/>
    <x v="1"/>
  </r>
  <r>
    <s v=""/>
    <m/>
    <x v="4"/>
    <m/>
    <m/>
    <m/>
    <x v="2"/>
    <x v="0"/>
    <x v="1"/>
  </r>
  <r>
    <s v=""/>
    <m/>
    <x v="4"/>
    <m/>
    <m/>
    <m/>
    <x v="2"/>
    <x v="0"/>
    <x v="1"/>
  </r>
  <r>
    <s v=""/>
    <m/>
    <x v="4"/>
    <m/>
    <m/>
    <m/>
    <x v="2"/>
    <x v="0"/>
    <x v="1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s v="9"/>
    <s v="INFAOP-9"/>
    <x v="0"/>
    <s v="PXIBM207 Frame Rebuild- Phase2"/>
    <n v="8"/>
    <s v="Muqtadir"/>
    <x v="0"/>
    <x v="0"/>
    <x v="0"/>
    <s v=""/>
  </r>
  <r>
    <s v="262"/>
    <s v="INFAOP-262"/>
    <x v="0"/>
    <s v="Fix fcstat utilization report for NPE ITM"/>
    <n v="8"/>
    <s v="Azmath"/>
    <x v="0"/>
    <x v="0"/>
    <x v="0"/>
    <s v=""/>
  </r>
  <r>
    <s v="399"/>
    <s v="INFAOP-399"/>
    <x v="1"/>
    <s v="Disabling &quot;critical&quot; parameter on SFHA AIX cluster servers for all Disk groups"/>
    <n v="3"/>
    <s v="Venkatesh"/>
    <x v="0"/>
    <x v="0"/>
    <x v="1"/>
    <s v=""/>
  </r>
  <r>
    <s v="402"/>
    <s v="INFAOP-402"/>
    <x v="0"/>
    <s v="Auditing /usr/sap on AIX NPE SAP Servers"/>
    <n v="5"/>
    <s v="Venkatesh"/>
    <x v="0"/>
    <x v="1"/>
    <x v="0"/>
    <s v=""/>
  </r>
  <r>
    <s v="434"/>
    <s v="INFAOP-434"/>
    <x v="0"/>
    <s v="AIX new build server approvals - Sprint 2/12"/>
    <n v="1"/>
    <s v="Santosh"/>
    <x v="0"/>
    <x v="0"/>
    <x v="0"/>
    <s v=""/>
  </r>
  <r>
    <s v="435"/>
    <s v="INFAOP-435"/>
    <x v="0"/>
    <s v=" Qualys Agent deployment on AIX servers - Sprint 2/12"/>
    <n v="3"/>
    <s v="Santosh"/>
    <x v="0"/>
    <x v="0"/>
    <x v="0"/>
    <s v=""/>
  </r>
  <r>
    <s v="436"/>
    <s v="INFAOP-436"/>
    <x v="0"/>
    <s v="On call - Sprint 2018-02-12"/>
    <n v="3"/>
    <m/>
    <x v="0"/>
    <x v="0"/>
    <x v="0"/>
    <s v=""/>
  </r>
  <r>
    <s v="438"/>
    <s v="INFAOP-438"/>
    <x v="0"/>
    <s v="L2/L3 migration trnpxdb001/002/003"/>
    <n v="3"/>
    <s v="Jasim"/>
    <x v="0"/>
    <x v="0"/>
    <x v="0"/>
    <s v=""/>
  </r>
  <r>
    <s v="439"/>
    <s v="INFAOP-439"/>
    <x v="0"/>
    <s v="SAN Migration - 2018-02-12"/>
    <n v="3"/>
    <s v="Venkatesh"/>
    <x v="0"/>
    <x v="0"/>
    <x v="0"/>
    <s v=""/>
  </r>
  <r>
    <s v="467"/>
    <s v="INFAOP-467"/>
    <x v="0"/>
    <s v="PXIBM207- Frame Rebuild- Phase2 - Rework-External Issues"/>
    <n v="3"/>
    <s v="Muqtadir"/>
    <x v="0"/>
    <x v="0"/>
    <x v="0"/>
    <s v=""/>
  </r>
  <r>
    <s v="468"/>
    <s v="INFAOP-468"/>
    <x v="0"/>
    <s v="NPE Frame Spike Issue-Investigation"/>
    <n v="3"/>
    <s v="Muqtadir"/>
    <x v="0"/>
    <x v="0"/>
    <x v="0"/>
    <s v=""/>
  </r>
  <r>
    <s v="469"/>
    <s v="INFAOP-469"/>
    <x v="0"/>
    <s v="Fixing pxibm214/pxibm215 VIO SEA private network "/>
    <n v="3"/>
    <s v="Muqtadir"/>
    <x v="0"/>
    <x v="0"/>
    <x v="0"/>
    <s v=""/>
  </r>
  <r>
    <s v="497"/>
    <s v="INFAOP-497"/>
    <x v="0"/>
    <s v="L2-L3 Migration for Passive RPX DB Nodes"/>
    <n v="3"/>
    <s v="Azmath"/>
    <x v="0"/>
    <x v="1"/>
    <x v="0"/>
    <s v=""/>
  </r>
  <r>
    <s v="505"/>
    <s v="INFAOP-505"/>
    <x v="0"/>
    <s v="PatchME Now Deployment Error"/>
    <n v="5"/>
    <s v="Muqtadir"/>
    <x v="0"/>
    <x v="1"/>
    <x v="0"/>
    <s v=""/>
  </r>
  <r>
    <s v="97"/>
    <s v="INFUOP-97"/>
    <x v="0"/>
    <s v="Change of EIT DNS Server IP _Sprint-2_12"/>
    <n v="2"/>
    <s v="Ramesh"/>
    <x v="1"/>
    <x v="0"/>
    <x v="0"/>
    <s v=""/>
  </r>
  <r>
    <s v="730"/>
    <s v="INFUOP-730"/>
    <x v="0"/>
    <s v="Fix VOM Security"/>
    <n v="1"/>
    <s v="Mammar"/>
    <x v="1"/>
    <x v="0"/>
    <x v="0"/>
    <s v=""/>
  </r>
  <r>
    <s v="738"/>
    <s v="INFUOP-738"/>
    <x v="0"/>
    <s v="HPE Linux Firmware installation - Puppet Module"/>
    <n v="3"/>
    <s v="BHuvan"/>
    <x v="1"/>
    <x v="0"/>
    <x v="0"/>
    <s v=""/>
  </r>
  <r>
    <s v="765"/>
    <s v="INFUOP-765"/>
    <x v="0"/>
    <s v="New Server Approvals"/>
    <n v="1"/>
    <s v="Jon"/>
    <x v="1"/>
    <x v="0"/>
    <x v="0"/>
    <s v=""/>
  </r>
  <r>
    <s v="766"/>
    <s v="INFUOP-766"/>
    <x v="0"/>
    <s v="OSR migration project"/>
    <n v="1"/>
    <s v="Jon"/>
    <x v="1"/>
    <x v="0"/>
    <x v="0"/>
    <s v=""/>
  </r>
  <r>
    <s v="767"/>
    <s v="INFUOP-767"/>
    <x v="1"/>
    <s v="Document Docker Standards for Linux"/>
    <n v="3"/>
    <s v="Rakesh"/>
    <x v="1"/>
    <x v="0"/>
    <x v="1"/>
    <s v=""/>
  </r>
  <r>
    <s v="768"/>
    <s v="INFUOP-768"/>
    <x v="0"/>
    <s v="Sox Audit for 800+ UNIX Server"/>
    <n v="1"/>
    <s v="Mammar"/>
    <x v="1"/>
    <x v="0"/>
    <x v="0"/>
    <s v=""/>
  </r>
  <r>
    <s v="769"/>
    <s v="INFUOP-769"/>
    <x v="0"/>
    <s v="HP-UX Cyberark setup"/>
    <n v="1"/>
    <s v="Mammar"/>
    <x v="1"/>
    <x v="0"/>
    <x v="0"/>
    <s v=""/>
  </r>
  <r>
    <s v="771"/>
    <s v="INFUOP-771"/>
    <x v="0"/>
    <s v="NAS Migration Depot "/>
    <n v="3"/>
    <s v="Mammar"/>
    <x v="1"/>
    <x v="0"/>
    <x v="0"/>
    <s v=""/>
  </r>
  <r>
    <s v="773"/>
    <s v="INFUOP-773"/>
    <x v="0"/>
    <s v="On Call - Linux / Solaris - Week 07 &amp; 08"/>
    <n v="3"/>
    <m/>
    <x v="1"/>
    <x v="0"/>
    <x v="0"/>
    <s v=""/>
  </r>
  <r>
    <s v="774"/>
    <s v="INFUOP-774"/>
    <x v="0"/>
    <s v="Connect Enterprise (file transfer) -prdxfer003/004 -vcs cluster modification "/>
    <n v="2"/>
    <s v="Ramesh"/>
    <x v="1"/>
    <x v="0"/>
    <x v="0"/>
    <s v=""/>
  </r>
  <r>
    <s v="776"/>
    <s v="INFUOP-776"/>
    <x v="1"/>
    <s v="investigate frequent solaris patching issues and Review the Standards followed by Patching team"/>
    <n v="3"/>
    <s v="Ramesh"/>
    <x v="1"/>
    <x v="0"/>
    <x v="1"/>
    <s v=""/>
  </r>
  <r>
    <s v="778"/>
    <s v="INFUOP-778"/>
    <x v="0"/>
    <s v="Migrate Linux Servers Running &quot;RAID 0&quot; to &quot;RAID 1&quot;"/>
    <n v="5"/>
    <s v="BHuvan"/>
    <x v="1"/>
    <x v="0"/>
    <x v="0"/>
    <s v=""/>
  </r>
  <r>
    <s v="779"/>
    <s v="INFUOP-779"/>
    <x v="0"/>
    <s v="Standardize 'hponcfg' &amp; 'ssacli' across all Linux environment"/>
    <n v="3"/>
    <s v="BHuvan"/>
    <x v="1"/>
    <x v="0"/>
    <x v="0"/>
    <s v=""/>
  </r>
  <r>
    <s v="781"/>
    <s v="INFUOP-781"/>
    <x v="0"/>
    <s v="Sync - HPE ISO Repo Between DC"/>
    <n v="3"/>
    <s v="BHuvan"/>
    <x v="1"/>
    <x v="0"/>
    <x v="0"/>
    <s v=""/>
  </r>
  <r>
    <s v="782"/>
    <s v="INFUOP-782"/>
    <x v="0"/>
    <s v="Remove &quot;OFF&quot; HPVMs &amp; vPARs those were Decommed - Cleanup"/>
    <n v="2"/>
    <s v="BHuvan"/>
    <x v="1"/>
    <x v="0"/>
    <x v="0"/>
    <s v=""/>
  </r>
  <r>
    <s v="783"/>
    <s v="INFUOP-783"/>
    <x v="0"/>
    <s v="Patch Servers under Kevin Luu for Q1 2018"/>
    <n v="3"/>
    <s v="Prabal"/>
    <x v="1"/>
    <x v="0"/>
    <x v="0"/>
    <s v=""/>
  </r>
  <r>
    <s v="784"/>
    <s v="INFUOP-784"/>
    <x v="0"/>
    <s v="Publish Patch Set Bundle for Q1 2018"/>
    <n v="1"/>
    <s v="Prabal"/>
    <x v="1"/>
    <x v="0"/>
    <x v="0"/>
    <s v=""/>
  </r>
  <r>
    <s v="785"/>
    <s v="INFUOP-785"/>
    <x v="0"/>
    <s v="Multi-factor authentication on UNIX servers "/>
    <n v="5"/>
    <s v="Prabal"/>
    <x v="1"/>
    <x v="0"/>
    <x v="0"/>
    <s v=""/>
  </r>
  <r>
    <s v="786"/>
    <s v="INFUOP-786"/>
    <x v="0"/>
    <s v="Puppet Task POC"/>
    <n v="5"/>
    <s v="Mammar"/>
    <x v="1"/>
    <x v="0"/>
    <x v="0"/>
    <s v=""/>
  </r>
  <r>
    <s v="789"/>
    <s v="INFUOP-789"/>
    <x v="0"/>
    <s v="Vulnerabilities on UNIX Servers"/>
    <n v="3"/>
    <s v="Ramesh"/>
    <x v="1"/>
    <x v="1"/>
    <x v="0"/>
    <s v=""/>
  </r>
  <r>
    <s v="796"/>
    <s v="INFUOP-796"/>
    <x v="0"/>
    <s v="Qualys Agent deployment on Linux servers - Sprint 2/12"/>
    <n v="2"/>
    <s v="Ramesh"/>
    <x v="1"/>
    <x v="0"/>
    <x v="0"/>
    <s v=""/>
  </r>
  <r>
    <s v="830"/>
    <s v="INFUOP-830"/>
    <x v="0"/>
    <s v="Latency NFS Issues prdpatdmg0001/0002"/>
    <n v="3"/>
    <s v="Mammar"/>
    <x v="1"/>
    <x v="1"/>
    <x v="0"/>
    <m/>
  </r>
  <r>
    <s v="834"/>
    <s v="INFUOP-834"/>
    <x v="0"/>
    <s v="PatchmME Now Deployment Error"/>
    <n v="5"/>
    <s v="Mammar"/>
    <x v="1"/>
    <x v="1"/>
    <x v="0"/>
    <s v=""/>
  </r>
  <r>
    <s v="837"/>
    <s v="INFUOP-837"/>
    <x v="0"/>
    <s v="Mongo DB Installation and support to DBA"/>
    <n v="1"/>
    <s v="Venkatesh"/>
    <x v="1"/>
    <x v="1"/>
    <x v="0"/>
    <s v="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">
  <r>
    <s v="9"/>
    <s v="INFAOP-9"/>
    <x v="0"/>
    <s v="PXIBM207 Frame Rebuild"/>
    <n v="8"/>
    <s v="Muqtadir"/>
    <x v="0"/>
    <x v="0"/>
    <x v="0"/>
    <s v=""/>
  </r>
  <r>
    <s v="262"/>
    <s v="INFAOP-262"/>
    <x v="0"/>
    <s v="Fix fcstat utilization report for NPE ITM"/>
    <n v="8"/>
    <s v="Azmath"/>
    <x v="0"/>
    <x v="0"/>
    <x v="0"/>
    <s v=""/>
  </r>
  <r>
    <s v="322"/>
    <s v="INFAOP-322"/>
    <x v="1"/>
    <s v="NPE Cluster nodes on same Frame - create collocation rules in PowerVC"/>
    <n v="1"/>
    <s v="Jasim"/>
    <x v="0"/>
    <x v="1"/>
    <x v="1"/>
    <s v=""/>
  </r>
  <r>
    <s v="323"/>
    <s v="INFAOP-323"/>
    <x v="1"/>
    <s v="PROD Cluster nodes on same Frame - LPM one of the node to other frame"/>
    <n v="3"/>
    <s v="Jasim"/>
    <x v="0"/>
    <x v="0"/>
    <x v="1"/>
    <s v=""/>
  </r>
  <r>
    <s v="324"/>
    <s v="INFAOP-324"/>
    <x v="1"/>
    <s v="Migrate admin servers mail relay server to AD"/>
    <n v="1"/>
    <s v="Muqtadir"/>
    <x v="0"/>
    <x v="1"/>
    <x v="1"/>
    <s v=""/>
  </r>
  <r>
    <s v="387"/>
    <s v="INFAOP-387"/>
    <x v="1"/>
    <s v="Qualys Agent deployment on AIX servers - Sprint 1/29"/>
    <n v="3"/>
    <s v="Santosh"/>
    <x v="0"/>
    <x v="0"/>
    <x v="1"/>
    <s v=""/>
  </r>
  <r>
    <s v="388"/>
    <s v="INFAOP-388"/>
    <x v="1"/>
    <s v="AIX new build server approvals - Sprint 1/29"/>
    <n v="1"/>
    <s v="Santosh"/>
    <x v="0"/>
    <x v="0"/>
    <x v="1"/>
    <s v=""/>
  </r>
  <r>
    <s v="392"/>
    <s v="INFAOP-392"/>
    <x v="1"/>
    <s v="Prepare test server for L3 network firewall testing"/>
    <n v="3"/>
    <s v="Azmath"/>
    <x v="0"/>
    <x v="0"/>
    <x v="1"/>
    <s v=""/>
  </r>
  <r>
    <s v="395"/>
    <s v="INFAOP-395"/>
    <x v="1"/>
    <s v="Frame Rebuild - TTIBM605 Phase 1"/>
    <n v="3"/>
    <s v="Muqtadir"/>
    <x v="0"/>
    <x v="1"/>
    <x v="1"/>
    <s v=""/>
  </r>
  <r>
    <s v="401"/>
    <s v="INFAOP-401"/>
    <x v="1"/>
    <s v="Adding check_aix with options to call functions as&quot;Arg&quot;"/>
    <n v="3"/>
    <s v="Bhuvan"/>
    <x v="0"/>
    <x v="1"/>
    <x v="1"/>
    <s v=""/>
  </r>
  <r>
    <s v="402"/>
    <s v="INFAOP-402"/>
    <x v="0"/>
    <s v="Auditing /usr/sap on AIX npe sap servers"/>
    <n v="5"/>
    <s v="Venkatesh"/>
    <x v="0"/>
    <x v="0"/>
    <x v="1"/>
    <s v=""/>
  </r>
  <r>
    <s v="404"/>
    <s v="INFAOP-404"/>
    <x v="1"/>
    <s v="Qualys Vulnerability report review and remediation plans for SAP applications"/>
    <n v="3"/>
    <s v="Santosh"/>
    <x v="0"/>
    <x v="0"/>
    <x v="1"/>
    <s v=""/>
  </r>
  <r>
    <s v="413"/>
    <s v="INFAOP-413"/>
    <x v="1"/>
    <s v="JDK upgrade and openJDK Standardization on Hadoop servers - Phase 1"/>
    <n v="5"/>
    <s v="Venkatesh"/>
    <x v="0"/>
    <x v="0"/>
    <x v="1"/>
    <s v=""/>
  </r>
  <r>
    <s v="414"/>
    <s v="INFAOP-414"/>
    <x v="1"/>
    <s v="On call - Sprint 2018-01-29"/>
    <n v="3"/>
    <m/>
    <x v="0"/>
    <x v="0"/>
    <x v="1"/>
    <s v=""/>
  </r>
  <r>
    <s v="421"/>
    <s v="INFAOP-421"/>
    <x v="1"/>
    <s v="L2-L3 migration for Passive QVXP database servers"/>
    <n v="3"/>
    <s v="Azmath"/>
    <x v="0"/>
    <x v="1"/>
    <x v="1"/>
    <s v=""/>
  </r>
  <r>
    <s v="425"/>
    <s v="INFAOP-425"/>
    <x v="1"/>
    <s v="SAN Migration on pelspdm110"/>
    <n v="1"/>
    <s v="Venkatesh"/>
    <x v="0"/>
    <x v="1"/>
    <x v="1"/>
    <s v=""/>
  </r>
  <r>
    <s v="430"/>
    <s v="INFAOP-430"/>
    <x v="1"/>
    <s v="Testing AIX Live update"/>
    <n v="1"/>
    <s v="Venkatesh"/>
    <x v="0"/>
    <x v="1"/>
    <x v="1"/>
    <s v=""/>
  </r>
  <r>
    <s v="579"/>
    <s v="INFUOP-579"/>
    <x v="2"/>
    <s v="upgrading Enterprise Manager Ops Center- Solaris "/>
    <n v="3"/>
    <s v="Ramesh"/>
    <x v="1"/>
    <x v="0"/>
    <x v="0"/>
    <s v=""/>
  </r>
  <r>
    <s v="638"/>
    <s v="INFUOP-638"/>
    <x v="1"/>
    <s v="Meltdown/Specter exploits - Planning"/>
    <n v="3"/>
    <s v="Jon"/>
    <x v="1"/>
    <x v="0"/>
    <x v="1"/>
    <s v=""/>
  </r>
  <r>
    <s v="693"/>
    <s v="INFUOP-693"/>
    <x v="1"/>
    <s v="LINUX new build server approvals - Sprint 1/29"/>
    <n v="1"/>
    <s v="Jon"/>
    <x v="1"/>
    <x v="0"/>
    <x v="1"/>
    <s v=""/>
  </r>
  <r>
    <s v="725"/>
    <s v="INFUOP-725"/>
    <x v="1"/>
    <s v="Frontline Jenkins OU servers, move docker to separate filesystem"/>
    <n v="3"/>
    <s v="Rakesh"/>
    <x v="1"/>
    <x v="0"/>
    <x v="1"/>
    <s v=""/>
  </r>
  <r>
    <s v="727"/>
    <s v="INFUOP-727"/>
    <x v="1"/>
    <s v="NAS Migration 1/29 Depot_Master Titan"/>
    <n v="3"/>
    <s v="Mammar"/>
    <x v="1"/>
    <x v="0"/>
    <x v="1"/>
    <s v=""/>
  </r>
  <r>
    <s v="728"/>
    <s v="INFUOP-728"/>
    <x v="1"/>
    <s v="NAS Migration 1/29 Depot_Master Polaris"/>
    <n v="3"/>
    <s v="Mammar"/>
    <x v="1"/>
    <x v="0"/>
    <x v="1"/>
    <s v=""/>
  </r>
  <r>
    <s v="729"/>
    <s v="INFUOP-729"/>
    <x v="1"/>
    <s v="NAS Migration 1/29 App Teams"/>
    <n v="2"/>
    <s v="Mammar"/>
    <x v="1"/>
    <x v="0"/>
    <x v="1"/>
    <s v=""/>
  </r>
  <r>
    <s v="730"/>
    <s v="INFUOP-730"/>
    <x v="2"/>
    <s v="Fix_VOM_Security "/>
    <n v="3"/>
    <s v="Mammar"/>
    <x v="1"/>
    <x v="0"/>
    <x v="0"/>
    <s v=""/>
  </r>
  <r>
    <s v="732"/>
    <s v="INFUOP-732"/>
    <x v="1"/>
    <s v="Test and Add  CPUs Online on OSR003 VPAR"/>
    <n v="3"/>
    <s v="Bhuvan"/>
    <x v="1"/>
    <x v="0"/>
    <x v="1"/>
    <s v=""/>
  </r>
  <r>
    <s v="733"/>
    <s v="INFUOP-733"/>
    <x v="1"/>
    <s v="Add Engineering iLO IP addresses under infoblox DNS Host entries"/>
    <n v="5"/>
    <s v="Bhuvan"/>
    <x v="1"/>
    <x v="0"/>
    <x v="1"/>
    <s v=""/>
  </r>
  <r>
    <s v="734"/>
    <s v="INFUOP-734"/>
    <x v="1"/>
    <s v="Modify existing Engineering Patching and Patch Validation script to map with Current Q1 standard"/>
    <n v="3"/>
    <s v="Bhuvan"/>
    <x v="1"/>
    <x v="0"/>
    <x v="1"/>
    <s v=""/>
  </r>
  <r>
    <s v="735"/>
    <s v="INFUOP-735"/>
    <x v="1"/>
    <s v="Service Now Self-Service Patching - 01/29/2018"/>
    <n v="1"/>
    <s v="Prabal"/>
    <x v="1"/>
    <x v="0"/>
    <x v="1"/>
    <s v=""/>
  </r>
  <r>
    <s v="736"/>
    <s v="INFUOP-736"/>
    <x v="1"/>
    <s v="Test HPE Storage Array - Split / Join"/>
    <n v="5"/>
    <s v="Bhuvan"/>
    <x v="1"/>
    <x v="0"/>
    <x v="1"/>
    <s v=""/>
  </r>
  <r>
    <s v="739"/>
    <s v="INFUOP-739"/>
    <x v="1"/>
    <s v="On call - Sprint 2018-01-29"/>
    <n v="3"/>
    <m/>
    <x v="1"/>
    <x v="0"/>
    <x v="1"/>
    <s v=""/>
  </r>
  <r>
    <s v="747"/>
    <s v="INFUOP-747"/>
    <x v="1"/>
    <s v="svchealth  App servers disks reclaiming Non-Prod "/>
    <n v="3"/>
    <s v="Rakesh"/>
    <x v="1"/>
    <x v="1"/>
    <x v="1"/>
    <s v=""/>
  </r>
  <r>
    <s v="748"/>
    <s v="INFUOP-748"/>
    <x v="1"/>
    <s v="svchealth  App servers disks reclaiming Prod Env."/>
    <n v="3"/>
    <s v="Rakesh"/>
    <x v="1"/>
    <x v="1"/>
    <x v="1"/>
    <s v=""/>
  </r>
  <r>
    <s v="770"/>
    <s v="INFUOP-770"/>
    <x v="1"/>
    <s v="Connect:Enterprise (file transfer XFER) servers network down remediation"/>
    <n v="3"/>
    <s v="JChrist30"/>
    <x v="1"/>
    <x v="1"/>
    <x v="1"/>
    <s v="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s v="INFAOP-10"/>
    <x v="0"/>
    <s v="VIOS Q1 Patching - Polaris NPE"/>
    <n v="5"/>
    <s v="MJasim"/>
    <x v="0"/>
    <x v="0"/>
    <x v="0"/>
    <s v=""/>
  </r>
  <r>
    <s v="INFAOP-137"/>
    <x v="0"/>
    <s v="Clearclone parameter in AIX Clusters"/>
    <n v="5"/>
    <s v="VS"/>
    <x v="0"/>
    <x v="0"/>
    <x v="0"/>
    <s v=""/>
  </r>
  <r>
    <s v="INFAOP-139"/>
    <x v="0"/>
    <s v="IBM Frame ttibm605 evacuation."/>
    <n v="3"/>
    <s v="MAbdul1"/>
    <x v="0"/>
    <x v="0"/>
    <x v="0"/>
    <s v=""/>
  </r>
  <r>
    <s v="INFAOP-142"/>
    <x v="0"/>
    <s v="ttibm605 Fixing LPM issues"/>
    <n v="5"/>
    <s v="MAbdul1"/>
    <x v="0"/>
    <x v="0"/>
    <x v="0"/>
    <s v=""/>
  </r>
  <r>
    <s v="INFAOP-264"/>
    <x v="0"/>
    <s v="Resolve ITM collection issue for trnpxdb003"/>
    <n v="5"/>
    <s v="AKhan130"/>
    <x v="0"/>
    <x v="0"/>
    <x v="0"/>
    <s v=""/>
  </r>
  <r>
    <s v="INFAOP-375"/>
    <x v="0"/>
    <s v="AIX On Call - Sprint 1/15"/>
    <n v="5"/>
    <s v="AKhan130"/>
    <x v="0"/>
    <x v="0"/>
    <x v="0"/>
    <s v=""/>
  </r>
  <r>
    <s v="INFAOP-376"/>
    <x v="0"/>
    <s v="L3 IP request for subset of Phase II servers"/>
    <n v="5"/>
    <s v="AKhan130"/>
    <x v="0"/>
    <x v="0"/>
    <x v="0"/>
    <s v=""/>
  </r>
  <r>
    <s v="INFAOP-377"/>
    <x v="0"/>
    <s v="AIX new build server approvals - Sprint 1/15"/>
    <n v="1"/>
    <s v="SPadiya1"/>
    <x v="0"/>
    <x v="0"/>
    <x v="0"/>
    <s v=""/>
  </r>
  <r>
    <s v="INFAOP-378"/>
    <x v="0"/>
    <s v="Meltdown vulnerability  -  Test and deploy IBM frame firmware"/>
    <n v="5"/>
    <s v="SPadiya1"/>
    <x v="0"/>
    <x v="0"/>
    <x v="0"/>
    <s v=""/>
  </r>
  <r>
    <s v="INFAOP-379"/>
    <x v="0"/>
    <s v="Qualys Agent deployment on AIX servers - Sprint 1/15"/>
    <n v="3"/>
    <s v="SPadiya1"/>
    <x v="0"/>
    <x v="0"/>
    <x v="0"/>
    <s v=""/>
  </r>
  <r>
    <s v="INFAOP-393"/>
    <x v="0"/>
    <s v="Boot_Lun migration on prdspot010 &amp; prdspot011"/>
    <n v="1"/>
    <s v="VS"/>
    <x v="0"/>
    <x v="1"/>
    <x v="0"/>
    <s v=""/>
  </r>
  <r>
    <s v="INFAOP-7"/>
    <x v="0"/>
    <s v="VIOS Q1 Patching - Titan NPE"/>
    <n v="5"/>
    <s v="MJasim"/>
    <x v="0"/>
    <x v="0"/>
    <x v="0"/>
    <s v=""/>
  </r>
  <r>
    <s v="INFAOP-9"/>
    <x v="1"/>
    <s v="PXIBM207 Frame Rebuild"/>
    <n v="8"/>
    <s v="MAbdul1"/>
    <x v="0"/>
    <x v="0"/>
    <x v="1"/>
    <s v=""/>
  </r>
  <r>
    <s v="INFUOP-589"/>
    <x v="0"/>
    <s v="Qualys Agent Deployment on Linux servers_sprint-1_15"/>
    <n v="3"/>
    <s v="RMalemp"/>
    <x v="1"/>
    <x v="0"/>
    <x v="0"/>
    <s v=""/>
  </r>
  <r>
    <s v="INFUOP-638"/>
    <x v="1"/>
    <s v="Meltdown/Specter exploits - Planning"/>
    <n v="3"/>
    <s v="JChrist30"/>
    <x v="1"/>
    <x v="0"/>
    <x v="1"/>
    <s v=""/>
  </r>
  <r>
    <s v="INFUOP-650"/>
    <x v="0"/>
    <s v="Access to Engineering Servers"/>
    <n v="3"/>
    <s v="VAnnapu"/>
    <x v="1"/>
    <x v="0"/>
    <x v="0"/>
    <s v=""/>
  </r>
  <r>
    <s v="INFUOP-664"/>
    <x v="0"/>
    <s v="Q1_18 Patching on Solaris admin servers _sprint_1-15"/>
    <n v="2"/>
    <s v="RMalemp"/>
    <x v="1"/>
    <x v="0"/>
    <x v="0"/>
    <s v=""/>
  </r>
  <r>
    <s v="INFUOP-666"/>
    <x v="0"/>
    <s v="Prepwork for upgrading Enterprise Manager Ops Center - Solaris"/>
    <n v="2"/>
    <s v="RMalemp"/>
    <x v="1"/>
    <x v="0"/>
    <x v="0"/>
    <s v=""/>
  </r>
  <r>
    <s v="INFUOP-669"/>
    <x v="0"/>
    <s v="UNIX On-Call 1/16-1/29"/>
    <n v="5"/>
    <m/>
    <x v="1"/>
    <x v="0"/>
    <x v="0"/>
    <s v=""/>
  </r>
  <r>
    <s v="INFUOP-670"/>
    <x v="0"/>
    <s v="NAS Migration 1/15"/>
    <n v="5"/>
    <s v="MRashid"/>
    <x v="1"/>
    <x v="0"/>
    <x v="0"/>
    <s v=""/>
  </r>
  <r>
    <s v="INFUOP-671"/>
    <x v="0"/>
    <s v="Engineering iLO Standardization - HPONCFG configuration"/>
    <n v="5"/>
    <s v="BMadasa1"/>
    <x v="1"/>
    <x v="0"/>
    <x v="0"/>
    <s v=""/>
  </r>
  <r>
    <s v="INFUOP-672"/>
    <x v="0"/>
    <s v="Engineering  HPE Hardware monitoring - HP SSACLI Setup / configuration"/>
    <n v="5"/>
    <s v="BMadasa1"/>
    <x v="1"/>
    <x v="0"/>
    <x v="0"/>
    <s v=""/>
  </r>
  <r>
    <s v="INFUOP-674"/>
    <x v="0"/>
    <s v="Engineering iLO Standardization - iLO Amplifier Setup"/>
    <n v="3"/>
    <s v="BMadasa1"/>
    <x v="1"/>
    <x v="0"/>
    <x v="0"/>
    <s v=""/>
  </r>
  <r>
    <s v="INFUOP-675"/>
    <x v="0"/>
    <s v="Q1 - Patching Validation - AIX , Linux &amp; Solaris"/>
    <n v="3"/>
    <s v="BMadasa1"/>
    <x v="1"/>
    <x v="0"/>
    <x v="0"/>
    <s v=""/>
  </r>
  <r>
    <s v="INFUOP-683"/>
    <x v="0"/>
    <s v="Install Selenium on Linux Server"/>
    <n v="3"/>
    <s v="PMalla2"/>
    <x v="1"/>
    <x v="0"/>
    <x v="0"/>
    <s v=""/>
  </r>
  <r>
    <s v="INFUOP-684"/>
    <x v="0"/>
    <s v="Install and configure Kubernetes "/>
    <n v="5"/>
    <s v="PMalla2"/>
    <x v="1"/>
    <x v="0"/>
    <x v="0"/>
    <s v=""/>
  </r>
  <r>
    <s v="INFUOP-685"/>
    <x v="0"/>
    <s v="File share discovery for Compliance  1/15/2018"/>
    <n v="5"/>
    <s v="PMalla2"/>
    <x v="1"/>
    <x v="0"/>
    <x v="0"/>
    <s v=""/>
  </r>
  <r>
    <s v="INFUOP-686"/>
    <x v="0"/>
    <s v="Testing Patches for Spectre/Meltdown vulnerabilities "/>
    <n v="8"/>
    <s v="PMalla2"/>
    <x v="1"/>
    <x v="0"/>
    <x v="0"/>
    <s v=""/>
  </r>
  <r>
    <s v="INFUOP-687"/>
    <x v="0"/>
    <s v="BL Firmware upgrade on tsttbco102 &amp; tsttbco103"/>
    <n v="5"/>
    <s v="VS"/>
    <x v="1"/>
    <x v="1"/>
    <x v="0"/>
    <s v=""/>
  </r>
  <r>
    <s v="INFUOP-692"/>
    <x v="0"/>
    <s v="LINUX new build server approvals - Sprint 1/15"/>
    <n v="1"/>
    <s v="JChrist30"/>
    <x v="1"/>
    <x v="1"/>
    <x v="0"/>
    <s v=""/>
  </r>
  <r>
    <s v="INFUOP-705"/>
    <x v="0"/>
    <s v="Upgrade Eng iLOs to latest Firmware version"/>
    <n v="3"/>
    <s v="BMadasa1"/>
    <x v="1"/>
    <x v="1"/>
    <x v="0"/>
    <s v=""/>
  </r>
  <r>
    <s v="INFUOP-710"/>
    <x v="0"/>
    <s v="DL Firmware upgrade on tstehub002"/>
    <n v="5"/>
    <s v="VS"/>
    <x v="1"/>
    <x v="1"/>
    <x v="0"/>
    <s v=""/>
  </r>
  <r>
    <s v="INFUOP-715"/>
    <x v="0"/>
    <s v="Service Now Self-Service Patching - 01/22/2018"/>
    <n v="1"/>
    <s v="PMalla2"/>
    <x v="1"/>
    <x v="1"/>
    <x v="0"/>
    <s v=""/>
  </r>
</pivotCacheRecords>
</file>

<file path=xl/pivotCache/pivotCacheRecords1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">
  <r>
    <n v="139793"/>
    <s v="INFAOP-512"/>
    <x v="0"/>
    <s v="Automate LVM lun migration"/>
    <n v="5"/>
    <s v="Santosh"/>
    <x v="0"/>
    <x v="0"/>
    <x v="0"/>
  </r>
  <r>
    <n v="152339"/>
    <s v="INFAOP-636"/>
    <x v="1"/>
    <s v="Optimize update_Activate_lpar_config script "/>
    <n v="2"/>
    <s v="Santosh"/>
    <x v="0"/>
    <x v="0"/>
    <x v="1"/>
  </r>
  <r>
    <n v="160415"/>
    <s v="INFAOP-685"/>
    <x v="2"/>
    <s v="Cluster reconfigure - prdspap801 &amp; prdspap802"/>
    <n v="3"/>
    <s v="Muqtadir"/>
    <x v="0"/>
    <x v="0"/>
    <x v="0"/>
  </r>
  <r>
    <n v="160417"/>
    <s v="INFAOP-686"/>
    <x v="2"/>
    <s v="Cluster reconfigure - prdspgc801 &amp; prdspgc802"/>
    <n v="3"/>
    <s v="Muqtadir"/>
    <x v="0"/>
    <x v="0"/>
    <x v="0"/>
  </r>
  <r>
    <n v="162905"/>
    <s v="INFAOP-695"/>
    <x v="1"/>
    <s v="VIO's Q1 2018 Patching - PXVXI202A/B/C/D"/>
    <n v="3"/>
    <s v="Jasim"/>
    <x v="0"/>
    <x v="0"/>
    <x v="1"/>
  </r>
  <r>
    <n v="164228"/>
    <s v="INFAOP-701"/>
    <x v="1"/>
    <s v="integrate upgrade_vx_elements to patching automation"/>
    <n v="2"/>
    <s v="Bhuvan"/>
    <x v="0"/>
    <x v="0"/>
    <x v="1"/>
  </r>
  <r>
    <n v="164229"/>
    <s v="INFAOP-702"/>
    <x v="1"/>
    <s v="Find solution for SAP agent not starting on VCS and integrate with patching automation"/>
    <n v="2"/>
    <s v="Muqtadir"/>
    <x v="0"/>
    <x v="0"/>
    <x v="1"/>
  </r>
  <r>
    <n v="164232"/>
    <s v="INFAOP-703"/>
    <x v="1"/>
    <s v="update VRTSacclib fileset and fix SAP agent issues on listed systems"/>
    <n v="1"/>
    <s v="Muqtadir"/>
    <x v="0"/>
    <x v="0"/>
    <x v="1"/>
  </r>
  <r>
    <n v="164755"/>
    <s v="INFAOP-709"/>
    <x v="1"/>
    <s v="AIX SAN Migration - 05/22/18"/>
    <n v="3"/>
    <s v="Venkatesh"/>
    <x v="0"/>
    <x v="0"/>
    <x v="1"/>
  </r>
  <r>
    <n v="164756"/>
    <s v="INFAOP-710"/>
    <x v="1"/>
    <s v="AIX SAN Migration - 05/29/18"/>
    <n v="3"/>
    <s v="Venkatesh"/>
    <x v="0"/>
    <x v="0"/>
    <x v="1"/>
  </r>
  <r>
    <n v="164819"/>
    <s v="INFAOP-711"/>
    <x v="1"/>
    <s v="AIX new build server approvals - Sprint 5/22"/>
    <n v="1"/>
    <s v="Santosh"/>
    <x v="0"/>
    <x v="0"/>
    <x v="1"/>
  </r>
  <r>
    <n v="164824"/>
    <s v="INFAOP-717"/>
    <x v="1"/>
    <s v="Pier/ServiceNow tickets remediation - Sprint 5/22"/>
    <n v="2"/>
    <s v="Venkatesh"/>
    <x v="0"/>
    <x v="0"/>
    <x v="1"/>
  </r>
  <r>
    <n v="164571"/>
    <s v="INFAOP-718"/>
    <x v="1"/>
    <s v="Request L3 IPs for listed servers"/>
    <n v="2"/>
    <s v="Azmath"/>
    <x v="0"/>
    <x v="0"/>
    <x v="1"/>
  </r>
  <r>
    <n v="164572"/>
    <s v="INFAOP-719"/>
    <x v="1"/>
    <s v="Rightsize TTIBM601/602 frames by moving loads to neighboring frames"/>
    <n v="2"/>
    <s v="Jasim"/>
    <x v="0"/>
    <x v="0"/>
    <x v="1"/>
  </r>
  <r>
    <n v="164574"/>
    <s v="INFAOP-720"/>
    <x v="1"/>
    <s v="AIX-Oncall Sprint 05/22 - 06/05"/>
    <n v="5"/>
    <s v="Jasim"/>
    <x v="0"/>
    <x v="0"/>
    <x v="1"/>
  </r>
  <r>
    <n v="164575"/>
    <s v="INFAOP-721"/>
    <x v="1"/>
    <s v="Fix veritas upgrade issue on prdsisp005/006"/>
    <n v="3"/>
    <s v="Azmath"/>
    <x v="0"/>
    <x v="0"/>
    <x v="1"/>
  </r>
  <r>
    <n v="164581"/>
    <s v="INFAOP-722"/>
    <x v="0"/>
    <s v="Test Titan ITM server with ODBC 8 JAR file for Oracle 12c upgrade"/>
    <n v="2"/>
    <s v="Azmath"/>
    <x v="0"/>
    <x v="0"/>
    <x v="0"/>
  </r>
  <r>
    <n v="164825"/>
    <s v="INFAOP-723"/>
    <x v="1"/>
    <s v="high cpu usage across many servers"/>
    <n v="1"/>
    <s v="Santosh"/>
    <x v="0"/>
    <x v="0"/>
    <x v="1"/>
  </r>
  <r>
    <n v="164582"/>
    <s v="INFAOP-724"/>
    <x v="1"/>
    <s v="L2-L3 migration for TMCD DB server"/>
    <n v="2"/>
    <s v="Azmath"/>
    <x v="0"/>
    <x v="0"/>
    <x v="1"/>
  </r>
  <r>
    <n v="165648"/>
    <s v="INFAOP-732"/>
    <x v="1"/>
    <s v="integrate alt_root_backup with SAN migration"/>
    <n v="1"/>
    <s v="Santosh"/>
    <x v="0"/>
    <x v="1"/>
    <x v="1"/>
  </r>
  <r>
    <n v="164324"/>
    <s v="INFUOP-1017"/>
    <x v="1"/>
    <s v="POC - Splunk Expanding Array and adding the New LD with RAID 6  under LVM"/>
    <n v="2"/>
    <s v="Bhuvan"/>
    <x v="1"/>
    <x v="0"/>
    <x v="1"/>
  </r>
  <r>
    <n v="164325"/>
    <s v="INFUOP-1018"/>
    <x v="1"/>
    <s v="Add SPLUNK &quot;unassigned&quot; disks under Array and add with Apps FS"/>
    <n v="3"/>
    <s v="Bhuvan"/>
    <x v="1"/>
    <x v="0"/>
    <x v="1"/>
  </r>
  <r>
    <n v="164326"/>
    <s v="INFUOP-1019"/>
    <x v="0"/>
    <s v="Staging Spectre/Meltdown Firmware POC - All Linux Physical servers RHEL 6+ "/>
    <n v="5"/>
    <s v="Bhuvan"/>
    <x v="1"/>
    <x v="0"/>
    <x v="0"/>
  </r>
  <r>
    <n v="164327"/>
    <s v="INFUOP-1020"/>
    <x v="1"/>
    <s v="SAN Migration - Linux - Week 19"/>
    <n v="3"/>
    <s v="Bhuvan"/>
    <x v="1"/>
    <x v="0"/>
    <x v="1"/>
  </r>
  <r>
    <n v="164331"/>
    <s v="INFUOP-1021"/>
    <x v="1"/>
    <s v="SAN Migration - Linux - Week 20"/>
    <n v="3"/>
    <s v="Bhuvan"/>
    <x v="1"/>
    <x v="0"/>
    <x v="1"/>
  </r>
  <r>
    <n v="164565"/>
    <s v="INFUOP-1027"/>
    <x v="1"/>
    <s v="New Server Build Approvals"/>
    <n v="3"/>
    <s v="Jon"/>
    <x v="1"/>
    <x v="0"/>
    <x v="1"/>
  </r>
  <r>
    <n v="164566"/>
    <s v="INFUOP-1028"/>
    <x v="2"/>
    <s v="Update approval script"/>
    <n v="5"/>
    <s v="Jon"/>
    <x v="1"/>
    <x v="0"/>
    <x v="0"/>
  </r>
  <r>
    <n v="164588"/>
    <s v="INFUOP-1032"/>
    <x v="1"/>
    <s v="Linux Oncall 05-22-2018"/>
    <n v="5"/>
    <s v="Jon"/>
    <x v="1"/>
    <x v="0"/>
    <x v="1"/>
  </r>
  <r>
    <n v="164590"/>
    <s v="INFUOP-1033"/>
    <x v="1"/>
    <s v="Cleanup Cyberark "/>
    <n v="3"/>
    <s v="Mammar"/>
    <x v="1"/>
    <x v="0"/>
    <x v="1"/>
  </r>
  <r>
    <n v="133448"/>
    <s v="INFUOP-740"/>
    <x v="1"/>
    <s v="Clean up 20Tb file system used for the HP-UX =&gt; Linux"/>
    <n v="2"/>
    <s v="Prabal"/>
    <x v="1"/>
    <x v="1"/>
    <x v="1"/>
  </r>
  <r>
    <n v="162671"/>
    <s v="INFUOP-1014"/>
    <x v="2"/>
    <s v="Varonis POC Phase III"/>
    <n v="3"/>
    <s v="Prabal"/>
    <x v="1"/>
    <x v="0"/>
    <x v="0"/>
  </r>
  <r>
    <n v="164616"/>
    <s v="INFUOP-1026"/>
    <x v="1"/>
    <s v="Upgrade INIQ software for NAS team"/>
    <n v="2"/>
    <s v="Prabal"/>
    <x v="1"/>
    <x v="0"/>
    <x v="1"/>
  </r>
  <r>
    <n v="159879"/>
    <s v="INFUOP-995"/>
    <x v="2"/>
    <s v="Kerberos Authentication POC on Linux Platform - Phase 1"/>
    <n v="3"/>
    <s v="Rakesh"/>
    <x v="1"/>
    <x v="0"/>
    <x v="0"/>
  </r>
  <r>
    <n v="164528"/>
    <s v="INFUOP-1024"/>
    <x v="1"/>
    <s v="Cleanup Decommissioned servers on CDOM-pxsun011"/>
    <n v="3"/>
    <s v="Rakesh"/>
    <x v="1"/>
    <x v="0"/>
    <x v="1"/>
  </r>
  <r>
    <n v="164754"/>
    <s v="INFUOP-1031"/>
    <x v="1"/>
    <s v="SOLARIS - SNMP Vulnerability Fix (PROD )"/>
    <n v="3"/>
    <s v="Rakesh"/>
    <x v="1"/>
    <x v="0"/>
    <x v="1"/>
  </r>
  <r>
    <n v="161981"/>
    <s v="INFUOP-1007"/>
    <x v="3"/>
    <s v="Apply puppet module(VOM upgrade) on NPE "/>
    <n v="3"/>
    <s v="Ramesh"/>
    <x v="1"/>
    <x v="0"/>
    <x v="0"/>
  </r>
  <r>
    <n v="163513"/>
    <s v="INFUOP-1016"/>
    <x v="1"/>
    <s v="Puppet module to Install yum-utils and remove amanda-client packages "/>
    <n v="3"/>
    <s v="Ramesh"/>
    <x v="1"/>
    <x v="0"/>
    <x v="1"/>
  </r>
  <r>
    <n v="165954"/>
    <s v="INFUOP-1035"/>
    <x v="0"/>
    <s v="Troubleshooting VOM upgrade issues on AIX"/>
    <n v="3"/>
    <s v="Ramesh"/>
    <x v="1"/>
    <x v="1"/>
    <x v="0"/>
  </r>
  <r>
    <n v="166192"/>
    <s v="INFUOP-1036"/>
    <x v="1"/>
    <s v="UPM install issue on OEL 5 servers"/>
    <n v="3"/>
    <s v="Venkatesh"/>
    <x v="1"/>
    <x v="1"/>
    <x v="1"/>
  </r>
  <r>
    <m/>
    <m/>
    <x v="4"/>
    <m/>
    <m/>
    <m/>
    <x v="2"/>
    <x v="0"/>
    <x v="0"/>
  </r>
  <r>
    <m/>
    <m/>
    <x v="4"/>
    <m/>
    <m/>
    <m/>
    <x v="2"/>
    <x v="0"/>
    <x v="0"/>
  </r>
  <r>
    <m/>
    <m/>
    <x v="4"/>
    <m/>
    <m/>
    <m/>
    <x v="2"/>
    <x v="0"/>
    <x v="0"/>
  </r>
  <r>
    <m/>
    <m/>
    <x v="4"/>
    <m/>
    <m/>
    <m/>
    <x v="2"/>
    <x v="0"/>
    <x v="0"/>
  </r>
  <r>
    <m/>
    <m/>
    <x v="4"/>
    <m/>
    <m/>
    <m/>
    <x v="2"/>
    <x v="0"/>
    <x v="0"/>
  </r>
  <r>
    <m/>
    <m/>
    <x v="4"/>
    <m/>
    <m/>
    <m/>
    <x v="2"/>
    <x v="0"/>
    <x v="0"/>
  </r>
  <r>
    <s v=""/>
    <m/>
    <x v="4"/>
    <m/>
    <m/>
    <m/>
    <x v="2"/>
    <x v="0"/>
    <x v="0"/>
  </r>
  <r>
    <s v=""/>
    <m/>
    <x v="4"/>
    <m/>
    <m/>
    <m/>
    <x v="2"/>
    <x v="0"/>
    <x v="0"/>
  </r>
  <r>
    <s v=""/>
    <m/>
    <x v="4"/>
    <m/>
    <m/>
    <m/>
    <x v="2"/>
    <x v="0"/>
    <x v="0"/>
  </r>
  <r>
    <s v=""/>
    <m/>
    <x v="4"/>
    <m/>
    <m/>
    <m/>
    <x v="2"/>
    <x v="0"/>
    <x v="0"/>
  </r>
  <r>
    <s v=""/>
    <m/>
    <x v="4"/>
    <m/>
    <m/>
    <m/>
    <x v="2"/>
    <x v="0"/>
    <x v="0"/>
  </r>
  <r>
    <s v=""/>
    <m/>
    <x v="4"/>
    <m/>
    <m/>
    <m/>
    <x v="2"/>
    <x v="0"/>
    <x v="0"/>
  </r>
  <r>
    <s v=""/>
    <m/>
    <x v="4"/>
    <m/>
    <m/>
    <m/>
    <x v="2"/>
    <x v="0"/>
    <x v="0"/>
  </r>
  <r>
    <s v=""/>
    <m/>
    <x v="4"/>
    <m/>
    <m/>
    <m/>
    <x v="2"/>
    <x v="0"/>
    <x v="0"/>
  </r>
  <r>
    <s v=""/>
    <m/>
    <x v="4"/>
    <m/>
    <m/>
    <m/>
    <x v="2"/>
    <x v="0"/>
    <x v="0"/>
  </r>
  <r>
    <s v=""/>
    <m/>
    <x v="4"/>
    <m/>
    <m/>
    <m/>
    <x v="2"/>
    <x v="0"/>
    <x v="0"/>
  </r>
  <r>
    <s v=""/>
    <m/>
    <x v="4"/>
    <m/>
    <m/>
    <m/>
    <x v="2"/>
    <x v="0"/>
    <x v="0"/>
  </r>
</pivotCacheRecords>
</file>

<file path=xl/pivotCache/pivotCacheRecords1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">
  <r>
    <n v="172724"/>
    <s v="INFUOP-1077"/>
    <x v="0"/>
    <s v="How to register and open SR for DELL"/>
    <n v="1"/>
    <s v="VAnnapu"/>
    <x v="0"/>
    <x v="0"/>
    <x v="0"/>
  </r>
  <r>
    <n v="169728"/>
    <s v="INFUOP-1058"/>
    <x v="0"/>
    <s v="Remove  Down state VOM agents from Master nodes "/>
    <n v="1"/>
    <s v="RMalemp"/>
    <x v="0"/>
    <x v="0"/>
    <x v="0"/>
  </r>
  <r>
    <n v="169141"/>
    <s v="INFUOP-1057"/>
    <x v="0"/>
    <s v="Solaris Q3 2018 OS Platform Standard Updates!"/>
    <n v="1"/>
    <s v="RMalemp"/>
    <x v="0"/>
    <x v="0"/>
    <x v="0"/>
  </r>
  <r>
    <n v="169221"/>
    <s v="INFUOP-1056"/>
    <x v="0"/>
    <s v="Mem Usage script for Linux 7.x"/>
    <n v="1"/>
    <s v="JChrist30"/>
    <x v="0"/>
    <x v="1"/>
    <x v="0"/>
  </r>
  <r>
    <n v="168943"/>
    <s v="INFUOP-1055"/>
    <x v="0"/>
    <s v="Linux -oncall sprint 06/06"/>
    <n v="5"/>
    <s v="RMalemp"/>
    <x v="0"/>
    <x v="1"/>
    <x v="0"/>
  </r>
  <r>
    <n v="169217"/>
    <s v="INFUOP-1054"/>
    <x v="0"/>
    <s v="UNIX landing Page Improvements "/>
    <n v="3"/>
    <s v="MRashid"/>
    <x v="0"/>
    <x v="1"/>
    <x v="0"/>
  </r>
  <r>
    <n v="169215"/>
    <s v="INFUOP-1053"/>
    <x v="0"/>
    <s v="Puppetize Iptables "/>
    <n v="1"/>
    <s v="MRashid"/>
    <x v="0"/>
    <x v="1"/>
    <x v="0"/>
  </r>
  <r>
    <n v="169067"/>
    <s v="INFUOP-1052"/>
    <x v="0"/>
    <s v="SAN Migration - Linux - Week 22"/>
    <n v="3"/>
    <s v="BMadasa1"/>
    <x v="0"/>
    <x v="1"/>
    <x v="0"/>
  </r>
  <r>
    <n v="169066"/>
    <s v="INFUOP-1051"/>
    <x v="0"/>
    <s v="SAN Migration - Linux - Week 21"/>
    <n v="3"/>
    <s v="BMadasa1"/>
    <x v="0"/>
    <x v="1"/>
    <x v="0"/>
  </r>
  <r>
    <n v="168906"/>
    <s v="INFUOP-1049"/>
    <x v="0"/>
    <s v="New Dell Server Builds (list of issues to work out with Build team)"/>
    <n v="2"/>
    <s v="JChrist30"/>
    <x v="0"/>
    <x v="1"/>
    <x v="0"/>
  </r>
  <r>
    <n v="168905"/>
    <s v="INFUOP-1048"/>
    <x v="0"/>
    <s v="Google Adapter (migration from ENGR LDAP/LOCAL Auth to AD/VAS)"/>
    <n v="2"/>
    <s v="JChrist30"/>
    <x v="0"/>
    <x v="1"/>
    <x v="0"/>
  </r>
  <r>
    <n v="168904"/>
    <s v="INFUOP-1047"/>
    <x v="0"/>
    <s v="New Server Build Approvals"/>
    <n v="3"/>
    <s v="JChrist30"/>
    <x v="0"/>
    <x v="1"/>
    <x v="0"/>
  </r>
  <r>
    <n v="168570"/>
    <s v="INFUOP-1046"/>
    <x v="0"/>
    <s v="Apply puppet module (tmo_ops_packages- remove amanda and install yum-utils) on Linux NPE "/>
    <n v="2"/>
    <s v="Ramesh"/>
    <x v="0"/>
    <x v="1"/>
    <x v="0"/>
  </r>
  <r>
    <n v="168532"/>
    <s v="INFUOP-1042"/>
    <x v="0"/>
    <s v="Cleanup Decommissioned LDOMs on CDOM-pxsun013"/>
    <n v="3"/>
    <s v="VAnnapu"/>
    <x v="0"/>
    <x v="1"/>
    <x v="0"/>
  </r>
  <r>
    <n v="168803"/>
    <s v="INFUOP-1041"/>
    <x v="0"/>
    <s v="RPMDB issue on OEL5 servers"/>
    <n v="3"/>
    <s v="VS"/>
    <x v="0"/>
    <x v="1"/>
    <x v="0"/>
  </r>
  <r>
    <n v="165954"/>
    <s v="INFUOP-1035"/>
    <x v="0"/>
    <s v="Troubleshooting VOM upgrade issues on AIX"/>
    <n v="3"/>
    <s v="RMalemp"/>
    <x v="0"/>
    <x v="1"/>
    <x v="0"/>
  </r>
  <r>
    <n v="164566"/>
    <s v="INFUOP-1028"/>
    <x v="1"/>
    <s v="Update approval script"/>
    <n v="5"/>
    <s v="JChrist30"/>
    <x v="0"/>
    <x v="1"/>
    <x v="1"/>
  </r>
  <r>
    <n v="164529"/>
    <s v="INFUOP-1025"/>
    <x v="0"/>
    <s v="Cleanup Decommissioned servers on CDOM-pxsun012/005"/>
    <n v="3"/>
    <s v="RMalemp"/>
    <x v="0"/>
    <x v="1"/>
    <x v="0"/>
  </r>
  <r>
    <n v="162671"/>
    <s v="INFUOP-1014"/>
    <x v="2"/>
    <s v="Varonis POC Phase III"/>
    <n v="3"/>
    <s v="PMalla2"/>
    <x v="0"/>
    <x v="1"/>
    <x v="1"/>
  </r>
  <r>
    <n v="159879"/>
    <s v="INFUOP-995"/>
    <x v="1"/>
    <s v="Kerberos Authentication POC on Linux Platform - Phase 1"/>
    <n v="3"/>
    <s v="VAnnapu"/>
    <x v="0"/>
    <x v="1"/>
    <x v="1"/>
  </r>
  <r>
    <n v="155449"/>
    <s v="INFUOP-968"/>
    <x v="0"/>
    <s v="Troubleshooting Qualys agent failures on Linux nodes"/>
    <n v="1"/>
    <s v="RMalemp"/>
    <x v="0"/>
    <x v="1"/>
    <x v="0"/>
  </r>
  <r>
    <n v="147871"/>
    <s v="INFUOP-921"/>
    <x v="3"/>
    <s v="Remove Veritas DMP on rephub servers "/>
    <n v="1"/>
    <s v="Prabal"/>
    <x v="0"/>
    <x v="1"/>
    <x v="1"/>
  </r>
  <r>
    <n v="146259"/>
    <s v="INFUOP-905"/>
    <x v="0"/>
    <s v="POC - Managing iLO Local password through CyberArk"/>
    <n v="2"/>
    <s v="BMadasa1"/>
    <x v="0"/>
    <x v="0"/>
    <x v="0"/>
  </r>
  <r>
    <n v="132868"/>
    <s v="INFUOP-722"/>
    <x v="0"/>
    <s v="how to upgrade Dell firmware Document"/>
    <n v="3"/>
    <s v="VAnnapu"/>
    <x v="0"/>
    <x v="1"/>
    <x v="0"/>
  </r>
  <r>
    <n v="172962"/>
    <s v="INFAOP-758"/>
    <x v="3"/>
    <s v="Modification on alt_root_backup &amp; prepare boot lun migration scripts"/>
    <n v="2"/>
    <s v="Santosh"/>
    <x v="1"/>
    <x v="0"/>
    <x v="0"/>
  </r>
  <r>
    <n v="169121"/>
    <s v="INFAOP-755"/>
    <x v="0"/>
    <s v="AIX new build server approvals - Sprint 6/6"/>
    <n v="1"/>
    <s v="SPadiya1"/>
    <x v="1"/>
    <x v="1"/>
    <x v="0"/>
  </r>
  <r>
    <n v="168937"/>
    <s v="INFAOP-754"/>
    <x v="0"/>
    <s v="Reconfigure NPE ITM to use ODBC 6 JAR FILE for Oracle 12c upgrade project"/>
    <n v="3"/>
    <s v="AKhan130"/>
    <x v="1"/>
    <x v="1"/>
    <x v="0"/>
  </r>
  <r>
    <n v="168924"/>
    <s v="INFAOP-753"/>
    <x v="1"/>
    <s v="Adding Low PRI across all the veritas cluster servers."/>
    <n v="2"/>
    <m/>
    <x v="1"/>
    <x v="1"/>
    <x v="1"/>
  </r>
  <r>
    <n v="168923"/>
    <s v="INFAOP-752"/>
    <x v="1"/>
    <s v="TITAN tthmc601 frames current  PIF evaluation"/>
    <n v="3"/>
    <m/>
    <x v="1"/>
    <x v="1"/>
    <x v="1"/>
  </r>
  <r>
    <n v="168890"/>
    <s v="INFAOP-751"/>
    <x v="0"/>
    <s v="AIX-Oncall Sprint 06/06"/>
    <n v="5"/>
    <s v="VS"/>
    <x v="1"/>
    <x v="1"/>
    <x v="0"/>
  </r>
  <r>
    <n v="168538"/>
    <s v="INFAOP-741"/>
    <x v="0"/>
    <s v="AIX SAN Migrations - 6/12/2018"/>
    <n v="3"/>
    <s v="VS"/>
    <x v="1"/>
    <x v="0"/>
    <x v="0"/>
  </r>
  <r>
    <n v="168537"/>
    <s v="INFAOP-740"/>
    <x v="0"/>
    <s v="AIX SAN Migrations -  6/5/2018"/>
    <n v="3"/>
    <s v="VS"/>
    <x v="1"/>
    <x v="0"/>
    <x v="0"/>
  </r>
  <r>
    <n v="168802"/>
    <s v="INFAOP-738"/>
    <x v="0"/>
    <s v="Fixing Enclosure name for boot lun migration"/>
    <n v="2"/>
    <s v="VS"/>
    <x v="1"/>
    <x v="0"/>
    <x v="0"/>
  </r>
  <r>
    <n v="168107"/>
    <s v="INFAOP-736"/>
    <x v="0"/>
    <s v="Polaris PROD Cluster nodes on same Frame"/>
    <n v="3"/>
    <s v="Jasim"/>
    <x v="1"/>
    <x v="1"/>
    <x v="0"/>
  </r>
  <r>
    <n v="166194"/>
    <s v="INFAOP-733"/>
    <x v="0"/>
    <s v="DMP rootability issue after boot lun migration"/>
    <n v="2"/>
    <s v="VS"/>
    <x v="1"/>
    <x v="0"/>
    <x v="0"/>
  </r>
  <r>
    <n v="164595"/>
    <s v="INFAOP-730"/>
    <x v="0"/>
    <s v="PRD frame Meltdown/Spectre fix batch-4"/>
    <n v="3"/>
    <s v="MJasim"/>
    <x v="1"/>
    <x v="1"/>
    <x v="0"/>
  </r>
  <r>
    <n v="164593"/>
    <s v="INFAOP-729"/>
    <x v="0"/>
    <s v="PRD frame Meltdown/Spectre fix batch-3"/>
    <n v="3"/>
    <s v="MJasim"/>
    <x v="1"/>
    <x v="1"/>
    <x v="0"/>
  </r>
  <r>
    <n v="164835"/>
    <s v="INFAOP-728"/>
    <x v="3"/>
    <s v="POC - LDAP integration with HMC [ Task Role with AD ]"/>
    <n v="2"/>
    <s v="Bhuvan"/>
    <x v="1"/>
    <x v="1"/>
    <x v="0"/>
  </r>
  <r>
    <n v="160417"/>
    <s v="INFAOP-686"/>
    <x v="1"/>
    <s v="Cluster reconfigure - prdspgc801 &amp; prdspgc802"/>
    <n v="3"/>
    <s v="MAbdul1"/>
    <x v="1"/>
    <x v="1"/>
    <x v="1"/>
  </r>
  <r>
    <n v="160415"/>
    <s v="INFAOP-685"/>
    <x v="1"/>
    <s v="Cluster reconfigure - prdspap801 &amp; prdspap802"/>
    <n v="3"/>
    <s v="MAbdul1"/>
    <x v="1"/>
    <x v="1"/>
    <x v="1"/>
  </r>
  <r>
    <n v="147608"/>
    <s v="INFAOP-598"/>
    <x v="1"/>
    <s v="Investigate the missing ITM data for listed servers"/>
    <n v="3"/>
    <s v="AKhan130"/>
    <x v="1"/>
    <x v="1"/>
    <x v="1"/>
  </r>
  <r>
    <n v="141394"/>
    <s v="INFAOP-523"/>
    <x v="0"/>
    <s v="YUM Implementation - configure YUM on AIX hosts"/>
    <n v="3"/>
    <s v="Santosh"/>
    <x v="1"/>
    <x v="0"/>
    <x v="0"/>
  </r>
  <r>
    <n v="139793"/>
    <s v="INFAOP-512"/>
    <x v="0"/>
    <s v="Automate LVM lun migration - NPE config"/>
    <n v="5"/>
    <s v="SPadiya1"/>
    <x v="1"/>
    <x v="1"/>
    <x v="0"/>
  </r>
  <r>
    <n v="136364"/>
    <s v="INFAOP-452"/>
    <x v="3"/>
    <s v="TTIBM609 Frame Rebuild -Phase 1"/>
    <n v="3"/>
    <s v="Muqtadir"/>
    <x v="1"/>
    <x v="0"/>
    <x v="0"/>
  </r>
  <r>
    <n v="136359"/>
    <s v="INFAOP-447"/>
    <x v="3"/>
    <s v="PXIBM208 Frame Rebuild -Phase 2"/>
    <n v="5"/>
    <s v="Azmath"/>
    <x v="1"/>
    <x v="0"/>
    <x v="0"/>
  </r>
  <r>
    <n v="136357"/>
    <s v="INFAOP-445"/>
    <x v="0"/>
    <s v="FRAME REBUILD PHASE2-TTIBM605"/>
    <n v="5"/>
    <s v="MAbdul1"/>
    <x v="1"/>
    <x v="0"/>
    <x v="0"/>
  </r>
  <r>
    <s v=""/>
    <m/>
    <x v="4"/>
    <m/>
    <m/>
    <m/>
    <x v="2"/>
    <x v="1"/>
    <x v="1"/>
  </r>
  <r>
    <s v=""/>
    <m/>
    <x v="4"/>
    <m/>
    <m/>
    <m/>
    <x v="2"/>
    <x v="1"/>
    <x v="1"/>
  </r>
  <r>
    <s v=""/>
    <m/>
    <x v="4"/>
    <m/>
    <m/>
    <m/>
    <x v="2"/>
    <x v="1"/>
    <x v="1"/>
  </r>
  <r>
    <s v=""/>
    <m/>
    <x v="4"/>
    <m/>
    <m/>
    <m/>
    <x v="2"/>
    <x v="1"/>
    <x v="1"/>
  </r>
  <r>
    <s v=""/>
    <m/>
    <x v="4"/>
    <m/>
    <m/>
    <m/>
    <x v="2"/>
    <x v="1"/>
    <x v="1"/>
  </r>
  <r>
    <s v=""/>
    <m/>
    <x v="4"/>
    <m/>
    <m/>
    <m/>
    <x v="2"/>
    <x v="1"/>
    <x v="1"/>
  </r>
  <r>
    <s v=""/>
    <m/>
    <x v="4"/>
    <m/>
    <m/>
    <m/>
    <x v="2"/>
    <x v="1"/>
    <x v="1"/>
  </r>
  <r>
    <s v=""/>
    <m/>
    <x v="4"/>
    <m/>
    <m/>
    <m/>
    <x v="2"/>
    <x v="1"/>
    <x v="1"/>
  </r>
  <r>
    <s v=""/>
    <m/>
    <x v="4"/>
    <m/>
    <m/>
    <m/>
    <x v="2"/>
    <x v="1"/>
    <x v="1"/>
  </r>
  <r>
    <s v=""/>
    <m/>
    <x v="4"/>
    <m/>
    <m/>
    <m/>
    <x v="2"/>
    <x v="1"/>
    <x v="1"/>
  </r>
</pivotCacheRecords>
</file>

<file path=xl/pivotCache/pivotCacheRecords1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">
  <r>
    <n v="136360"/>
    <s v="INFAOP-448"/>
    <x v="0"/>
    <s v="PXIBM209 Frame Rebuild -Phase 1"/>
    <n v="3"/>
    <s v="AKhan130"/>
    <x v="0"/>
    <x v="0"/>
    <x v="0"/>
  </r>
  <r>
    <n v="139794"/>
    <s v="INFAOP-513"/>
    <x v="1"/>
    <s v="Automate ASM lun migration"/>
    <n v="3"/>
    <s v="SPadiya1"/>
    <x v="0"/>
    <x v="0"/>
    <x v="0"/>
  </r>
  <r>
    <n v="147608"/>
    <s v="INFAOP-598"/>
    <x v="1"/>
    <s v="Investigate the missing ITM data for listed servers"/>
    <n v="3"/>
    <s v="AKhan130"/>
    <x v="0"/>
    <x v="0"/>
    <x v="0"/>
  </r>
  <r>
    <n v="160415"/>
    <s v="INFAOP-685"/>
    <x v="2"/>
    <s v="Cluster reconfigure - prdspap801 &amp; prdspap802"/>
    <n v="3"/>
    <s v="MAbdul1"/>
    <x v="0"/>
    <x v="0"/>
    <x v="1"/>
  </r>
  <r>
    <n v="160417"/>
    <s v="INFAOP-686"/>
    <x v="2"/>
    <s v="Cluster reconfigure - prdspgc801 &amp; prdspgc802"/>
    <n v="3"/>
    <s v="MAbdul1"/>
    <x v="0"/>
    <x v="0"/>
    <x v="1"/>
  </r>
  <r>
    <n v="164835"/>
    <s v="INFAOP-728"/>
    <x v="1"/>
    <s v="POC - LDAP integration with HMC [ Task Role with AD ]"/>
    <n v="2"/>
    <s v="BMadasa1"/>
    <x v="0"/>
    <x v="0"/>
    <x v="0"/>
  </r>
  <r>
    <n v="168258"/>
    <s v="INFAOP-737"/>
    <x v="2"/>
    <s v="Add &quot;Fencing DG&quot; part of VX elements upgrade"/>
    <n v="2"/>
    <s v="BMadasa1"/>
    <x v="0"/>
    <x v="0"/>
    <x v="1"/>
  </r>
  <r>
    <n v="168923"/>
    <s v="INFAOP-752"/>
    <x v="2"/>
    <s v="TITAN tthmc601 frames current  PIF evaluation"/>
    <n v="3"/>
    <s v="MAbdul1"/>
    <x v="0"/>
    <x v="0"/>
    <x v="1"/>
  </r>
  <r>
    <n v="168924"/>
    <s v="INFAOP-753"/>
    <x v="2"/>
    <s v="Adding Low PRI across all the veritas cluster servers."/>
    <n v="2"/>
    <s v="MAbdul1"/>
    <x v="0"/>
    <x v="0"/>
    <x v="1"/>
  </r>
  <r>
    <n v="173030"/>
    <s v="INFAOP-759"/>
    <x v="0"/>
    <s v="VIO's Q1 2018 Patching - PXVXI260A/B"/>
    <n v="3"/>
    <s v="MJasim"/>
    <x v="0"/>
    <x v="0"/>
    <x v="0"/>
  </r>
  <r>
    <n v="174241"/>
    <s v="INFAOP-760"/>
    <x v="2"/>
    <s v="AIX SAN Migrations - 06/19/2018"/>
    <n v="3"/>
    <s v="VS"/>
    <x v="0"/>
    <x v="0"/>
    <x v="1"/>
  </r>
  <r>
    <n v="174242"/>
    <s v="INFAOP-761"/>
    <x v="2"/>
    <s v="AIX SAN Migrations - 06/26/2018"/>
    <n v="3"/>
    <s v="VS"/>
    <x v="0"/>
    <x v="0"/>
    <x v="1"/>
  </r>
  <r>
    <n v="174243"/>
    <s v="INFAOP-762"/>
    <x v="2"/>
    <s v="Automating the bootlun config file cleanup"/>
    <n v="3"/>
    <s v="VS"/>
    <x v="0"/>
    <x v="0"/>
    <x v="1"/>
  </r>
  <r>
    <n v="174180"/>
    <s v="INFAOP-763"/>
    <x v="2"/>
    <s v="AIX-Oncall Sprint 06/19"/>
    <n v="5"/>
    <s v="MJasim"/>
    <x v="0"/>
    <x v="0"/>
    <x v="1"/>
  </r>
  <r>
    <n v="174022"/>
    <s v="INFAOP-765"/>
    <x v="2"/>
    <s v="Enhancements for Veritas SAN migration scripts"/>
    <n v="2"/>
    <s v="SPadiya1"/>
    <x v="0"/>
    <x v="0"/>
    <x v="1"/>
  </r>
  <r>
    <n v="174999"/>
    <s v="INFAOP-766"/>
    <x v="2"/>
    <s v="L2-L3 migration for active ADM DB servers"/>
    <n v="3"/>
    <s v="AKhan130"/>
    <x v="0"/>
    <x v="0"/>
    <x v="1"/>
  </r>
  <r>
    <n v="175200"/>
    <s v="INFAOP-767"/>
    <x v="2"/>
    <s v="Prep-work for L2-L3 migration "/>
    <m/>
    <s v="AKhan130"/>
    <x v="0"/>
    <x v="0"/>
    <x v="1"/>
  </r>
  <r>
    <n v="175201"/>
    <s v="INFAOP-768"/>
    <x v="2"/>
    <s v="Maintenance tasks for L2-L3 migration "/>
    <m/>
    <s v="AKhan130"/>
    <x v="0"/>
    <x v="0"/>
    <x v="1"/>
  </r>
  <r>
    <n v="175202"/>
    <s v="INFAOP-769"/>
    <x v="2"/>
    <s v="Post-migration tasks "/>
    <m/>
    <s v="AKhan130"/>
    <x v="0"/>
    <x v="0"/>
    <x v="1"/>
  </r>
  <r>
    <n v="174893"/>
    <s v="INFAOP-770"/>
    <x v="2"/>
    <s v="AIX new build server approvals - Sprint 6/19"/>
    <n v="1"/>
    <s v="SPadiya1"/>
    <x v="0"/>
    <x v="0"/>
    <x v="1"/>
  </r>
  <r>
    <n v="174894"/>
    <s v="INFAOP-771"/>
    <x v="2"/>
    <s v="Define Q3 2018 AIX platform standards"/>
    <n v="3"/>
    <s v="SPadiya1"/>
    <x v="0"/>
    <x v="0"/>
    <x v="1"/>
  </r>
  <r>
    <n v="175405"/>
    <s v="INFAOP-772"/>
    <x v="2"/>
    <s v="Adding low-pri to TTIBM609 frame cluster for LPM"/>
    <n v="1"/>
    <s v="MJasim"/>
    <x v="0"/>
    <x v="1"/>
    <x v="1"/>
  </r>
  <r>
    <n v="175903"/>
    <s v="INFAOP-773"/>
    <x v="2"/>
    <s v="VxVM Cleanup"/>
    <n v="2"/>
    <s v="BMadasa1"/>
    <x v="0"/>
    <x v="1"/>
    <x v="1"/>
  </r>
  <r>
    <n v="176931"/>
    <s v="INFAOP-774"/>
    <x v="2"/>
    <s v="TTIBM609 frame evacuation"/>
    <n v="2"/>
    <s v="MJasim"/>
    <x v="0"/>
    <x v="1"/>
    <x v="1"/>
  </r>
  <r>
    <n v="176960"/>
    <s v="INFAOP-775"/>
    <x v="2"/>
    <s v="Patching issues on PRD servers while upgrading VX-Elements"/>
    <m/>
    <s v="MJasim"/>
    <x v="0"/>
    <x v="0"/>
    <x v="1"/>
  </r>
  <r>
    <n v="176961"/>
    <s v="INFAOP-776"/>
    <x v="2"/>
    <s v="Patching issues on SAP NPE servers"/>
    <m/>
    <s v="MJasim"/>
    <x v="0"/>
    <x v="0"/>
    <x v="1"/>
  </r>
  <r>
    <n v="176962"/>
    <s v="INFAOP-777"/>
    <x v="2"/>
    <s v="Prdrpxx001/002 DB crashed "/>
    <m/>
    <s v="MJasim"/>
    <x v="0"/>
    <x v="0"/>
    <x v="1"/>
  </r>
  <r>
    <n v="177163"/>
    <s v="INFAOP-778"/>
    <x v="2"/>
    <s v="DB crash on prdrpxx001/002"/>
    <m/>
    <s v="MJasim"/>
    <x v="0"/>
    <x v="0"/>
    <x v="1"/>
  </r>
  <r>
    <n v="179150"/>
    <s v="INFAOP-782"/>
    <x v="2"/>
    <s v="Minotaur NPE &amp; PROD Firmware patching"/>
    <n v="3"/>
    <s v="AKhan130"/>
    <x v="0"/>
    <x v="1"/>
    <x v="1"/>
  </r>
  <r>
    <n v="179152"/>
    <s v="INFAOP-783"/>
    <x v="1"/>
    <s v="AIX Patch Pipe Line - Phase I"/>
    <n v="3"/>
    <s v="AKhan130"/>
    <x v="0"/>
    <x v="1"/>
    <x v="0"/>
  </r>
  <r>
    <n v="164520"/>
    <s v="INFUOP-1023"/>
    <x v="2"/>
    <s v="puppet module for Netbackup client Upgrade on Linux &amp; AIX servers to 8.1"/>
    <n v="5"/>
    <s v="RMalemp"/>
    <x v="1"/>
    <x v="0"/>
    <x v="1"/>
  </r>
  <r>
    <n v="168534"/>
    <s v="INFUOP-1043"/>
    <x v="2"/>
    <s v="Cleanup Decommissioned servers on CDOM-pxsun014"/>
    <n v="3"/>
    <s v="VAnnapu"/>
    <x v="1"/>
    <x v="0"/>
    <x v="1"/>
  </r>
  <r>
    <n v="169065"/>
    <s v="INFUOP-1050"/>
    <x v="2"/>
    <s v="Linux Oncall 06-19-2018"/>
    <n v="3"/>
    <s v="MRashid"/>
    <x v="1"/>
    <x v="0"/>
    <x v="1"/>
  </r>
  <r>
    <n v="173139"/>
    <s v="INFUOP-1085"/>
    <x v="2"/>
    <s v="Remove VERITAS from RHEL 7.x (admplusec0007 Server)"/>
    <n v="2"/>
    <s v="VAnnapu"/>
    <x v="1"/>
    <x v="0"/>
    <x v="1"/>
  </r>
  <r>
    <n v="172991"/>
    <s v="INFUOP-1086"/>
    <x v="2"/>
    <s v="Cleanup Decommissioned servers on CDOM-pxsun006"/>
    <n v="2"/>
    <s v="VAnnapu"/>
    <x v="1"/>
    <x v="0"/>
    <x v="1"/>
  </r>
  <r>
    <n v="172992"/>
    <s v="INFUOP-1087"/>
    <x v="2"/>
    <s v="Cleanup Decommissioned servers on CDOM-pxsun007"/>
    <n v="2"/>
    <s v="VAnnapu"/>
    <x v="1"/>
    <x v="0"/>
    <x v="1"/>
  </r>
  <r>
    <n v="172995"/>
    <s v="INFUOP-1090"/>
    <x v="2"/>
    <s v="Reconfigure active LDOM's in OPscenter for live migration "/>
    <n v="3"/>
    <s v="RMalemp"/>
    <x v="1"/>
    <x v="0"/>
    <x v="1"/>
  </r>
  <r>
    <n v="174849"/>
    <s v="INFUOP-1097"/>
    <x v="2"/>
    <s v="SAN Migration - Linux - Week 23  [ June 19 - 22 ]"/>
    <n v="3"/>
    <s v="BMadasa1"/>
    <x v="1"/>
    <x v="0"/>
    <x v="1"/>
  </r>
  <r>
    <n v="174850"/>
    <s v="INFUOP-1098"/>
    <x v="2"/>
    <s v="SAN Migration - Linux - Week 24 [  [ June 25 -29 ]"/>
    <n v="3"/>
    <s v="BMadasa1"/>
    <x v="1"/>
    <x v="0"/>
    <x v="1"/>
  </r>
  <r>
    <n v="174851"/>
    <s v="INFUOP-1099"/>
    <x v="1"/>
    <s v="KB Article - Documenting Linux Soft RAID "/>
    <n v="2"/>
    <s v="BMadasa1"/>
    <x v="1"/>
    <x v="0"/>
    <x v="0"/>
  </r>
  <r>
    <n v="174979"/>
    <s v="INFUOP-1100"/>
    <x v="2"/>
    <s v="Service Now Last Patch Date Update"/>
    <n v="2"/>
    <s v="PMalla2"/>
    <x v="1"/>
    <x v="0"/>
    <x v="1"/>
  </r>
  <r>
    <n v="174852"/>
    <s v="INFUOP-1101"/>
    <x v="0"/>
    <s v="UPM - Titan Servers Disconnections - troubleshooting"/>
    <n v="2"/>
    <s v="BMadasa1"/>
    <x v="1"/>
    <x v="0"/>
    <x v="0"/>
  </r>
  <r>
    <n v="174980"/>
    <s v="INFUOP-1102"/>
    <x v="2"/>
    <s v="Service Now Data Integrity Validation"/>
    <n v="2"/>
    <s v="PMalla2"/>
    <x v="1"/>
    <x v="0"/>
    <x v="1"/>
  </r>
  <r>
    <n v="174994"/>
    <s v="INFUOP-1103"/>
    <x v="0"/>
    <s v="VIOM Maintenance "/>
    <n v="3"/>
    <s v="MRashid"/>
    <x v="1"/>
    <x v="0"/>
    <x v="0"/>
  </r>
  <r>
    <n v="174996"/>
    <s v="INFUOP-1104"/>
    <x v="2"/>
    <s v="Server Approvals"/>
    <n v="3"/>
    <s v="JChrist30"/>
    <x v="1"/>
    <x v="0"/>
    <x v="1"/>
  </r>
  <r>
    <n v="174997"/>
    <s v="INFUOP-1105"/>
    <x v="2"/>
    <s v="Troubleshoot/update the puppet module (tmo_ops_packages) "/>
    <n v="3"/>
    <s v="RMalemp"/>
    <x v="1"/>
    <x v="0"/>
    <x v="1"/>
  </r>
  <r>
    <n v="174866"/>
    <s v="INFUOP-1108"/>
    <x v="2"/>
    <s v="Linux - Health-check - Pre Patching - Additional Checks"/>
    <n v="1"/>
    <s v="BMadasa1"/>
    <x v="1"/>
    <x v="0"/>
    <x v="1"/>
  </r>
  <r>
    <n v="174867"/>
    <s v="INFUOP-1109"/>
    <x v="2"/>
    <s v="Linux - Physical server mirror Break &amp; Remirror monitoring - June 19 - Jul 01"/>
    <n v="1"/>
    <s v="BMadasa1"/>
    <x v="1"/>
    <x v="0"/>
    <x v="1"/>
  </r>
  <r>
    <n v="177014"/>
    <s v="INFUOP-1110"/>
    <x v="2"/>
    <s v="Solaris -last patched date for service now discovery "/>
    <n v="3"/>
    <s v="RMalemp"/>
    <x v="1"/>
    <x v="1"/>
    <x v="1"/>
  </r>
  <r>
    <n v="177654"/>
    <s v="INFUOP-1111"/>
    <x v="2"/>
    <s v="SSH Keys with PuTTY on Windows and use on Linux - Testing"/>
    <n v="2"/>
    <s v="VAnnapu"/>
    <x v="1"/>
    <x v="1"/>
    <x v="1"/>
  </r>
  <r>
    <n v="179572"/>
    <s v="INFUOP-1114"/>
    <x v="2"/>
    <s v="L3 IP requests"/>
    <n v="2"/>
    <s v="AKhan130"/>
    <x v="1"/>
    <x v="1"/>
    <x v="1"/>
  </r>
  <r>
    <n v="147871"/>
    <s v="INFUOP-921"/>
    <x v="1"/>
    <s v="Remove Veritas DMP on rephub servers "/>
    <n v="1"/>
    <s v="PMalla2"/>
    <x v="1"/>
    <x v="0"/>
    <x v="0"/>
  </r>
  <r>
    <n v="154938"/>
    <s v="INFUOP-964"/>
    <x v="1"/>
    <s v="Clean up tmo_puppet_depotmaster.txt fact "/>
    <n v="1"/>
    <s v="MRashid"/>
    <x v="1"/>
    <x v="0"/>
    <x v="0"/>
  </r>
  <r>
    <s v=""/>
    <m/>
    <x v="3"/>
    <m/>
    <m/>
    <m/>
    <x v="2"/>
    <x v="0"/>
    <x v="0"/>
  </r>
  <r>
    <s v=""/>
    <m/>
    <x v="3"/>
    <m/>
    <m/>
    <m/>
    <x v="2"/>
    <x v="0"/>
    <x v="0"/>
  </r>
  <r>
    <s v=""/>
    <m/>
    <x v="3"/>
    <m/>
    <m/>
    <m/>
    <x v="2"/>
    <x v="0"/>
    <x v="0"/>
  </r>
  <r>
    <s v=""/>
    <m/>
    <x v="3"/>
    <m/>
    <m/>
    <m/>
    <x v="2"/>
    <x v="0"/>
    <x v="0"/>
  </r>
  <r>
    <s v=""/>
    <m/>
    <x v="3"/>
    <m/>
    <m/>
    <m/>
    <x v="2"/>
    <x v="0"/>
    <x v="0"/>
  </r>
  <r>
    <s v=""/>
    <m/>
    <x v="3"/>
    <m/>
    <m/>
    <m/>
    <x v="2"/>
    <x v="0"/>
    <x v="0"/>
  </r>
  <r>
    <s v=""/>
    <m/>
    <x v="3"/>
    <m/>
    <m/>
    <m/>
    <x v="2"/>
    <x v="0"/>
    <x v="0"/>
  </r>
  <r>
    <s v=""/>
    <m/>
    <x v="3"/>
    <m/>
    <m/>
    <m/>
    <x v="2"/>
    <x v="0"/>
    <x v="0"/>
  </r>
</pivotCacheRecords>
</file>

<file path=xl/pivotCache/pivotCacheRecords1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2">
  <r>
    <n v="198152"/>
    <s v="INFUOP-1191"/>
    <x v="0"/>
    <s v="CPU upgrade for 2 HP Physical cassandra nodes"/>
    <s v="VAnnapu"/>
    <n v="1"/>
    <x v="0"/>
    <x v="0"/>
    <x v="0"/>
  </r>
  <r>
    <n v="195165"/>
    <s v="INFUOP-1187"/>
    <x v="0"/>
    <s v="Patch Q3 VIOM Servers "/>
    <s v="MRashid"/>
    <n v="1"/>
    <x v="0"/>
    <x v="0"/>
    <x v="0"/>
  </r>
  <r>
    <n v="194000"/>
    <s v="INFUOP-1186"/>
    <x v="0"/>
    <s v="ProLiant DL360 Firmware upgrade on peltlenbe0002"/>
    <s v="VS"/>
    <n v="1"/>
    <x v="0"/>
    <x v="0"/>
    <x v="0"/>
  </r>
  <r>
    <n v="193870"/>
    <s v="INFUOP-1185"/>
    <x v="0"/>
    <s v="Patch Unix Teams' Linux Servers under Kevin Luu for Q3 2018"/>
    <s v="PMalla2"/>
    <n v="2"/>
    <x v="0"/>
    <x v="0"/>
    <x v="0"/>
  </r>
  <r>
    <n v="193500"/>
    <s v="INFUOP-1184"/>
    <x v="0"/>
    <s v="Linux -oncall sprint 07/31"/>
    <s v="MRashid"/>
    <n v="3"/>
    <x v="0"/>
    <x v="1"/>
    <x v="0"/>
  </r>
  <r>
    <n v="193070"/>
    <s v="INFUOP-1183"/>
    <x v="0"/>
    <s v="NPE - iLO Firmware Upgrade"/>
    <s v="BMadasa1"/>
    <n v="3"/>
    <x v="0"/>
    <x v="1"/>
    <x v="0"/>
  </r>
  <r>
    <n v="193069"/>
    <s v="INFUOP-1182"/>
    <x v="0"/>
    <s v="Linux - SAN migration - Final validation"/>
    <s v="BMadasa1"/>
    <n v="1"/>
    <x v="0"/>
    <x v="1"/>
    <x v="0"/>
  </r>
  <r>
    <n v="193179"/>
    <s v="INFUOP-1181"/>
    <x v="0"/>
    <s v="Document Docker Standards for Linux - Phase 2 (reviewing initial doc/new updates) "/>
    <s v="Rakesh"/>
    <n v="3"/>
    <x v="0"/>
    <x v="1"/>
    <x v="1"/>
  </r>
  <r>
    <n v="193322"/>
    <s v="INFUOP-1180"/>
    <x v="0"/>
    <s v="Google Adapter integration/conversion to AD authentication"/>
    <s v="JChrist30"/>
    <n v="8"/>
    <x v="0"/>
    <x v="1"/>
    <x v="0"/>
  </r>
  <r>
    <n v="193321"/>
    <s v="INFUOP-1179"/>
    <x v="0"/>
    <s v="New Server Build approvals"/>
    <s v="JChrist30"/>
    <n v="2"/>
    <x v="0"/>
    <x v="1"/>
    <x v="0"/>
  </r>
  <r>
    <n v="193035"/>
    <s v="INFUOP-1178"/>
    <x v="0"/>
    <s v="Fix Hardware/Rebuilding Dell Server prdtlcsdp008b"/>
    <s v="VAnnapu"/>
    <n v="3"/>
    <x v="0"/>
    <x v="1"/>
    <x v="0"/>
  </r>
  <r>
    <n v="193219"/>
    <s v="INFUOP-1177"/>
    <x v="0"/>
    <s v="puppet module for truecall app install/upgrade"/>
    <s v="RMalemp"/>
    <n v="5"/>
    <x v="0"/>
    <x v="1"/>
    <x v="0"/>
  </r>
  <r>
    <n v="192928"/>
    <s v="INFUOP-1176"/>
    <x v="0"/>
    <s v="Update Puppet Team with Iptables Requirement "/>
    <s v="MRashid"/>
    <n v="1"/>
    <x v="0"/>
    <x v="1"/>
    <x v="0"/>
  </r>
  <r>
    <n v="192927"/>
    <s v="INFUOP-1175"/>
    <x v="0"/>
    <s v="Enable Prd Iptables log "/>
    <s v="MRashid"/>
    <n v="3"/>
    <x v="0"/>
    <x v="1"/>
    <x v="0"/>
  </r>
  <r>
    <n v="192926"/>
    <s v="INFUOP-1174"/>
    <x v="0"/>
    <s v="Enable Qat Iptables log "/>
    <s v="MRashid"/>
    <n v="1"/>
    <x v="0"/>
    <x v="1"/>
    <x v="0"/>
  </r>
  <r>
    <n v="192925"/>
    <s v="INFUOP-1173"/>
    <x v="0"/>
    <s v="Decom Intake with AD cleanup "/>
    <s v="MRashid"/>
    <n v="1"/>
    <x v="0"/>
    <x v="1"/>
    <x v="0"/>
  </r>
  <r>
    <n v="192924"/>
    <s v="INFUOP-1172"/>
    <x v="0"/>
    <s v="Decom Intake with VOM Improvements "/>
    <s v="MRashid"/>
    <n v="1"/>
    <x v="0"/>
    <x v="1"/>
    <x v="0"/>
  </r>
  <r>
    <n v="192642"/>
    <s v="INFUOP-1170"/>
    <x v="0"/>
    <s v="Roll out puppet modules  across all nodes "/>
    <s v="Ramesh"/>
    <n v="3"/>
    <x v="0"/>
    <x v="1"/>
    <x v="1"/>
  </r>
  <r>
    <n v="187404"/>
    <s v="INFUOP-1162"/>
    <x v="1"/>
    <s v="expired KB article updates (2 KB article updates with Karen C.)"/>
    <s v="Jon"/>
    <n v="2"/>
    <x v="0"/>
    <x v="1"/>
    <x v="1"/>
  </r>
  <r>
    <n v="187403"/>
    <s v="INFUOP-1161"/>
    <x v="2"/>
    <s v="Linux Platform Standard - incorporate audit findings from Geoff Ansara's team"/>
    <s v="Jon"/>
    <n v="1"/>
    <x v="0"/>
    <x v="1"/>
    <x v="1"/>
  </r>
  <r>
    <n v="186980"/>
    <s v="INFUOP-1155"/>
    <x v="0"/>
    <s v="Test Iptables new config on devehdpxxx"/>
    <s v="MRashid"/>
    <n v="3"/>
    <x v="0"/>
    <x v="1"/>
    <x v="0"/>
  </r>
  <r>
    <n v="187014"/>
    <s v="INFUOP-1150"/>
    <x v="0"/>
    <s v="Troubleshooting Q3 Linux Patching Issues"/>
    <s v="PMalla2"/>
    <n v="2"/>
    <x v="0"/>
    <x v="1"/>
    <x v="0"/>
  </r>
  <r>
    <n v="186578"/>
    <s v="INFUOP-1146"/>
    <x v="0"/>
    <s v="Veritas Infoscale 7.4 upgrade on Devehub001"/>
    <s v="VS"/>
    <n v="3"/>
    <x v="0"/>
    <x v="1"/>
    <x v="0"/>
  </r>
  <r>
    <n v="186326"/>
    <s v="INFUOP-1134"/>
    <x v="3"/>
    <s v="Tibco TItan NAS Migration "/>
    <s v="MRashid"/>
    <n v="1"/>
    <x v="0"/>
    <x v="1"/>
    <x v="1"/>
  </r>
  <r>
    <n v="175163"/>
    <s v="INFUOP-1107"/>
    <x v="0"/>
    <s v="Auditing RPM DB issue on OEL 6 &amp; RH 6 Linux servers"/>
    <s v="VS"/>
    <n v="3"/>
    <x v="0"/>
    <x v="1"/>
    <x v="0"/>
  </r>
  <r>
    <n v="164326"/>
    <s v="INFUOP-1019"/>
    <x v="0"/>
    <s v="Staging Spectre/Meltdown Firmware POC -  RHEL 6+ "/>
    <s v="BMadasa1"/>
    <n v="2"/>
    <x v="0"/>
    <x v="1"/>
    <x v="0"/>
  </r>
  <r>
    <n v="196965"/>
    <s v="INFAOP-851"/>
    <x v="2"/>
    <s v="Configure CoreNet VLAN on IBM frames"/>
    <s v="Azmath"/>
    <n v="3"/>
    <x v="1"/>
    <x v="0"/>
    <x v="1"/>
  </r>
  <r>
    <n v="195528"/>
    <s v="INFAOP-844"/>
    <x v="0"/>
    <s v="Configure NMNET VLAN on IBM frames"/>
    <s v="AKhan130"/>
    <n v="3"/>
    <x v="1"/>
    <x v="0"/>
    <x v="0"/>
  </r>
  <r>
    <n v="193083"/>
    <s v="INFAOP-843"/>
    <x v="0"/>
    <s v="AIX new build server approvals - Sprint 7/31"/>
    <s v="SPadiya1"/>
    <n v="1"/>
    <x v="1"/>
    <x v="1"/>
    <x v="0"/>
  </r>
  <r>
    <n v="193081"/>
    <s v="INFAOP-842"/>
    <x v="0"/>
    <s v="AIX On-Call - Sprint 7/31"/>
    <s v="SPadiya1"/>
    <n v="3"/>
    <x v="1"/>
    <x v="1"/>
    <x v="0"/>
  </r>
  <r>
    <n v="193072"/>
    <s v="INFAOP-841"/>
    <x v="0"/>
    <s v="Q3 2018 AIX online patching - production Polaris servers"/>
    <s v="SPadiya1"/>
    <n v="2"/>
    <x v="1"/>
    <x v="1"/>
    <x v="0"/>
  </r>
  <r>
    <n v="192977"/>
    <s v="INFAOP-840"/>
    <x v="0"/>
    <s v="AIX SAN Migrations - 08/07/2018"/>
    <s v="VS"/>
    <n v="5"/>
    <x v="1"/>
    <x v="1"/>
    <x v="0"/>
  </r>
  <r>
    <n v="192976"/>
    <s v="INFAOP-839"/>
    <x v="0"/>
    <s v="AIX SAN Migrations - 07/31/2018"/>
    <s v="VS"/>
    <n v="5"/>
    <x v="1"/>
    <x v="1"/>
    <x v="0"/>
  </r>
  <r>
    <n v="193200"/>
    <s v="INFAOP-831"/>
    <x v="0"/>
    <s v="Q3 patching on pxibm104/203/210/213/ttibm603/607 VIO's"/>
    <s v="MJasim"/>
    <n v="3"/>
    <x v="1"/>
    <x v="1"/>
    <x v="0"/>
  </r>
  <r>
    <n v="192798"/>
    <s v="INFAOP-830"/>
    <x v="0"/>
    <s v="Q3 patching on pxibm201/207/211/260/ttibm601/605 VIO's"/>
    <s v="MJasim"/>
    <n v="3"/>
    <x v="1"/>
    <x v="1"/>
    <x v="0"/>
  </r>
  <r>
    <n v="192796"/>
    <s v="INFAOP-829"/>
    <x v="0"/>
    <s v="Q3 patching on pxibm106/205/215/ttibm610 VIO's"/>
    <s v="MJasim"/>
    <n v="3"/>
    <x v="1"/>
    <x v="1"/>
    <x v="0"/>
  </r>
  <r>
    <n v="192794"/>
    <s v="INFAOP-828"/>
    <x v="0"/>
    <s v="Q3 patching on pxibm100/109/209 VIO's"/>
    <s v="MJasim"/>
    <n v="3"/>
    <x v="1"/>
    <x v="1"/>
    <x v="0"/>
  </r>
  <r>
    <n v="186857"/>
    <s v="INFAOP-815"/>
    <x v="0"/>
    <s v="AIX Patch Pipe Line - Phase II"/>
    <s v="AKhan130"/>
    <n v="3"/>
    <x v="1"/>
    <x v="1"/>
    <x v="0"/>
  </r>
  <r>
    <n v="153706"/>
    <s v="INFAOP-650"/>
    <x v="0"/>
    <s v="AIX patching script issues - complete"/>
    <s v="BMadasa1"/>
    <n v="2"/>
    <x v="1"/>
    <x v="1"/>
    <x v="0"/>
  </r>
  <r>
    <n v="150931"/>
    <s v="INFAOP-624"/>
    <x v="1"/>
    <s v="automate maint_off after 7 days"/>
    <s v="Azmath"/>
    <n v="2"/>
    <x v="1"/>
    <x v="1"/>
    <x v="1"/>
  </r>
  <r>
    <n v="139794"/>
    <s v="INFAOP-513"/>
    <x v="0"/>
    <s v="Automate ASM lun migration"/>
    <s v="Santosh"/>
    <n v="3"/>
    <x v="1"/>
    <x v="1"/>
    <x v="1"/>
  </r>
  <r>
    <n v="136360"/>
    <s v="INFAOP-448"/>
    <x v="0"/>
    <s v="PXIBM209 Frame Rebuild -Phase 1"/>
    <s v="AKhan130"/>
    <n v="3"/>
    <x v="1"/>
    <x v="1"/>
    <x v="0"/>
  </r>
  <r>
    <n v="132864"/>
    <s v="INFAOP-390"/>
    <x v="1"/>
    <s v="Documentation to validate ITM servers patching"/>
    <s v="Azmath"/>
    <n v="2"/>
    <x v="1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</pivotCacheRecords>
</file>

<file path=xl/pivotCache/pivotCacheRecords1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2">
  <r>
    <n v="205872"/>
    <s v="INFUOP-1239"/>
    <x v="0"/>
    <x v="0"/>
    <x v="0"/>
    <n v="3"/>
    <x v="0"/>
    <x v="0"/>
    <x v="0"/>
  </r>
  <r>
    <n v="203745"/>
    <s v="INFUOP-1237"/>
    <x v="0"/>
    <x v="1"/>
    <x v="1"/>
    <n v="2"/>
    <x v="0"/>
    <x v="1"/>
    <x v="0"/>
  </r>
  <r>
    <n v="203847"/>
    <s v="INFUOP-1235"/>
    <x v="0"/>
    <x v="2"/>
    <x v="2"/>
    <n v="3"/>
    <x v="0"/>
    <x v="1"/>
    <x v="0"/>
  </r>
  <r>
    <n v="203731"/>
    <s v="INFUOP-1234"/>
    <x v="0"/>
    <x v="3"/>
    <x v="2"/>
    <n v="1"/>
    <x v="0"/>
    <x v="1"/>
    <x v="0"/>
  </r>
  <r>
    <n v="203729"/>
    <s v="INFUOP-1233"/>
    <x v="1"/>
    <x v="4"/>
    <x v="2"/>
    <n v="3"/>
    <x v="0"/>
    <x v="1"/>
    <x v="0"/>
  </r>
  <r>
    <n v="203691"/>
    <s v="INFUOP-1232"/>
    <x v="2"/>
    <x v="5"/>
    <x v="0"/>
    <n v="3"/>
    <x v="0"/>
    <x v="1"/>
    <x v="1"/>
  </r>
  <r>
    <n v="203837"/>
    <s v="INFUOP-1231"/>
    <x v="0"/>
    <x v="6"/>
    <x v="3"/>
    <n v="2"/>
    <x v="0"/>
    <x v="1"/>
    <x v="0"/>
  </r>
  <r>
    <n v="203836"/>
    <s v="INFUOP-1230"/>
    <x v="0"/>
    <x v="7"/>
    <x v="3"/>
    <n v="3"/>
    <x v="0"/>
    <x v="1"/>
    <x v="0"/>
  </r>
  <r>
    <n v="203721"/>
    <s v="INFUOP-1229"/>
    <x v="3"/>
    <x v="8"/>
    <x v="4"/>
    <n v="2"/>
    <x v="0"/>
    <x v="1"/>
    <x v="1"/>
  </r>
  <r>
    <n v="203585"/>
    <s v="INFUOP-1228"/>
    <x v="0"/>
    <x v="9"/>
    <x v="0"/>
    <n v="2"/>
    <x v="0"/>
    <x v="1"/>
    <x v="0"/>
  </r>
  <r>
    <n v="203454"/>
    <s v="INFUOP-1227"/>
    <x v="1"/>
    <x v="10"/>
    <x v="0"/>
    <n v="3"/>
    <x v="0"/>
    <x v="1"/>
    <x v="1"/>
  </r>
  <r>
    <n v="203507"/>
    <s v="INFUOP-1224"/>
    <x v="2"/>
    <x v="11"/>
    <x v="5"/>
    <n v="3"/>
    <x v="0"/>
    <x v="1"/>
    <x v="1"/>
  </r>
  <r>
    <n v="203504"/>
    <s v="INFUOP-1223"/>
    <x v="0"/>
    <x v="12"/>
    <x v="5"/>
    <n v="2"/>
    <x v="0"/>
    <x v="1"/>
    <x v="0"/>
  </r>
  <r>
    <n v="198916"/>
    <s v="INFUOP-1212"/>
    <x v="1"/>
    <x v="13"/>
    <x v="2"/>
    <n v="3"/>
    <x v="0"/>
    <x v="1"/>
    <x v="0"/>
  </r>
  <r>
    <n v="195518"/>
    <s v="INFUOP-1189"/>
    <x v="0"/>
    <x v="14"/>
    <x v="3"/>
    <n v="2"/>
    <x v="0"/>
    <x v="1"/>
    <x v="0"/>
  </r>
  <r>
    <n v="187404"/>
    <s v="INFUOP-1162"/>
    <x v="0"/>
    <x v="15"/>
    <x v="1"/>
    <n v="2"/>
    <x v="0"/>
    <x v="1"/>
    <x v="0"/>
  </r>
  <r>
    <n v="187403"/>
    <s v="INFUOP-1161"/>
    <x v="0"/>
    <x v="16"/>
    <x v="1"/>
    <n v="1"/>
    <x v="0"/>
    <x v="1"/>
    <x v="0"/>
  </r>
  <r>
    <n v="147871"/>
    <s v="INFUOP-921"/>
    <x v="0"/>
    <x v="17"/>
    <x v="4"/>
    <n v="1"/>
    <x v="0"/>
    <x v="1"/>
    <x v="0"/>
  </r>
  <r>
    <n v="206762"/>
    <s v="INFAOP-883"/>
    <x v="0"/>
    <x v="18"/>
    <x v="6"/>
    <n v="2"/>
    <x v="1"/>
    <x v="0"/>
    <x v="0"/>
  </r>
  <r>
    <n v="206556"/>
    <s v="INFAOP-882"/>
    <x v="0"/>
    <x v="19"/>
    <x v="7"/>
    <n v="1"/>
    <x v="1"/>
    <x v="0"/>
    <x v="0"/>
  </r>
  <r>
    <n v="206555"/>
    <s v="INFAOP-881"/>
    <x v="0"/>
    <x v="20"/>
    <x v="8"/>
    <n v="2"/>
    <x v="1"/>
    <x v="0"/>
    <x v="0"/>
  </r>
  <r>
    <n v="203694"/>
    <s v="INFAOP-875"/>
    <x v="0"/>
    <x v="21"/>
    <x v="9"/>
    <n v="1"/>
    <x v="1"/>
    <x v="1"/>
    <x v="0"/>
  </r>
  <r>
    <n v="203739"/>
    <s v="INFAOP-873"/>
    <x v="0"/>
    <x v="22"/>
    <x v="8"/>
    <n v="1"/>
    <x v="1"/>
    <x v="1"/>
    <x v="0"/>
  </r>
  <r>
    <n v="203682"/>
    <s v="INFAOP-872"/>
    <x v="3"/>
    <x v="23"/>
    <x v="9"/>
    <n v="2"/>
    <x v="1"/>
    <x v="1"/>
    <x v="1"/>
  </r>
  <r>
    <n v="203704"/>
    <s v="INFAOP-871"/>
    <x v="0"/>
    <x v="24"/>
    <x v="7"/>
    <n v="3"/>
    <x v="1"/>
    <x v="1"/>
    <x v="0"/>
  </r>
  <r>
    <n v="203703"/>
    <s v="INFAOP-870"/>
    <x v="0"/>
    <x v="25"/>
    <x v="6"/>
    <n v="5"/>
    <x v="1"/>
    <x v="1"/>
    <x v="0"/>
  </r>
  <r>
    <n v="203702"/>
    <s v="INFAOP-869"/>
    <x v="0"/>
    <x v="26"/>
    <x v="6"/>
    <n v="5"/>
    <x v="1"/>
    <x v="1"/>
    <x v="0"/>
  </r>
  <r>
    <n v="193019"/>
    <s v="INFAOP-837"/>
    <x v="0"/>
    <x v="27"/>
    <x v="7"/>
    <n v="3"/>
    <x v="1"/>
    <x v="0"/>
    <x v="0"/>
  </r>
  <r>
    <n v="193018"/>
    <s v="INFAOP-836"/>
    <x v="0"/>
    <x v="28"/>
    <x v="7"/>
    <n v="3"/>
    <x v="1"/>
    <x v="1"/>
    <x v="0"/>
  </r>
  <r>
    <n v="193017"/>
    <s v="INFAOP-835"/>
    <x v="0"/>
    <x v="29"/>
    <x v="7"/>
    <n v="3"/>
    <x v="1"/>
    <x v="1"/>
    <x v="0"/>
  </r>
  <r>
    <n v="193016"/>
    <s v="INFAOP-834"/>
    <x v="0"/>
    <x v="30"/>
    <x v="7"/>
    <n v="3"/>
    <x v="1"/>
    <x v="1"/>
    <x v="0"/>
  </r>
  <r>
    <n v="164835"/>
    <s v="INFAOP-728"/>
    <x v="0"/>
    <x v="31"/>
    <x v="3"/>
    <n v="2"/>
    <x v="1"/>
    <x v="1"/>
    <x v="0"/>
  </r>
  <r>
    <n v="136367"/>
    <s v="INFAOP-455"/>
    <x v="1"/>
    <x v="32"/>
    <x v="9"/>
    <n v="5"/>
    <x v="1"/>
    <x v="1"/>
    <x v="1"/>
  </r>
  <r>
    <n v="136362"/>
    <s v="INFAOP-450"/>
    <x v="3"/>
    <x v="33"/>
    <x v="9"/>
    <n v="3"/>
    <x v="1"/>
    <x v="1"/>
    <x v="1"/>
  </r>
  <r>
    <m/>
    <m/>
    <x v="4"/>
    <x v="34"/>
    <x v="10"/>
    <m/>
    <x v="2"/>
    <x v="1"/>
    <x v="1"/>
  </r>
  <r>
    <m/>
    <m/>
    <x v="4"/>
    <x v="34"/>
    <x v="10"/>
    <m/>
    <x v="2"/>
    <x v="1"/>
    <x v="1"/>
  </r>
  <r>
    <m/>
    <m/>
    <x v="4"/>
    <x v="34"/>
    <x v="10"/>
    <m/>
    <x v="2"/>
    <x v="1"/>
    <x v="1"/>
  </r>
  <r>
    <m/>
    <m/>
    <x v="4"/>
    <x v="34"/>
    <x v="10"/>
    <m/>
    <x v="2"/>
    <x v="1"/>
    <x v="1"/>
  </r>
  <r>
    <m/>
    <m/>
    <x v="4"/>
    <x v="34"/>
    <x v="10"/>
    <m/>
    <x v="2"/>
    <x v="1"/>
    <x v="1"/>
  </r>
  <r>
    <m/>
    <m/>
    <x v="4"/>
    <x v="34"/>
    <x v="10"/>
    <m/>
    <x v="2"/>
    <x v="1"/>
    <x v="1"/>
  </r>
  <r>
    <m/>
    <m/>
    <x v="4"/>
    <x v="34"/>
    <x v="10"/>
    <m/>
    <x v="2"/>
    <x v="1"/>
    <x v="1"/>
  </r>
  <r>
    <m/>
    <m/>
    <x v="4"/>
    <x v="34"/>
    <x v="10"/>
    <m/>
    <x v="2"/>
    <x v="1"/>
    <x v="1"/>
  </r>
  <r>
    <m/>
    <m/>
    <x v="4"/>
    <x v="34"/>
    <x v="10"/>
    <m/>
    <x v="2"/>
    <x v="1"/>
    <x v="1"/>
  </r>
  <r>
    <m/>
    <m/>
    <x v="4"/>
    <x v="34"/>
    <x v="10"/>
    <m/>
    <x v="2"/>
    <x v="1"/>
    <x v="1"/>
  </r>
  <r>
    <m/>
    <m/>
    <x v="4"/>
    <x v="34"/>
    <x v="10"/>
    <m/>
    <x v="2"/>
    <x v="1"/>
    <x v="1"/>
  </r>
  <r>
    <m/>
    <m/>
    <x v="4"/>
    <x v="34"/>
    <x v="10"/>
    <m/>
    <x v="2"/>
    <x v="1"/>
    <x v="1"/>
  </r>
  <r>
    <m/>
    <m/>
    <x v="4"/>
    <x v="34"/>
    <x v="10"/>
    <m/>
    <x v="2"/>
    <x v="1"/>
    <x v="1"/>
  </r>
  <r>
    <m/>
    <m/>
    <x v="4"/>
    <x v="34"/>
    <x v="10"/>
    <m/>
    <x v="2"/>
    <x v="1"/>
    <x v="1"/>
  </r>
  <r>
    <m/>
    <m/>
    <x v="4"/>
    <x v="34"/>
    <x v="10"/>
    <m/>
    <x v="2"/>
    <x v="1"/>
    <x v="1"/>
  </r>
  <r>
    <m/>
    <m/>
    <x v="4"/>
    <x v="34"/>
    <x v="10"/>
    <m/>
    <x v="2"/>
    <x v="1"/>
    <x v="1"/>
  </r>
  <r>
    <m/>
    <m/>
    <x v="4"/>
    <x v="34"/>
    <x v="10"/>
    <m/>
    <x v="2"/>
    <x v="1"/>
    <x v="1"/>
  </r>
  <r>
    <m/>
    <m/>
    <x v="4"/>
    <x v="34"/>
    <x v="10"/>
    <m/>
    <x v="2"/>
    <x v="1"/>
    <x v="1"/>
  </r>
</pivotCacheRecords>
</file>

<file path=xl/pivotCache/pivotCacheRecords1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2">
  <r>
    <n v="202341"/>
    <s v="INFUOP-1222"/>
    <x v="0"/>
    <s v=" mount  usb-drive-new file size issues"/>
    <s v="Rakesh"/>
    <n v="2"/>
    <x v="0"/>
    <x v="0"/>
    <x v="0"/>
  </r>
  <r>
    <n v="201812"/>
    <s v="INFUOP-1221"/>
    <x v="0"/>
    <s v="Fixing NMnet connections on Dell Hadoop servers"/>
    <s v="Rakesh"/>
    <n v="3"/>
    <x v="0"/>
    <x v="0"/>
    <x v="0"/>
  </r>
  <r>
    <n v="200687"/>
    <s v="INFUOP-1219"/>
    <x v="0"/>
    <s v="Firm ware upgrade - ProLiant DL360 Gen10 - pelplmmsv0001 "/>
    <s v="Venkatesh"/>
    <n v="1"/>
    <x v="0"/>
    <x v="0"/>
    <x v="0"/>
  </r>
  <r>
    <n v="200817"/>
    <s v="INFUOP-1217"/>
    <x v="0"/>
    <s v="Firmware upgrade on BL - prdtlcmsv0007 "/>
    <s v="Venkatesh"/>
    <n v="1"/>
    <x v="0"/>
    <x v="0"/>
    <x v="0"/>
  </r>
  <r>
    <n v="199244"/>
    <s v="INFUOP-1216"/>
    <x v="0"/>
    <s v="Audit and troubleshoot Netbackup upgrade failures "/>
    <s v="Ramesh"/>
    <n v="1"/>
    <x v="0"/>
    <x v="0"/>
    <x v="0"/>
  </r>
  <r>
    <n v="199123"/>
    <s v="INFUOP-1215"/>
    <x v="0"/>
    <s v="New Server Build Approvals"/>
    <s v="Jon"/>
    <n v="2"/>
    <x v="0"/>
    <x v="1"/>
    <x v="0"/>
  </r>
  <r>
    <n v="198917"/>
    <s v="INFUOP-1213"/>
    <x v="1"/>
    <s v="Prdehdp397-399 creating new VXFS  /opt/*"/>
    <s v="Mammar"/>
    <n v="2"/>
    <x v="0"/>
    <x v="1"/>
    <x v="1"/>
  </r>
  <r>
    <n v="198916"/>
    <s v="INFUOP-1212"/>
    <x v="2"/>
    <s v="Deploy Data from GIT into Devehdp398"/>
    <s v="Mammar"/>
    <n v="3"/>
    <x v="0"/>
    <x v="1"/>
    <x v="1"/>
  </r>
  <r>
    <n v="198915"/>
    <s v="INFUOP-1211"/>
    <x v="0"/>
    <s v="Create Firewall Intake for NFS"/>
    <s v="Mammar"/>
    <n v="1"/>
    <x v="0"/>
    <x v="1"/>
    <x v="0"/>
  </r>
  <r>
    <n v="198914"/>
    <s v="INFUOP-1210"/>
    <x v="0"/>
    <s v="Create Firewall Intake for VIOM"/>
    <s v="Mammar"/>
    <n v="1"/>
    <x v="0"/>
    <x v="1"/>
    <x v="0"/>
  </r>
  <r>
    <n v="198913"/>
    <s v="INFUOP-1209"/>
    <x v="0"/>
    <s v="Reschedule prdplmpmx0008 Patching"/>
    <s v="Mammar"/>
    <n v="1"/>
    <x v="0"/>
    <x v="1"/>
    <x v="0"/>
  </r>
  <r>
    <n v="198611"/>
    <s v="INFUOP-1208"/>
    <x v="0"/>
    <s v="Linux On-Call Sprint 8/14"/>
    <s v="Jon"/>
    <n v="3"/>
    <x v="0"/>
    <x v="1"/>
    <x v="0"/>
  </r>
  <r>
    <n v="198610"/>
    <s v="INFUOP-1207"/>
    <x v="0"/>
    <s v="sudo default keystroke logging conf - puppet module for Solaris"/>
    <s v="Rakesh"/>
    <n v="3"/>
    <x v="0"/>
    <x v="1"/>
    <x v="0"/>
  </r>
  <r>
    <n v="198380"/>
    <s v="INFUOP-1206"/>
    <x v="0"/>
    <s v="Vulnerability scan assistance for EIS EngOps Team"/>
    <s v="Prabal"/>
    <n v="3"/>
    <x v="0"/>
    <x v="1"/>
    <x v="0"/>
  </r>
  <r>
    <n v="198376"/>
    <s v="INFUOP-1205"/>
    <x v="0"/>
    <s v="Hpsmh clean-up from OL5 servers"/>
    <s v="Prabal"/>
    <n v="2"/>
    <x v="0"/>
    <x v="1"/>
    <x v="0"/>
  </r>
  <r>
    <n v="198500"/>
    <s v="INFUOP-1201"/>
    <x v="0"/>
    <s v="Splunk Capacity Add - Converting 2 logical Drives to one (RAID-6)"/>
    <s v="Bhuvan"/>
    <n v="2"/>
    <x v="0"/>
    <x v="1"/>
    <x v="0"/>
  </r>
  <r>
    <n v="198361"/>
    <s v="INFUOP-1198"/>
    <x v="0"/>
    <s v="Build - Jump box  that used to Patch Engineering Environment"/>
    <s v="Bhuvan"/>
    <n v="2"/>
    <x v="0"/>
    <x v="1"/>
    <x v="0"/>
  </r>
  <r>
    <n v="198358"/>
    <s v="INFUOP-1196"/>
    <x v="0"/>
    <s v="SAN Migration - HPUX Week 34 [ Aug 20 - 27 ]"/>
    <s v="Bhuvan"/>
    <n v="3"/>
    <x v="0"/>
    <x v="1"/>
    <x v="0"/>
  </r>
  <r>
    <n v="198357"/>
    <s v="INFUOP-1195"/>
    <x v="0"/>
    <s v="HPE BIOS Firmware update - Week 33 and 34 [ Aug 13 -27 ]"/>
    <s v="Bhuvan"/>
    <n v="3"/>
    <x v="0"/>
    <x v="1"/>
    <x v="0"/>
  </r>
  <r>
    <n v="198355"/>
    <s v="INFUOP-1194"/>
    <x v="0"/>
    <s v="SAN Migration - HPUX Week 33 [ Aug 13 - 20 ]"/>
    <s v="Bhuvan"/>
    <n v="3"/>
    <x v="0"/>
    <x v="1"/>
    <x v="0"/>
  </r>
  <r>
    <n v="198416"/>
    <s v="INFUOP-1193"/>
    <x v="0"/>
    <s v="SAN migration on Solaris hosts "/>
    <s v="Ramesh"/>
    <n v="3"/>
    <x v="0"/>
    <x v="1"/>
    <x v="0"/>
  </r>
  <r>
    <n v="198158"/>
    <s v="INFUOP-1192"/>
    <x v="0"/>
    <s v="Deploy DELL Support Assist Tool - Phase1"/>
    <s v="Rakesh"/>
    <n v="3"/>
    <x v="0"/>
    <x v="1"/>
    <x v="0"/>
  </r>
  <r>
    <n v="197995"/>
    <s v="INFUOP-1190"/>
    <x v="0"/>
    <s v="Q3 Patching on Solaris admin servers "/>
    <s v="Ramesh"/>
    <n v="3"/>
    <x v="0"/>
    <x v="1"/>
    <x v="0"/>
  </r>
  <r>
    <n v="187404"/>
    <s v="INFUOP-1162"/>
    <x v="3"/>
    <s v="expired KB article updates (2 KB article updates with Karen C.)"/>
    <s v="Jon"/>
    <n v="2"/>
    <x v="0"/>
    <x v="1"/>
    <x v="1"/>
  </r>
  <r>
    <n v="187403"/>
    <s v="INFUOP-1161"/>
    <x v="2"/>
    <s v="Linux Platform Standard - incorporate audit findings from Geoff Ansara's team"/>
    <s v="Jon"/>
    <n v="1"/>
    <x v="0"/>
    <x v="1"/>
    <x v="1"/>
  </r>
  <r>
    <n v="203359"/>
    <s v="INFAOP-868"/>
    <x v="0"/>
    <s v="SAP QLAB01 Refresh"/>
    <s v="Azmath"/>
    <n v="2"/>
    <x v="1"/>
    <x v="0"/>
    <x v="0"/>
  </r>
  <r>
    <n v="198736"/>
    <s v="INFAOP-862"/>
    <x v="0"/>
    <s v="L3 IP requests"/>
    <s v="Azmath"/>
    <n v="2"/>
    <x v="1"/>
    <x v="1"/>
    <x v="0"/>
  </r>
  <r>
    <n v="198739"/>
    <s v="INFAOP-861"/>
    <x v="0"/>
    <s v="L2-L3 migration for listed servers"/>
    <s v="Azmath"/>
    <n v="3"/>
    <x v="1"/>
    <x v="1"/>
    <x v="0"/>
  </r>
  <r>
    <n v="198738"/>
    <s v="INFAOP-860"/>
    <x v="0"/>
    <s v="AIX On-Call - Sprint 8/14"/>
    <s v="Venkatesh"/>
    <n v="2"/>
    <x v="1"/>
    <x v="1"/>
    <x v="0"/>
  </r>
  <r>
    <n v="198737"/>
    <s v="INFAOP-859"/>
    <x v="0"/>
    <s v="AIX new build server approvals - Sprint 8/14"/>
    <s v="Santosh"/>
    <n v="1"/>
    <x v="1"/>
    <x v="1"/>
    <x v="0"/>
  </r>
  <r>
    <n v="198631"/>
    <s v="INFAOP-857"/>
    <x v="3"/>
    <s v="AIX SAN Migration - scripts enhancements for Veritas based systems "/>
    <s v="Venkatesh"/>
    <n v="3"/>
    <x v="1"/>
    <x v="1"/>
    <x v="1"/>
  </r>
  <r>
    <n v="198629"/>
    <s v="INFAOP-856"/>
    <x v="0"/>
    <s v="AIX SAN Migrations - 08/21/2018"/>
    <s v="Venkatesh"/>
    <n v="5"/>
    <x v="1"/>
    <x v="1"/>
    <x v="0"/>
  </r>
  <r>
    <n v="198628"/>
    <s v="INFAOP-855"/>
    <x v="0"/>
    <s v="AIX SAN Migrations - 08/14/2018"/>
    <s v="Venkatesh"/>
    <n v="5"/>
    <x v="1"/>
    <x v="1"/>
    <x v="0"/>
  </r>
  <r>
    <n v="193014"/>
    <s v="INFAOP-833"/>
    <x v="0"/>
    <s v="Q3 patching pxibm103/202/208/212/261/ttibm602/606 VIO's"/>
    <s v="Jasim"/>
    <n v="3"/>
    <x v="1"/>
    <x v="1"/>
    <x v="0"/>
  </r>
  <r>
    <n v="193013"/>
    <s v="INFAOP-832"/>
    <x v="0"/>
    <s v="Q3 patching on pxibm105/204/214/216/ttibm604/608 VIO's"/>
    <s v="Jasim"/>
    <n v="3"/>
    <x v="1"/>
    <x v="1"/>
    <x v="0"/>
  </r>
  <r>
    <n v="164835"/>
    <s v="INFAOP-728"/>
    <x v="2"/>
    <s v="LDAP integration with HMC [ Authentication Only ] - Implementation"/>
    <s v="Bhuvan"/>
    <n v="2"/>
    <x v="1"/>
    <x v="1"/>
    <x v="1"/>
  </r>
  <r>
    <n v="136367"/>
    <s v="INFAOP-455"/>
    <x v="2"/>
    <s v="TTIBM609 Frame Rebuild -Phase 2"/>
    <s v="Azmath"/>
    <n v="5"/>
    <x v="1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  <r>
    <m/>
    <m/>
    <x v="4"/>
    <m/>
    <m/>
    <m/>
    <x v="2"/>
    <x v="1"/>
    <x v="1"/>
  </r>
</pivotCacheRecords>
</file>

<file path=xl/pivotCache/pivotCacheRecords1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2">
  <r>
    <n v="136361"/>
    <s v="INFAOP-449"/>
    <x v="0"/>
    <s v="PXIBM209 Frame Rebuild -Phase 2"/>
    <s v="Azmath"/>
    <n v="5"/>
    <x v="0"/>
    <x v="0"/>
    <x v="0"/>
  </r>
  <r>
    <n v="136367"/>
    <s v="INFAOP-455"/>
    <x v="0"/>
    <s v="TTIBM609 Frame Rebuild -Phase 2"/>
    <s v="Muqtadir"/>
    <n v="5"/>
    <x v="0"/>
    <x v="0"/>
    <x v="0"/>
  </r>
  <r>
    <n v="207125"/>
    <s v="INFAOP-884"/>
    <x v="0"/>
    <s v="AIX SAN Migrations - 09/11/2018"/>
    <s v="Venkatesh"/>
    <n v="5"/>
    <x v="0"/>
    <x v="1"/>
    <x v="0"/>
  </r>
  <r>
    <n v="207126"/>
    <s v="INFAOP-885"/>
    <x v="0"/>
    <s v="AIX SAN Migrations - 09/18/2018"/>
    <s v="Venkatesh"/>
    <n v="5"/>
    <x v="0"/>
    <x v="1"/>
    <x v="0"/>
  </r>
  <r>
    <n v="207127"/>
    <s v="INFAOP-886"/>
    <x v="0"/>
    <s v="AIX On-Call - Sprint 9/11"/>
    <s v="Jasim"/>
    <n v="3"/>
    <x v="0"/>
    <x v="1"/>
    <x v="0"/>
  </r>
  <r>
    <n v="206940"/>
    <s v="INFAOP-887"/>
    <x v="0"/>
    <s v="Q3 VIO patching on PXIBM206/213"/>
    <s v="Jasim"/>
    <n v="2"/>
    <x v="0"/>
    <x v="1"/>
    <x v="0"/>
  </r>
  <r>
    <n v="207656"/>
    <s v="INFAOP-888"/>
    <x v="0"/>
    <s v="AIX new build server approvals - Sprint 9/11"/>
    <s v="Santosh"/>
    <n v="1"/>
    <x v="0"/>
    <x v="1"/>
    <x v="0"/>
  </r>
  <r>
    <n v="207677"/>
    <s v="INFAOP-889"/>
    <x v="0"/>
    <s v="Define Q4 2018 AIX platform standards"/>
    <s v="Santosh"/>
    <n v="3"/>
    <x v="0"/>
    <x v="0"/>
    <x v="0"/>
  </r>
  <r>
    <n v="207583"/>
    <s v="INFAOP-890"/>
    <x v="1"/>
    <s v="HMC SSL Certificate - POC"/>
    <s v="Bhuvan"/>
    <n v="2"/>
    <x v="0"/>
    <x v="1"/>
    <x v="1"/>
  </r>
  <r>
    <n v="207804"/>
    <s v="INFAOP-893"/>
    <x v="0"/>
    <s v="pelsvpr210 &amp; pelsvpr211 - DG standardization and cleanup"/>
    <s v="Muqtadir"/>
    <n v="2"/>
    <x v="0"/>
    <x v="1"/>
    <x v="0"/>
  </r>
  <r>
    <n v="207800"/>
    <s v="INFAOP-894"/>
    <x v="1"/>
    <s v="Creating VIO servers-New build image."/>
    <s v="Muqtadir"/>
    <n v="3"/>
    <x v="0"/>
    <x v="1"/>
    <x v="1"/>
  </r>
  <r>
    <n v="207610"/>
    <s v="INFAOP-895"/>
    <x v="0"/>
    <s v="Fix sea ent9 on pxibm109"/>
    <s v="Muqtadir"/>
    <n v="3"/>
    <x v="0"/>
    <x v="1"/>
    <x v="0"/>
  </r>
  <r>
    <n v="207900"/>
    <s v="INFAOP-896"/>
    <x v="0"/>
    <s v="Upgrade NPE HMC side B to V8.8.7SP01"/>
    <s v="Jasim"/>
    <n v="3"/>
    <x v="0"/>
    <x v="1"/>
    <x v="0"/>
  </r>
  <r>
    <n v="208737"/>
    <s v="INFAOP-899"/>
    <x v="0"/>
    <s v="fix ITM agent issues"/>
    <s v="Santosh"/>
    <n v="1"/>
    <x v="0"/>
    <x v="2"/>
    <x v="0"/>
  </r>
  <r>
    <n v="198916"/>
    <s v="INFUOP-1212"/>
    <x v="1"/>
    <s v="Deploy Data from GIT into Devehdp398"/>
    <s v="Mammar"/>
    <n v="3"/>
    <x v="1"/>
    <x v="2"/>
    <x v="1"/>
  </r>
  <r>
    <n v="203691"/>
    <s v="INFUOP-1232"/>
    <x v="0"/>
    <s v="Investigate on SOlaris-11 patch subscription "/>
    <s v="Rakesh"/>
    <n v="3"/>
    <x v="1"/>
    <x v="2"/>
    <x v="0"/>
  </r>
  <r>
    <n v="203729"/>
    <s v="INFUOP-1233"/>
    <x v="0"/>
    <s v="Audit/Disable  AmandaBK Shell "/>
    <s v="Mammar"/>
    <n v="3"/>
    <x v="1"/>
    <x v="2"/>
    <x v="0"/>
  </r>
  <r>
    <n v="206168"/>
    <s v="INFUOP-1240"/>
    <x v="0"/>
    <s v="Amandabackup user removal and add telnet package on linux NPE "/>
    <s v="Ramesh"/>
    <n v="2"/>
    <x v="1"/>
    <x v="1"/>
    <x v="0"/>
  </r>
  <r>
    <n v="206169"/>
    <s v="INFUOP-1241"/>
    <x v="2"/>
    <s v="Exclude netbackup servers from puppet module resolv.conf"/>
    <s v="Ramesh"/>
    <n v="2"/>
    <x v="1"/>
    <x v="1"/>
    <x v="1"/>
  </r>
  <r>
    <n v="207318"/>
    <s v="INFUOP-1243"/>
    <x v="1"/>
    <s v="Document and Share Dell Servers information to Unix Tier-1"/>
    <s v="Rakesh"/>
    <n v="3"/>
    <x v="1"/>
    <x v="1"/>
    <x v="1"/>
  </r>
  <r>
    <n v="207570"/>
    <s v="INFUOP-1245"/>
    <x v="0"/>
    <s v="SAN Migration - HPUX Week 36 [ Sep 11 -  Sep 24]"/>
    <s v="Bhuvan"/>
    <n v="3"/>
    <x v="1"/>
    <x v="1"/>
    <x v="0"/>
  </r>
  <r>
    <n v="207571"/>
    <s v="INFUOP-1246"/>
    <x v="0"/>
    <s v="HPE BIOS Firmware update - [ Sep 11 - 24 ]"/>
    <s v="Bhuvan"/>
    <n v="3"/>
    <x v="1"/>
    <x v="1"/>
    <x v="0"/>
  </r>
  <r>
    <n v="207582"/>
    <s v="INFUOP-1247"/>
    <x v="0"/>
    <s v="HPE Hardware BIOS/Firmware Upgrade - Documentation update"/>
    <s v="Bhuvan"/>
    <n v="2"/>
    <x v="1"/>
    <x v="1"/>
    <x v="0"/>
  </r>
  <r>
    <n v="207771"/>
    <s v="INFUOP-1248"/>
    <x v="2"/>
    <s v="Install Control-M on 4 dev servers"/>
    <s v="Mammar"/>
    <n v="1"/>
    <x v="1"/>
    <x v="1"/>
    <x v="1"/>
  </r>
  <r>
    <n v="207772"/>
    <s v="INFUOP-1249"/>
    <x v="0"/>
    <s v="VIOM Troubleshoot "/>
    <s v="Mammar"/>
    <n v="2"/>
    <x v="1"/>
    <x v="1"/>
    <x v="0"/>
  </r>
  <r>
    <n v="207447"/>
    <s v="INFUOP-1250"/>
    <x v="1"/>
    <s v="Automated Patching Using ServiceNow"/>
    <s v="Prabal"/>
    <n v="3"/>
    <x v="1"/>
    <x v="1"/>
    <x v="1"/>
  </r>
  <r>
    <n v="207594"/>
    <s v="INFUOP-1251"/>
    <x v="0"/>
    <s v="Linux - Oncall 9/12 Sprint"/>
    <s v="Mammar"/>
    <n v="5"/>
    <x v="1"/>
    <x v="1"/>
    <x v="0"/>
  </r>
  <r>
    <n v="207595"/>
    <s v="INFUOP-1252"/>
    <x v="0"/>
    <s v="Linux Servers Approval"/>
    <s v="Jon"/>
    <n v="2"/>
    <x v="1"/>
    <x v="1"/>
    <x v="0"/>
  </r>
  <r>
    <n v="208638"/>
    <s v="INFUOP-1256"/>
    <x v="0"/>
    <s v="Solaris standards for Q4_18"/>
    <s v="Ramesh"/>
    <n v="1"/>
    <x v="1"/>
    <x v="2"/>
    <x v="0"/>
  </r>
  <r>
    <n v="209978"/>
    <s v="INFUOP-1258"/>
    <x v="0"/>
    <s v="ProLiant DL360 Gen9 - Firmware upgrade on pelpltwho0010"/>
    <s v="Venkatesh"/>
    <n v="1"/>
    <x v="1"/>
    <x v="2"/>
    <x v="0"/>
  </r>
  <r>
    <n v="210284"/>
    <s v="INFUOP-1262"/>
    <x v="0"/>
    <s v="Investigate on missing Disk/Watchdog error and frequent DIMM error - Dell servers"/>
    <s v="Rakesh"/>
    <n v="3"/>
    <x v="1"/>
    <x v="2"/>
    <x v="0"/>
  </r>
  <r>
    <n v="211590"/>
    <s v="INFUOP-1263"/>
    <x v="0"/>
    <s v="Active Directory  Sync issues on  layer3/VRA/NMNET hosts "/>
    <s v="Ramesh"/>
    <n v="3"/>
    <x v="1"/>
    <x v="2"/>
    <x v="0"/>
  </r>
  <r>
    <n v="211592"/>
    <s v="INFUOP-1264"/>
    <x v="2"/>
    <s v="Ssh key audit log"/>
    <s v="Ramesh"/>
    <n v="1"/>
    <x v="1"/>
    <x v="2"/>
    <x v="1"/>
  </r>
  <r>
    <n v="211593"/>
    <s v="INFUOP-1265"/>
    <x v="0"/>
    <s v="Netbackup upgrade failures "/>
    <s v="Ramesh"/>
    <n v="1"/>
    <x v="1"/>
    <x v="2"/>
    <x v="0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  <r>
    <m/>
    <m/>
    <x v="3"/>
    <m/>
    <m/>
    <m/>
    <x v="2"/>
    <x v="1"/>
    <x v="1"/>
  </r>
</pivotCacheRecords>
</file>

<file path=xl/pivotCache/pivotCacheRecords1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2">
  <r>
    <n v="214864"/>
    <s v="INFUOP-1279"/>
    <x v="0"/>
    <s v="VOM upgrade on *nix servers "/>
    <s v="Ramesh"/>
    <n v="2"/>
    <x v="0"/>
    <x v="0"/>
    <x v="0"/>
  </r>
  <r>
    <n v="212438"/>
    <s v="INFUOP-1278"/>
    <x v="1"/>
    <s v="ENGR AD conversions"/>
    <s v="Jon"/>
    <n v="3"/>
    <x v="0"/>
    <x v="1"/>
    <x v="1"/>
  </r>
  <r>
    <n v="212435"/>
    <s v="INFUOP-1277"/>
    <x v="1"/>
    <s v="Linux Servers Approval"/>
    <s v="Jon"/>
    <n v="2"/>
    <x v="0"/>
    <x v="0"/>
    <x v="1"/>
  </r>
  <r>
    <n v="212529"/>
    <s v="INFUOP-1276"/>
    <x v="1"/>
    <s v="Linux - oncall sprint 09/25"/>
    <s v="Jon"/>
    <n v="3"/>
    <x v="0"/>
    <x v="0"/>
    <x v="1"/>
  </r>
  <r>
    <n v="212269"/>
    <s v="INFUOP-1275"/>
    <x v="1"/>
    <s v="Removing Amanda Backup User account on all Linux PRD servers ( puppet )"/>
    <s v="Ramesh"/>
    <n v="1"/>
    <x v="0"/>
    <x v="0"/>
    <x v="1"/>
  </r>
  <r>
    <n v="212267"/>
    <s v="INFUOP-1274"/>
    <x v="1"/>
    <s v="HPE BIOS Firmware Update POC Test  - Q4 "/>
    <s v="Bhuvan"/>
    <n v="2"/>
    <x v="0"/>
    <x v="1"/>
    <x v="1"/>
  </r>
  <r>
    <n v="212523"/>
    <s v="INFUOP-1273"/>
    <x v="1"/>
    <s v="Publish Patch Set Bundle for Q4 2018"/>
    <s v="Prabal"/>
    <n v="1"/>
    <x v="0"/>
    <x v="0"/>
    <x v="1"/>
  </r>
  <r>
    <n v="212519"/>
    <s v="INFUOP-1272"/>
    <x v="1"/>
    <s v="VIOM 7.1.3.400 cleanup"/>
    <s v="Mammar"/>
    <n v="3"/>
    <x v="0"/>
    <x v="0"/>
    <x v="1"/>
  </r>
  <r>
    <n v="212518"/>
    <s v="INFUOP-1271"/>
    <x v="1"/>
    <s v="Resolve OPS/Build Puppet pipeline "/>
    <s v="Mammar"/>
    <n v="3"/>
    <x v="0"/>
    <x v="0"/>
    <x v="1"/>
  </r>
  <r>
    <n v="212516"/>
    <s v="INFUOP-1270"/>
    <x v="1"/>
    <s v="Update Patching pipeline with Veritas 6.2 patches for Linux 6.10"/>
    <s v="Prabal"/>
    <n v="2"/>
    <x v="0"/>
    <x v="0"/>
    <x v="1"/>
  </r>
  <r>
    <n v="212514"/>
    <s v="INFUOP-1269"/>
    <x v="1"/>
    <s v="Testing Linux Patch set for Q4 2018"/>
    <s v="Prabal"/>
    <n v="2"/>
    <x v="0"/>
    <x v="0"/>
    <x v="1"/>
  </r>
  <r>
    <n v="212244"/>
    <s v="INFUOP-1268"/>
    <x v="1"/>
    <s v="Q4 2018 - Linux patch validation script preparation"/>
    <s v="Bhuvan"/>
    <n v="2"/>
    <x v="0"/>
    <x v="0"/>
    <x v="1"/>
  </r>
  <r>
    <n v="212243"/>
    <s v="INFUOP-1267"/>
    <x v="1"/>
    <s v="OSR - Prep Data Replication MPATH &amp; UDEV Rules - POC"/>
    <s v="Bhuvan"/>
    <n v="3"/>
    <x v="0"/>
    <x v="0"/>
    <x v="1"/>
  </r>
  <r>
    <n v="210157"/>
    <s v="INFUOP-1260"/>
    <x v="1"/>
    <s v="Q4 HPUX Platform Standards"/>
    <s v="Jon"/>
    <n v="1"/>
    <x v="0"/>
    <x v="0"/>
    <x v="1"/>
  </r>
  <r>
    <n v="210156"/>
    <s v="INFUOP-1259"/>
    <x v="1"/>
    <s v="Q4 Linux Platform Standards"/>
    <s v="Jon"/>
    <n v="2"/>
    <x v="0"/>
    <x v="0"/>
    <x v="1"/>
  </r>
  <r>
    <n v="207319"/>
    <s v="INFUOP-1244"/>
    <x v="1"/>
    <s v="Solaris  solaris_sudo_install.pp puppet module push - (non-prod) servers"/>
    <s v="Rakesh"/>
    <n v="3"/>
    <x v="0"/>
    <x v="0"/>
    <x v="1"/>
  </r>
  <r>
    <n v="207318"/>
    <s v="INFUOP-1243"/>
    <x v="1"/>
    <s v="Document and Share Dell Servers information to Unix Tier-1"/>
    <s v="Rakesh"/>
    <n v="3"/>
    <x v="0"/>
    <x v="0"/>
    <x v="1"/>
  </r>
  <r>
    <n v="206169"/>
    <s v="INFUOP-1241"/>
    <x v="1"/>
    <s v="Exclude netbackup servers from puppet module resolv.conf"/>
    <s v="Ramesh"/>
    <n v="2"/>
    <x v="0"/>
    <x v="1"/>
    <x v="1"/>
  </r>
  <r>
    <n v="203452"/>
    <s v="INFUOP-1226"/>
    <x v="1"/>
    <s v="Q4-2018 - Update Solaris Patching Scripts and Testing"/>
    <s v="Rakesh"/>
    <n v="3"/>
    <x v="0"/>
    <x v="0"/>
    <x v="1"/>
  </r>
  <r>
    <n v="164566"/>
    <s v="INFUOP-1028"/>
    <x v="0"/>
    <s v="Update approval script"/>
    <s v="Jon"/>
    <n v="5"/>
    <x v="0"/>
    <x v="0"/>
    <x v="1"/>
  </r>
  <r>
    <n v="150332"/>
    <s v="INFUOP-932"/>
    <x v="1"/>
    <s v="Server status on login screen on all Unix servers - POC"/>
    <s v="Venkatesh"/>
    <n v="3"/>
    <x v="0"/>
    <x v="1"/>
    <x v="1"/>
  </r>
  <r>
    <n v="212460"/>
    <s v="INFAOP-926"/>
    <x v="0"/>
    <s v="Cohesity Rman backup POC"/>
    <s v="Jasim"/>
    <n v="1"/>
    <x v="1"/>
    <x v="0"/>
    <x v="0"/>
  </r>
  <r>
    <n v="212525"/>
    <s v="INFAOP-925"/>
    <x v="0"/>
    <s v="Automated filesystem expansion on flash array for Veritas based systems"/>
    <s v="Azmath"/>
    <n v="3"/>
    <x v="1"/>
    <x v="0"/>
    <x v="0"/>
  </r>
  <r>
    <n v="212428"/>
    <s v="INFAOP-924"/>
    <x v="1"/>
    <s v="AIX Oncall 09/25"/>
    <s v="Azmath"/>
    <n v="3"/>
    <x v="1"/>
    <x v="0"/>
    <x v="1"/>
  </r>
  <r>
    <n v="212427"/>
    <s v="INFAOP-923"/>
    <x v="1"/>
    <s v="Adding new VLANs on existing NPE frames for new set of IPs"/>
    <s v="Muqtadir"/>
    <n v="3"/>
    <x v="1"/>
    <x v="0"/>
    <x v="1"/>
  </r>
  <r>
    <n v="212245"/>
    <s v="INFAOP-922"/>
    <x v="1"/>
    <s v="AIX - Q4 2018 - Patching Script update and Test"/>
    <s v="Bhuvan"/>
    <n v="3"/>
    <x v="1"/>
    <x v="0"/>
    <x v="1"/>
  </r>
  <r>
    <n v="211667"/>
    <s v="INFAOP-919"/>
    <x v="1"/>
    <s v="AIX new build server approvals - Sprint 9/25"/>
    <s v="Santosh"/>
    <n v="1"/>
    <x v="1"/>
    <x v="0"/>
    <x v="1"/>
  </r>
  <r>
    <n v="210867"/>
    <s v="INFAOP-911"/>
    <x v="1"/>
    <s v="AIX SAN Migrations - 10/1/2018"/>
    <s v="Venkatesh"/>
    <n v="5"/>
    <x v="1"/>
    <x v="0"/>
    <x v="1"/>
  </r>
  <r>
    <n v="210866"/>
    <s v="INFAOP-910"/>
    <x v="1"/>
    <s v="AIX SAN Migrations - 09/24/2018"/>
    <s v="Venkatesh"/>
    <n v="5"/>
    <x v="1"/>
    <x v="0"/>
    <x v="1"/>
  </r>
  <r>
    <n v="208021"/>
    <s v="INFAOP-905"/>
    <x v="1"/>
    <s v="Submitting NMNET and CORENET network requests for NPE"/>
    <s v="Muqtadir"/>
    <n v="3"/>
    <x v="1"/>
    <x v="0"/>
    <x v="1"/>
  </r>
  <r>
    <n v="210730"/>
    <s v="INFAOP-904"/>
    <x v="1"/>
    <s v="Re-balance CPU on pxibm105 and pxibm107 (LPM)"/>
    <s v="Jasim"/>
    <n v="1"/>
    <x v="1"/>
    <x v="0"/>
    <x v="1"/>
  </r>
  <r>
    <n v="210729"/>
    <s v="INFAOP-903"/>
    <x v="1"/>
    <s v="Upgrade PRD HMC side B to V8.8.7SP01"/>
    <s v="Jasim"/>
    <n v="3"/>
    <x v="1"/>
    <x v="0"/>
    <x v="1"/>
  </r>
  <r>
    <n v="207911"/>
    <s v="INFAOP-897"/>
    <x v="1"/>
    <s v="Prep AIX Patch Pipeline for Q4 patch testing"/>
    <s v="Azmath"/>
    <n v="3"/>
    <x v="1"/>
    <x v="0"/>
    <x v="1"/>
  </r>
  <r>
    <n v="207800"/>
    <s v="INFAOP-894"/>
    <x v="1"/>
    <s v="Creating VIO servers-New build image."/>
    <s v="Muqtadir"/>
    <n v="3"/>
    <x v="1"/>
    <x v="0"/>
    <x v="1"/>
  </r>
  <r>
    <n v="198631"/>
    <s v="INFAOP-857"/>
    <x v="1"/>
    <s v="AIX SAN Migration - scripts enhancements for Veritas based systems "/>
    <s v="Venkatesh"/>
    <n v="3"/>
    <x v="1"/>
    <x v="0"/>
    <x v="1"/>
  </r>
  <r>
    <n v="178945"/>
    <s v="INFAOP-781"/>
    <x v="1"/>
    <s v="remove vcs from prdeblx005"/>
    <s v="Venkatesh"/>
    <n v="2"/>
    <x v="1"/>
    <x v="0"/>
    <x v="1"/>
  </r>
  <r>
    <n v="161662"/>
    <s v="INFAOP-692"/>
    <x v="1"/>
    <s v="implement self-heal for MPIO path failures"/>
    <s v="Santosh"/>
    <n v="2"/>
    <x v="1"/>
    <x v="0"/>
    <x v="1"/>
  </r>
  <r>
    <m/>
    <m/>
    <x v="2"/>
    <m/>
    <m/>
    <m/>
    <x v="2"/>
    <x v="0"/>
    <x v="0"/>
  </r>
  <r>
    <m/>
    <m/>
    <x v="2"/>
    <m/>
    <m/>
    <m/>
    <x v="2"/>
    <x v="0"/>
    <x v="0"/>
  </r>
  <r>
    <m/>
    <m/>
    <x v="2"/>
    <m/>
    <m/>
    <m/>
    <x v="2"/>
    <x v="0"/>
    <x v="0"/>
  </r>
  <r>
    <m/>
    <m/>
    <x v="2"/>
    <m/>
    <m/>
    <m/>
    <x v="2"/>
    <x v="0"/>
    <x v="0"/>
  </r>
  <r>
    <m/>
    <m/>
    <x v="2"/>
    <m/>
    <m/>
    <m/>
    <x v="2"/>
    <x v="0"/>
    <x v="0"/>
  </r>
  <r>
    <m/>
    <m/>
    <x v="2"/>
    <m/>
    <m/>
    <m/>
    <x v="2"/>
    <x v="0"/>
    <x v="0"/>
  </r>
  <r>
    <m/>
    <m/>
    <x v="2"/>
    <m/>
    <m/>
    <m/>
    <x v="2"/>
    <x v="0"/>
    <x v="0"/>
  </r>
  <r>
    <m/>
    <m/>
    <x v="2"/>
    <m/>
    <m/>
    <m/>
    <x v="2"/>
    <x v="0"/>
    <x v="0"/>
  </r>
  <r>
    <m/>
    <m/>
    <x v="2"/>
    <m/>
    <m/>
    <m/>
    <x v="2"/>
    <x v="0"/>
    <x v="0"/>
  </r>
  <r>
    <m/>
    <m/>
    <x v="2"/>
    <m/>
    <m/>
    <m/>
    <x v="2"/>
    <x v="0"/>
    <x v="0"/>
  </r>
  <r>
    <m/>
    <m/>
    <x v="2"/>
    <m/>
    <m/>
    <m/>
    <x v="2"/>
    <x v="0"/>
    <x v="0"/>
  </r>
  <r>
    <m/>
    <m/>
    <x v="2"/>
    <m/>
    <m/>
    <m/>
    <x v="2"/>
    <x v="0"/>
    <x v="0"/>
  </r>
  <r>
    <m/>
    <m/>
    <x v="2"/>
    <m/>
    <m/>
    <m/>
    <x v="2"/>
    <x v="0"/>
    <x v="0"/>
  </r>
  <r>
    <m/>
    <m/>
    <x v="2"/>
    <m/>
    <m/>
    <m/>
    <x v="2"/>
    <x v="0"/>
    <x v="0"/>
  </r>
  <r>
    <m/>
    <m/>
    <x v="2"/>
    <m/>
    <m/>
    <m/>
    <x v="2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BBAE49-4A77-4451-ADE1-4B4485CED0CC}" name="PivotTable3" cacheId="1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Y1:Z31" firstHeaderRow="1" firstDataRow="1" firstDataCol="1"/>
  <pivotFields count="9">
    <pivotField subtotalTop="0" showAll="0"/>
    <pivotField subtotalTop="0" showAll="0"/>
    <pivotField axis="axisRow" dataField="1" subtotalTop="0" showAll="0">
      <items count="6">
        <item h="1" x="3"/>
        <item h="1" x="0"/>
        <item x="1"/>
        <item x="2"/>
        <item x="4"/>
        <item t="default"/>
      </items>
    </pivotField>
    <pivotField axis="axisRow" subtotalTop="0" showAll="0">
      <items count="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t="default"/>
      </items>
    </pivotField>
    <pivotField axis="axisRow" subtotalTop="0" showAll="0">
      <items count="12">
        <item x="9"/>
        <item x="3"/>
        <item x="7"/>
        <item x="1"/>
        <item x="2"/>
        <item x="4"/>
        <item x="0"/>
        <item x="5"/>
        <item x="8"/>
        <item x="6"/>
        <item x="10"/>
        <item t="default"/>
      </items>
    </pivotField>
    <pivotField subtotalTop="0" showAll="0"/>
    <pivotField subtotalTop="0" showAll="0"/>
    <pivotField subtotalTop="0" showAll="0"/>
    <pivotField subtotalTop="0" showAll="0"/>
  </pivotFields>
  <rowFields count="3">
    <field x="4"/>
    <field x="2"/>
    <field x="3"/>
  </rowFields>
  <rowItems count="30">
    <i>
      <x/>
    </i>
    <i r="1">
      <x v="2"/>
    </i>
    <i r="2">
      <x v="32"/>
    </i>
    <i t="default" r="1">
      <x v="2"/>
    </i>
    <i t="default">
      <x/>
    </i>
    <i>
      <x v="4"/>
    </i>
    <i r="1">
      <x v="2"/>
    </i>
    <i r="2">
      <x v="4"/>
    </i>
    <i r="2">
      <x v="13"/>
    </i>
    <i t="default" r="1">
      <x v="2"/>
    </i>
    <i t="default">
      <x v="4"/>
    </i>
    <i>
      <x v="6"/>
    </i>
    <i r="1">
      <x v="2"/>
    </i>
    <i r="2">
      <x v="10"/>
    </i>
    <i t="default" r="1">
      <x v="2"/>
    </i>
    <i r="1">
      <x v="3"/>
    </i>
    <i r="2">
      <x v="5"/>
    </i>
    <i t="default" r="1">
      <x v="3"/>
    </i>
    <i t="default">
      <x v="6"/>
    </i>
    <i>
      <x v="7"/>
    </i>
    <i r="1">
      <x v="3"/>
    </i>
    <i r="2">
      <x v="11"/>
    </i>
    <i t="default" r="1">
      <x v="3"/>
    </i>
    <i t="default">
      <x v="7"/>
    </i>
    <i>
      <x v="10"/>
    </i>
    <i r="1">
      <x v="4"/>
    </i>
    <i r="2">
      <x v="34"/>
    </i>
    <i t="default" r="1">
      <x v="4"/>
    </i>
    <i t="default">
      <x v="10"/>
    </i>
    <i t="grand">
      <x/>
    </i>
  </rowItems>
  <colItems count="1">
    <i/>
  </colItems>
  <dataFields count="1">
    <dataField name="Count of Statu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C3C34E-4C72-45C5-B1B0-71C31F4C060F}" name="PivotTable1" cacheId="5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ll">
  <location ref="K2:L12" firstHeaderRow="1" firstDataRow="1" firstDataCol="1"/>
  <pivotFields count="9">
    <pivotField showAll="0"/>
    <pivotField showAll="0"/>
    <pivotField axis="axisRow" showAll="0">
      <items count="6">
        <item x="3"/>
        <item x="2"/>
        <item x="0"/>
        <item x="1"/>
        <item m="1" x="4"/>
        <item t="default"/>
      </items>
    </pivotField>
    <pivotField showAll="0"/>
    <pivotField showAll="0"/>
    <pivotField name="Story Points2" dataField="1" showAll="0" defaultSubtotal="0"/>
    <pivotField axis="axisRow" showAll="0">
      <items count="4">
        <item x="0"/>
        <item x="1"/>
        <item x="2"/>
        <item t="default"/>
      </items>
    </pivotField>
    <pivotField showAll="0" defaultSubtotal="0"/>
    <pivotField showAll="0"/>
  </pivotFields>
  <rowFields count="2">
    <field x="6"/>
    <field x="2"/>
  </rowFields>
  <rowItems count="10">
    <i>
      <x/>
    </i>
    <i r="1">
      <x v="2"/>
    </i>
    <i r="1">
      <x v="3"/>
    </i>
    <i>
      <x v="1"/>
    </i>
    <i r="1">
      <x v="1"/>
    </i>
    <i r="1">
      <x v="2"/>
    </i>
    <i r="1">
      <x v="3"/>
    </i>
    <i>
      <x v="2"/>
    </i>
    <i r="1">
      <x/>
    </i>
    <i t="grand">
      <x/>
    </i>
  </rowItems>
  <colItems count="1">
    <i/>
  </colItems>
  <dataFields count="1">
    <dataField name="TTL SP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8CDF02-A1E6-4E46-8D68-88B26186D532}" name="PivotTable2" cacheId="6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dded After SS">
  <location ref="K20:L33" firstHeaderRow="1" firstDataRow="1" firstDataCol="1"/>
  <pivotFields count="9">
    <pivotField showAll="0"/>
    <pivotField showAll="0"/>
    <pivotField axis="axisRow" showAll="0">
      <items count="4">
        <item x="2"/>
        <item x="1"/>
        <item x="0"/>
        <item t="default"/>
      </items>
    </pivotField>
    <pivotField showAll="0"/>
    <pivotField showAll="0"/>
    <pivotField name="Story Points2" dataField="1" showAll="0" defaultSubtotal="0"/>
    <pivotField axis="axisRow" showAll="0">
      <items count="8">
        <item x="2"/>
        <item m="1" x="4"/>
        <item m="1" x="6"/>
        <item m="1" x="5"/>
        <item m="1" x="3"/>
        <item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showAll="0"/>
  </pivotFields>
  <rowFields count="3">
    <field x="7"/>
    <field x="6"/>
    <field x="2"/>
  </rowFields>
  <rowItems count="13">
    <i>
      <x/>
    </i>
    <i r="1">
      <x/>
    </i>
    <i r="2">
      <x/>
    </i>
    <i r="1">
      <x v="5"/>
    </i>
    <i r="2">
      <x v="1"/>
    </i>
    <i r="2">
      <x v="2"/>
    </i>
    <i r="1">
      <x v="6"/>
    </i>
    <i r="2">
      <x v="1"/>
    </i>
    <i r="2">
      <x v="2"/>
    </i>
    <i>
      <x v="1"/>
    </i>
    <i r="1">
      <x v="5"/>
    </i>
    <i r="2">
      <x v="1"/>
    </i>
    <i t="grand">
      <x/>
    </i>
  </rowItems>
  <colItems count="1">
    <i/>
  </colItems>
  <dataFields count="1">
    <dataField name="TTL SP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B002D1-5C3A-445E-AD0C-F9158238FDBB}" name="PivotTable5" cacheId="6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Prj/Add">
  <location ref="N34:O42" firstHeaderRow="1" firstDataRow="1" firstDataCol="1" rowPageCount="1" colPageCount="1"/>
  <pivotFields count="9">
    <pivotField showAll="0"/>
    <pivotField subtotalTop="0" showAll="0"/>
    <pivotField subtotalTop="0" showAll="0"/>
    <pivotField subtotalTop="0" showAll="0"/>
    <pivotField subtotalTop="0" showAll="0"/>
    <pivotField dataField="1" subtotalTop="0" showAll="0"/>
    <pivotField axis="axisRow" subtotalTop="0" showAll="0">
      <items count="8">
        <item x="2"/>
        <item m="1" x="4"/>
        <item m="1" x="6"/>
        <item m="1" x="5"/>
        <item m="1" x="3"/>
        <item x="0"/>
        <item x="1"/>
        <item t="default"/>
      </items>
    </pivotField>
    <pivotField axis="axisRow" subtotalTop="0" showAll="0">
      <items count="3">
        <item x="0"/>
        <item x="1"/>
        <item t="default"/>
      </items>
    </pivotField>
    <pivotField axis="axisPage" subtotalTop="0" showAll="0">
      <items count="3">
        <item x="0"/>
        <item x="1"/>
        <item t="default"/>
      </items>
    </pivotField>
  </pivotFields>
  <rowFields count="2">
    <field x="6"/>
    <field x="7"/>
  </rowFields>
  <rowItems count="8">
    <i>
      <x v="5"/>
    </i>
    <i r="1">
      <x/>
    </i>
    <i r="1">
      <x v="1"/>
    </i>
    <i t="default">
      <x v="5"/>
    </i>
    <i>
      <x v="6"/>
    </i>
    <i r="1">
      <x/>
    </i>
    <i t="default">
      <x v="6"/>
    </i>
    <i t="grand">
      <x/>
    </i>
  </rowItems>
  <colItems count="1">
    <i/>
  </colItems>
  <pageFields count="1">
    <pageField fld="8" item="1" hier="-1"/>
  </pageFields>
  <dataFields count="1">
    <dataField name="Sum of Story Points" fld="5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713073-5755-40D2-8A2A-FCD0DCFA48FA}" name="PivotTable5" cacheId="5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Prj/Add">
  <location ref="N34:O44" firstHeaderRow="1" firstDataRow="1" firstDataCol="1" rowPageCount="1" colPageCount="1"/>
  <pivotFields count="9">
    <pivotField showAll="0"/>
    <pivotField subtotalTop="0" showAll="0"/>
    <pivotField subtotalTop="0" showAll="0"/>
    <pivotField subtotalTop="0" showAll="0"/>
    <pivotField subtotalTop="0" showAll="0"/>
    <pivotField dataField="1" subtotalTop="0" showAll="0"/>
    <pivotField axis="axisRow" subtotalTop="0" showAll="0">
      <items count="4">
        <item x="0"/>
        <item x="1"/>
        <item h="1" x="2"/>
        <item t="default"/>
      </items>
    </pivotField>
    <pivotField axis="axisRow" subtotalTop="0" showAll="0">
      <items count="4">
        <item x="1"/>
        <item x="2"/>
        <item x="0"/>
        <item t="default"/>
      </items>
    </pivotField>
    <pivotField axis="axisPage" subtotalTop="0" showAll="0">
      <items count="3">
        <item x="1"/>
        <item x="0"/>
        <item t="default"/>
      </items>
    </pivotField>
  </pivotFields>
  <rowFields count="2">
    <field x="6"/>
    <field x="7"/>
  </rowFields>
  <rowItems count="10">
    <i>
      <x/>
    </i>
    <i r="1">
      <x/>
    </i>
    <i r="1">
      <x v="1"/>
    </i>
    <i r="1">
      <x v="2"/>
    </i>
    <i t="default">
      <x/>
    </i>
    <i>
      <x v="1"/>
    </i>
    <i r="1">
      <x/>
    </i>
    <i r="1">
      <x v="1"/>
    </i>
    <i t="default">
      <x v="1"/>
    </i>
    <i t="grand">
      <x/>
    </i>
  </rowItems>
  <colItems count="1">
    <i/>
  </colItems>
  <pageFields count="1">
    <pageField fld="8" item="1" hier="-1"/>
  </pageFields>
  <dataFields count="1">
    <dataField name="Sum of Story Points" fld="5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6D37E6-BCCE-476F-8D8D-BCAD4C32B1C5}" name="PivotTable2" cacheId="5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dded After SS">
  <location ref="K20:L41" firstHeaderRow="1" firstDataRow="1" firstDataCol="1"/>
  <pivotFields count="9">
    <pivotField showAll="0"/>
    <pivotField showAll="0"/>
    <pivotField axis="axisRow" showAll="0">
      <items count="6">
        <item x="3"/>
        <item x="2"/>
        <item x="0"/>
        <item x="1"/>
        <item m="1" x="4"/>
        <item t="default"/>
      </items>
    </pivotField>
    <pivotField showAll="0"/>
    <pivotField showAll="0"/>
    <pivotField name="Story Points2" dataField="1" showAll="0" defaultSubtotal="0"/>
    <pivotField axis="axisRow" showAll="0">
      <items count="4">
        <item x="0"/>
        <item x="1"/>
        <item x="2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/>
  </pivotFields>
  <rowFields count="3">
    <field x="7"/>
    <field x="6"/>
    <field x="2"/>
  </rowFields>
  <rowItems count="21">
    <i>
      <x/>
    </i>
    <i r="1">
      <x/>
    </i>
    <i r="2">
      <x v="2"/>
    </i>
    <i r="2">
      <x v="3"/>
    </i>
    <i r="1">
      <x v="1"/>
    </i>
    <i r="2">
      <x v="1"/>
    </i>
    <i r="2">
      <x v="2"/>
    </i>
    <i r="2">
      <x v="3"/>
    </i>
    <i r="1">
      <x v="2"/>
    </i>
    <i r="2">
      <x/>
    </i>
    <i>
      <x v="1"/>
    </i>
    <i r="1">
      <x/>
    </i>
    <i r="2">
      <x v="2"/>
    </i>
    <i r="1">
      <x v="1"/>
    </i>
    <i r="2">
      <x v="1"/>
    </i>
    <i r="2">
      <x v="2"/>
    </i>
    <i r="2">
      <x v="3"/>
    </i>
    <i>
      <x v="2"/>
    </i>
    <i r="1">
      <x/>
    </i>
    <i r="2">
      <x v="2"/>
    </i>
    <i t="grand">
      <x/>
    </i>
  </rowItems>
  <colItems count="1">
    <i/>
  </colItems>
  <dataFields count="1">
    <dataField name="TTL SP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A27C02-035B-43AC-8607-9A0B5E6BF3E6}" name="PivotTable1" cacheId="5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ll">
  <location ref="K2:L12" firstHeaderRow="1" firstDataRow="1" firstDataCol="1"/>
  <pivotFields count="9">
    <pivotField showAll="0"/>
    <pivotField showAll="0"/>
    <pivotField axis="axisRow" showAll="0">
      <items count="6">
        <item x="3"/>
        <item x="2"/>
        <item x="0"/>
        <item x="1"/>
        <item m="1" x="4"/>
        <item t="default"/>
      </items>
    </pivotField>
    <pivotField showAll="0"/>
    <pivotField showAll="0"/>
    <pivotField name="Story Points2" dataField="1" showAll="0" defaultSubtotal="0"/>
    <pivotField axis="axisRow" showAll="0">
      <items count="4">
        <item x="0"/>
        <item x="1"/>
        <item x="2"/>
        <item t="default"/>
      </items>
    </pivotField>
    <pivotField showAll="0" defaultSubtotal="0"/>
    <pivotField showAll="0"/>
  </pivotFields>
  <rowFields count="2">
    <field x="6"/>
    <field x="2"/>
  </rowFields>
  <rowItems count="10">
    <i>
      <x/>
    </i>
    <i r="1">
      <x v="2"/>
    </i>
    <i r="1">
      <x v="3"/>
    </i>
    <i>
      <x v="1"/>
    </i>
    <i r="1">
      <x v="1"/>
    </i>
    <i r="1">
      <x v="2"/>
    </i>
    <i r="1">
      <x v="3"/>
    </i>
    <i>
      <x v="2"/>
    </i>
    <i r="1">
      <x/>
    </i>
    <i t="grand">
      <x/>
    </i>
  </rowItems>
  <colItems count="1">
    <i/>
  </colItems>
  <dataFields count="1">
    <dataField name="TTL SP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673E09-D870-4E3A-B48D-62807D4B03FC}" name="PivotTable3" cacheId="1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Y1:Z31" firstHeaderRow="1" firstDataRow="1" firstDataCol="1"/>
  <pivotFields count="9">
    <pivotField subtotalTop="0" showAll="0"/>
    <pivotField subtotalTop="0" showAll="0"/>
    <pivotField axis="axisRow" dataField="1" subtotalTop="0" showAll="0">
      <items count="6">
        <item h="1" x="3"/>
        <item h="1" x="0"/>
        <item x="1"/>
        <item x="2"/>
        <item x="4"/>
        <item t="default"/>
      </items>
    </pivotField>
    <pivotField axis="axisRow" subtotalTop="0" showAll="0">
      <items count="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t="default"/>
      </items>
    </pivotField>
    <pivotField axis="axisRow" subtotalTop="0" showAll="0">
      <items count="12">
        <item x="9"/>
        <item x="3"/>
        <item x="7"/>
        <item x="1"/>
        <item x="2"/>
        <item x="4"/>
        <item x="0"/>
        <item x="5"/>
        <item x="8"/>
        <item x="6"/>
        <item x="10"/>
        <item t="default"/>
      </items>
    </pivotField>
    <pivotField subtotalTop="0" showAll="0"/>
    <pivotField subtotalTop="0" showAll="0"/>
    <pivotField subtotalTop="0" showAll="0"/>
    <pivotField subtotalTop="0" showAll="0"/>
  </pivotFields>
  <rowFields count="3">
    <field x="4"/>
    <field x="2"/>
    <field x="3"/>
  </rowFields>
  <rowItems count="30">
    <i>
      <x/>
    </i>
    <i r="1">
      <x v="2"/>
    </i>
    <i r="2">
      <x v="32"/>
    </i>
    <i t="default" r="1">
      <x v="2"/>
    </i>
    <i t="default">
      <x/>
    </i>
    <i>
      <x v="4"/>
    </i>
    <i r="1">
      <x v="2"/>
    </i>
    <i r="2">
      <x v="4"/>
    </i>
    <i r="2">
      <x v="13"/>
    </i>
    <i t="default" r="1">
      <x v="2"/>
    </i>
    <i t="default">
      <x v="4"/>
    </i>
    <i>
      <x v="6"/>
    </i>
    <i r="1">
      <x v="2"/>
    </i>
    <i r="2">
      <x v="10"/>
    </i>
    <i t="default" r="1">
      <x v="2"/>
    </i>
    <i r="1">
      <x v="3"/>
    </i>
    <i r="2">
      <x v="5"/>
    </i>
    <i t="default" r="1">
      <x v="3"/>
    </i>
    <i t="default">
      <x v="6"/>
    </i>
    <i>
      <x v="7"/>
    </i>
    <i r="1">
      <x v="3"/>
    </i>
    <i r="2">
      <x v="11"/>
    </i>
    <i t="default" r="1">
      <x v="3"/>
    </i>
    <i t="default">
      <x v="7"/>
    </i>
    <i>
      <x v="10"/>
    </i>
    <i r="1">
      <x v="4"/>
    </i>
    <i r="2">
      <x v="34"/>
    </i>
    <i t="default" r="1">
      <x v="4"/>
    </i>
    <i t="default">
      <x v="10"/>
    </i>
    <i t="grand">
      <x/>
    </i>
  </rowItems>
  <colItems count="1">
    <i/>
  </colItems>
  <dataFields count="1">
    <dataField name="Count of Statu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FE330A-F20A-4277-AD9C-BE567AE19059}" name="PivotTable5" cacheId="1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Prj/Add">
  <location ref="N34:O43" firstHeaderRow="1" firstDataRow="1" firstDataCol="1" rowPageCount="1" colPageCount="1"/>
  <pivotFields count="9">
    <pivotField showAll="0"/>
    <pivotField subtotalTop="0" showAll="0"/>
    <pivotField subtotalTop="0" showAll="0"/>
    <pivotField subtotalTop="0" showAll="0"/>
    <pivotField subtotalTop="0" showAll="0"/>
    <pivotField dataField="1" subtotalTop="0" showAll="0"/>
    <pivotField axis="axisRow" subtotalTop="0" showAll="0">
      <items count="4">
        <item x="1"/>
        <item x="0"/>
        <item x="2"/>
        <item t="default"/>
      </items>
    </pivotField>
    <pivotField axis="axisRow" subtotalTop="0" showAll="0">
      <items count="3">
        <item x="1"/>
        <item x="0"/>
        <item t="default"/>
      </items>
    </pivotField>
    <pivotField axis="axisPage" subtotalTop="0" showAll="0">
      <items count="3">
        <item x="1"/>
        <item x="0"/>
        <item t="default"/>
      </items>
    </pivotField>
  </pivotFields>
  <rowFields count="2">
    <field x="6"/>
    <field x="7"/>
  </rowFields>
  <rowItems count="9">
    <i>
      <x/>
    </i>
    <i r="1">
      <x/>
    </i>
    <i r="1">
      <x v="1"/>
    </i>
    <i t="default">
      <x/>
    </i>
    <i>
      <x v="1"/>
    </i>
    <i r="1">
      <x/>
    </i>
    <i r="1">
      <x v="1"/>
    </i>
    <i t="default">
      <x v="1"/>
    </i>
    <i t="grand">
      <x/>
    </i>
  </rowItems>
  <colItems count="1">
    <i/>
  </colItems>
  <pageFields count="1">
    <pageField fld="8" item="1" hier="-1"/>
  </pageFields>
  <dataFields count="1">
    <dataField name="Sum of Story Points" fld="5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1AF2CA-6F87-49CD-BBF5-77510443BC01}" name="PivotTable3" cacheId="1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Y1:Z31" firstHeaderRow="1" firstDataRow="1" firstDataCol="1"/>
  <pivotFields count="9">
    <pivotField subtotalTop="0" showAll="0"/>
    <pivotField subtotalTop="0" showAll="0"/>
    <pivotField axis="axisRow" dataField="1" subtotalTop="0" showAll="0">
      <items count="6">
        <item h="1" x="3"/>
        <item h="1" x="0"/>
        <item x="1"/>
        <item x="2"/>
        <item x="4"/>
        <item t="default"/>
      </items>
    </pivotField>
    <pivotField axis="axisRow" subtotalTop="0" showAll="0">
      <items count="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t="default"/>
      </items>
    </pivotField>
    <pivotField axis="axisRow" subtotalTop="0" showAll="0">
      <items count="12">
        <item x="9"/>
        <item x="3"/>
        <item x="7"/>
        <item x="1"/>
        <item x="2"/>
        <item x="4"/>
        <item x="0"/>
        <item x="5"/>
        <item x="8"/>
        <item x="6"/>
        <item x="10"/>
        <item t="default"/>
      </items>
    </pivotField>
    <pivotField subtotalTop="0" showAll="0"/>
    <pivotField subtotalTop="0" showAll="0"/>
    <pivotField subtotalTop="0" showAll="0"/>
    <pivotField subtotalTop="0" showAll="0"/>
  </pivotFields>
  <rowFields count="3">
    <field x="4"/>
    <field x="2"/>
    <field x="3"/>
  </rowFields>
  <rowItems count="30">
    <i>
      <x/>
    </i>
    <i r="1">
      <x v="2"/>
    </i>
    <i r="2">
      <x v="32"/>
    </i>
    <i t="default" r="1">
      <x v="2"/>
    </i>
    <i t="default">
      <x/>
    </i>
    <i>
      <x v="4"/>
    </i>
    <i r="1">
      <x v="2"/>
    </i>
    <i r="2">
      <x v="4"/>
    </i>
    <i r="2">
      <x v="13"/>
    </i>
    <i t="default" r="1">
      <x v="2"/>
    </i>
    <i t="default">
      <x v="4"/>
    </i>
    <i>
      <x v="6"/>
    </i>
    <i r="1">
      <x v="2"/>
    </i>
    <i r="2">
      <x v="10"/>
    </i>
    <i t="default" r="1">
      <x v="2"/>
    </i>
    <i r="1">
      <x v="3"/>
    </i>
    <i r="2">
      <x v="5"/>
    </i>
    <i t="default" r="1">
      <x v="3"/>
    </i>
    <i t="default">
      <x v="6"/>
    </i>
    <i>
      <x v="7"/>
    </i>
    <i r="1">
      <x v="3"/>
    </i>
    <i r="2">
      <x v="11"/>
    </i>
    <i t="default" r="1">
      <x v="3"/>
    </i>
    <i t="default">
      <x v="7"/>
    </i>
    <i>
      <x v="10"/>
    </i>
    <i r="1">
      <x v="4"/>
    </i>
    <i r="2">
      <x v="34"/>
    </i>
    <i t="default" r="1">
      <x v="4"/>
    </i>
    <i t="default">
      <x v="10"/>
    </i>
    <i t="grand">
      <x/>
    </i>
  </rowItems>
  <colItems count="1">
    <i/>
  </colItems>
  <dataFields count="1">
    <dataField name="Count of Statu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29F03F-5BBF-4622-A0F8-217C98E7EC39}" name="PivotTable1" cacheId="1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ll">
  <location ref="K2:L14" firstHeaderRow="1" firstDataRow="1" firstDataCol="1"/>
  <pivotFields count="9">
    <pivotField showAll="0"/>
    <pivotField showAll="0"/>
    <pivotField axis="axisRow" showAll="0">
      <items count="6">
        <item x="4"/>
        <item x="2"/>
        <item x="0"/>
        <item x="1"/>
        <item x="3"/>
        <item t="default"/>
      </items>
    </pivotField>
    <pivotField showAll="0"/>
    <pivotField showAll="0"/>
    <pivotField name="Story Points2" dataField="1" showAll="0" defaultSubtotal="0"/>
    <pivotField axis="axisRow" showAll="0">
      <items count="4">
        <item x="1"/>
        <item x="0"/>
        <item x="2"/>
        <item t="default"/>
      </items>
    </pivotField>
    <pivotField showAll="0" defaultSubtotal="0"/>
    <pivotField showAll="0"/>
  </pivotFields>
  <rowFields count="2">
    <field x="6"/>
    <field x="2"/>
  </rowFields>
  <rowItems count="12">
    <i>
      <x/>
    </i>
    <i r="1">
      <x v="2"/>
    </i>
    <i r="1">
      <x v="3"/>
    </i>
    <i r="1">
      <x v="4"/>
    </i>
    <i>
      <x v="1"/>
    </i>
    <i r="1">
      <x v="1"/>
    </i>
    <i r="1">
      <x v="2"/>
    </i>
    <i r="1">
      <x v="3"/>
    </i>
    <i r="1">
      <x v="4"/>
    </i>
    <i>
      <x v="2"/>
    </i>
    <i r="1">
      <x/>
    </i>
    <i t="grand">
      <x/>
    </i>
  </rowItems>
  <colItems count="1">
    <i/>
  </colItems>
  <dataFields count="1">
    <dataField name="TTL SP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502FC9-1AB8-4348-A730-F372636482CB}" name="PivotTable2" cacheId="1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dded After SS">
  <location ref="K20:L38" firstHeaderRow="1" firstDataRow="1" firstDataCol="1"/>
  <pivotFields count="9">
    <pivotField showAll="0"/>
    <pivotField showAll="0"/>
    <pivotField axis="axisRow" showAll="0">
      <items count="6">
        <item x="4"/>
        <item x="2"/>
        <item x="0"/>
        <item x="1"/>
        <item x="3"/>
        <item t="default"/>
      </items>
    </pivotField>
    <pivotField showAll="0"/>
    <pivotField showAll="0"/>
    <pivotField name="Story Points2" dataField="1" showAll="0" defaultSubtotal="0"/>
    <pivotField axis="axisRow" showAll="0">
      <items count="4">
        <item x="1"/>
        <item x="0"/>
        <item x="2"/>
        <item t="default"/>
      </items>
    </pivotField>
    <pivotField axis="axisRow" showAll="0">
      <items count="3">
        <item x="1"/>
        <item x="0"/>
        <item t="default"/>
      </items>
    </pivotField>
    <pivotField showAll="0"/>
  </pivotFields>
  <rowFields count="3">
    <field x="7"/>
    <field x="6"/>
    <field x="2"/>
  </rowFields>
  <rowItems count="18">
    <i>
      <x/>
    </i>
    <i r="1">
      <x/>
    </i>
    <i r="2">
      <x v="2"/>
    </i>
    <i r="2">
      <x v="3"/>
    </i>
    <i r="2">
      <x v="4"/>
    </i>
    <i r="1">
      <x v="1"/>
    </i>
    <i r="2">
      <x v="1"/>
    </i>
    <i r="2">
      <x v="2"/>
    </i>
    <i r="2">
      <x v="3"/>
    </i>
    <i r="2">
      <x v="4"/>
    </i>
    <i r="1">
      <x v="2"/>
    </i>
    <i r="2">
      <x/>
    </i>
    <i>
      <x v="1"/>
    </i>
    <i r="1">
      <x/>
    </i>
    <i r="2">
      <x v="2"/>
    </i>
    <i r="1">
      <x v="1"/>
    </i>
    <i r="2">
      <x v="2"/>
    </i>
    <i t="grand">
      <x/>
    </i>
  </rowItems>
  <colItems count="1">
    <i/>
  </colItems>
  <dataFields count="1">
    <dataField name="TTL SP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16CC8D-2E3B-4863-BB8A-520C4397F21B}" name="PivotTable5" cacheId="1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Prj/Add">
  <location ref="N34:O43" firstHeaderRow="1" firstDataRow="1" firstDataCol="1" rowPageCount="1" colPageCount="1"/>
  <pivotFields count="9">
    <pivotField showAll="0"/>
    <pivotField subtotalTop="0" showAll="0"/>
    <pivotField subtotalTop="0" showAll="0"/>
    <pivotField subtotalTop="0" showAll="0"/>
    <pivotField subtotalTop="0" showAll="0"/>
    <pivotField dataField="1" subtotalTop="0" showAll="0"/>
    <pivotField axis="axisRow" subtotalTop="0" showAll="0">
      <items count="4">
        <item x="1"/>
        <item x="0"/>
        <item x="2"/>
        <item t="default"/>
      </items>
    </pivotField>
    <pivotField axis="axisRow" subtotalTop="0" showAll="0">
      <items count="3">
        <item x="1"/>
        <item x="0"/>
        <item t="default"/>
      </items>
    </pivotField>
    <pivotField axis="axisPage" subtotalTop="0" showAll="0">
      <items count="3">
        <item x="1"/>
        <item x="0"/>
        <item t="default"/>
      </items>
    </pivotField>
  </pivotFields>
  <rowFields count="2">
    <field x="6"/>
    <field x="7"/>
  </rowFields>
  <rowItems count="9">
    <i>
      <x/>
    </i>
    <i r="1">
      <x/>
    </i>
    <i r="1">
      <x v="1"/>
    </i>
    <i t="default">
      <x/>
    </i>
    <i>
      <x v="1"/>
    </i>
    <i r="1">
      <x/>
    </i>
    <i r="1">
      <x v="1"/>
    </i>
    <i t="default">
      <x v="1"/>
    </i>
    <i t="grand">
      <x/>
    </i>
  </rowItems>
  <colItems count="1">
    <i/>
  </colItems>
  <pageFields count="1">
    <pageField fld="8" item="1" hier="-1"/>
  </pageFields>
  <dataFields count="1">
    <dataField name="Sum of Story Points" fld="5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89445F-C9DA-4801-AA3E-EE7763D7704F}" name="PivotTable2" cacheId="1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dded After SS">
  <location ref="K20:L38" firstHeaderRow="1" firstDataRow="1" firstDataCol="1"/>
  <pivotFields count="9">
    <pivotField showAll="0"/>
    <pivotField showAll="0"/>
    <pivotField axis="axisRow" showAll="0">
      <items count="6">
        <item x="4"/>
        <item x="3"/>
        <item x="0"/>
        <item x="2"/>
        <item x="1"/>
        <item t="default"/>
      </items>
    </pivotField>
    <pivotField showAll="0"/>
    <pivotField showAll="0"/>
    <pivotField name="Story Points2" dataField="1" showAll="0" defaultSubtotal="0"/>
    <pivotField axis="axisRow" showAll="0">
      <items count="4">
        <item x="1"/>
        <item x="0"/>
        <item x="2"/>
        <item t="default"/>
      </items>
    </pivotField>
    <pivotField axis="axisRow" showAll="0">
      <items count="3">
        <item x="1"/>
        <item x="0"/>
        <item t="default"/>
      </items>
    </pivotField>
    <pivotField showAll="0"/>
  </pivotFields>
  <rowFields count="3">
    <field x="7"/>
    <field x="6"/>
    <field x="2"/>
  </rowFields>
  <rowItems count="18">
    <i>
      <x/>
    </i>
    <i r="1">
      <x/>
    </i>
    <i r="2">
      <x v="1"/>
    </i>
    <i r="2">
      <x v="2"/>
    </i>
    <i r="2">
      <x v="3"/>
    </i>
    <i r="1">
      <x v="1"/>
    </i>
    <i r="2">
      <x v="1"/>
    </i>
    <i r="2">
      <x v="2"/>
    </i>
    <i r="2">
      <x v="3"/>
    </i>
    <i r="2">
      <x v="4"/>
    </i>
    <i r="1">
      <x v="2"/>
    </i>
    <i r="2">
      <x/>
    </i>
    <i>
      <x v="1"/>
    </i>
    <i r="1">
      <x/>
    </i>
    <i r="2">
      <x v="2"/>
    </i>
    <i r="1">
      <x v="1"/>
    </i>
    <i r="2">
      <x v="2"/>
    </i>
    <i t="grand">
      <x/>
    </i>
  </rowItems>
  <colItems count="1">
    <i/>
  </colItems>
  <dataFields count="1">
    <dataField name="TTL SP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BEFD5A-E0F3-48E8-930C-712788ECD776}" name="PivotTable1" cacheId="1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ll">
  <location ref="K2:L14" firstHeaderRow="1" firstDataRow="1" firstDataCol="1"/>
  <pivotFields count="9">
    <pivotField showAll="0"/>
    <pivotField showAll="0"/>
    <pivotField axis="axisRow" showAll="0">
      <items count="6">
        <item x="4"/>
        <item x="3"/>
        <item x="0"/>
        <item x="2"/>
        <item x="1"/>
        <item t="default"/>
      </items>
    </pivotField>
    <pivotField showAll="0"/>
    <pivotField showAll="0"/>
    <pivotField name="Story Points2" dataField="1" showAll="0" defaultSubtotal="0"/>
    <pivotField axis="axisRow" showAll="0">
      <items count="4">
        <item x="1"/>
        <item x="0"/>
        <item x="2"/>
        <item t="default"/>
      </items>
    </pivotField>
    <pivotField showAll="0" defaultSubtotal="0"/>
    <pivotField showAll="0"/>
  </pivotFields>
  <rowFields count="2">
    <field x="6"/>
    <field x="2"/>
  </rowFields>
  <rowItems count="12">
    <i>
      <x/>
    </i>
    <i r="1">
      <x v="1"/>
    </i>
    <i r="1">
      <x v="2"/>
    </i>
    <i r="1">
      <x v="3"/>
    </i>
    <i>
      <x v="1"/>
    </i>
    <i r="1">
      <x v="1"/>
    </i>
    <i r="1">
      <x v="2"/>
    </i>
    <i r="1">
      <x v="3"/>
    </i>
    <i r="1">
      <x v="4"/>
    </i>
    <i>
      <x v="2"/>
    </i>
    <i r="1">
      <x/>
    </i>
    <i t="grand">
      <x/>
    </i>
  </rowItems>
  <colItems count="1">
    <i/>
  </colItems>
  <dataFields count="1">
    <dataField name="TTL SP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B0E001-11C1-40C0-9501-8C9D07DDF558}" name="PivotTable3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Y1:Z62" firstHeaderRow="1" firstDataRow="1" firstDataCol="1"/>
  <pivotFields count="9">
    <pivotField subtotalTop="0" showAll="0"/>
    <pivotField subtotalTop="0" showAll="0"/>
    <pivotField axis="axisRow" dataField="1" subtotalTop="0" showAll="0">
      <items count="6">
        <item h="1" x="1"/>
        <item h="1" x="2"/>
        <item x="0"/>
        <item x="3"/>
        <item m="1" x="4"/>
        <item t="default"/>
      </items>
    </pivotField>
    <pivotField axis="axisRow" subtotalTop="0" showAll="0">
      <items count="57">
        <item x="35"/>
        <item x="16"/>
        <item x="15"/>
        <item x="12"/>
        <item x="14"/>
        <item x="13"/>
        <item x="9"/>
        <item x="0"/>
        <item x="32"/>
        <item x="45"/>
        <item x="42"/>
        <item x="2"/>
        <item x="17"/>
        <item x="8"/>
        <item x="31"/>
        <item x="33"/>
        <item x="7"/>
        <item x="4"/>
        <item x="54"/>
        <item x="36"/>
        <item x="43"/>
        <item x="50"/>
        <item x="39"/>
        <item x="11"/>
        <item x="51"/>
        <item x="41"/>
        <item x="55"/>
        <item x="29"/>
        <item x="10"/>
        <item x="40"/>
        <item x="25"/>
        <item x="24"/>
        <item x="20"/>
        <item x="22"/>
        <item x="21"/>
        <item x="23"/>
        <item x="52"/>
        <item x="38"/>
        <item x="46"/>
        <item x="49"/>
        <item x="47"/>
        <item x="37"/>
        <item x="53"/>
        <item x="1"/>
        <item x="5"/>
        <item x="6"/>
        <item x="34"/>
        <item x="30"/>
        <item x="44"/>
        <item x="18"/>
        <item x="19"/>
        <item x="3"/>
        <item x="26"/>
        <item x="27"/>
        <item x="28"/>
        <item x="48"/>
        <item t="default"/>
      </items>
    </pivotField>
    <pivotField subtotalTop="0" showAll="0"/>
    <pivotField axis="axisRow" subtotalTop="0" showAll="0">
      <items count="15">
        <item x="2"/>
        <item x="3"/>
        <item x="4"/>
        <item x="11"/>
        <item x="7"/>
        <item x="1"/>
        <item x="10"/>
        <item x="8"/>
        <item x="9"/>
        <item m="1" x="12"/>
        <item x="0"/>
        <item m="1" x="13"/>
        <item x="5"/>
        <item x="6"/>
        <item t="default"/>
      </items>
    </pivotField>
    <pivotField subtotalTop="0" showAll="0"/>
    <pivotField subtotalTop="0" showAll="0"/>
    <pivotField subtotalTop="0" showAll="0"/>
  </pivotFields>
  <rowFields count="3">
    <field x="5"/>
    <field x="2"/>
    <field x="3"/>
  </rowFields>
  <rowItems count="61">
    <i>
      <x/>
    </i>
    <i r="1">
      <x v="2"/>
    </i>
    <i r="2">
      <x v="28"/>
    </i>
    <i t="default" r="1">
      <x v="2"/>
    </i>
    <i r="1">
      <x v="3"/>
    </i>
    <i r="2">
      <x v="17"/>
    </i>
    <i r="2">
      <x v="23"/>
    </i>
    <i t="default" r="1">
      <x v="3"/>
    </i>
    <i t="default">
      <x/>
    </i>
    <i>
      <x v="1"/>
    </i>
    <i r="1">
      <x v="2"/>
    </i>
    <i r="2">
      <x v="9"/>
    </i>
    <i r="2">
      <x v="10"/>
    </i>
    <i t="default" r="1">
      <x v="2"/>
    </i>
    <i t="default">
      <x v="1"/>
    </i>
    <i>
      <x v="2"/>
    </i>
    <i r="1">
      <x v="2"/>
    </i>
    <i r="2">
      <x v="30"/>
    </i>
    <i t="default" r="1">
      <x v="2"/>
    </i>
    <i t="default">
      <x v="2"/>
    </i>
    <i>
      <x v="4"/>
    </i>
    <i r="1">
      <x v="3"/>
    </i>
    <i r="2">
      <x v="15"/>
    </i>
    <i t="default" r="1">
      <x v="3"/>
    </i>
    <i t="default">
      <x v="4"/>
    </i>
    <i>
      <x v="5"/>
    </i>
    <i r="1">
      <x v="3"/>
    </i>
    <i r="2">
      <x v="16"/>
    </i>
    <i t="default" r="1">
      <x v="3"/>
    </i>
    <i t="default">
      <x v="5"/>
    </i>
    <i>
      <x v="6"/>
    </i>
    <i r="1">
      <x v="2"/>
    </i>
    <i r="2">
      <x v="48"/>
    </i>
    <i t="default" r="1">
      <x v="2"/>
    </i>
    <i t="default">
      <x v="6"/>
    </i>
    <i>
      <x v="7"/>
    </i>
    <i r="1">
      <x v="2"/>
    </i>
    <i r="2">
      <x v="19"/>
    </i>
    <i t="default" r="1">
      <x v="2"/>
    </i>
    <i t="default">
      <x v="7"/>
    </i>
    <i>
      <x v="8"/>
    </i>
    <i r="1">
      <x v="2"/>
    </i>
    <i r="2">
      <x v="29"/>
    </i>
    <i t="default" r="1">
      <x v="2"/>
    </i>
    <i t="default">
      <x v="8"/>
    </i>
    <i>
      <x v="10"/>
    </i>
    <i r="1">
      <x v="2"/>
    </i>
    <i r="2">
      <x v="7"/>
    </i>
    <i t="default" r="1">
      <x v="2"/>
    </i>
    <i r="1">
      <x v="3"/>
    </i>
    <i r="2">
      <x v="36"/>
    </i>
    <i r="2">
      <x v="51"/>
    </i>
    <i t="default" r="1">
      <x v="3"/>
    </i>
    <i t="default">
      <x v="10"/>
    </i>
    <i>
      <x v="12"/>
    </i>
    <i r="1">
      <x v="3"/>
    </i>
    <i r="2">
      <x/>
    </i>
    <i r="2">
      <x v="8"/>
    </i>
    <i t="default" r="1">
      <x v="3"/>
    </i>
    <i t="default">
      <x v="12"/>
    </i>
    <i t="grand">
      <x/>
    </i>
  </rowItems>
  <colItems count="1">
    <i/>
  </colItems>
  <dataFields count="1">
    <dataField name="Count of Statu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69FDF7-C850-4624-BE1A-19AF267841E3}" name="PivotTable1" cacheId="1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ll">
  <location ref="K2:L14" firstHeaderRow="1" firstDataRow="1" firstDataCol="1"/>
  <pivotFields count="9">
    <pivotField showAll="0"/>
    <pivotField showAll="0"/>
    <pivotField axis="axisRow" showAll="0">
      <items count="6">
        <item x="4"/>
        <item x="1"/>
        <item x="0"/>
        <item x="2"/>
        <item x="3"/>
        <item t="default"/>
      </items>
    </pivotField>
    <pivotField showAll="0"/>
    <pivotField showAll="0"/>
    <pivotField name="Story Points2" dataField="1" showAll="0" defaultSubtotal="0"/>
    <pivotField axis="axisRow" showAll="0">
      <items count="4">
        <item x="1"/>
        <item x="0"/>
        <item x="2"/>
        <item t="default"/>
      </items>
    </pivotField>
    <pivotField showAll="0" defaultSubtotal="0"/>
    <pivotField showAll="0"/>
  </pivotFields>
  <rowFields count="2">
    <field x="6"/>
    <field x="2"/>
  </rowFields>
  <rowItems count="12">
    <i>
      <x/>
    </i>
    <i r="1">
      <x v="1"/>
    </i>
    <i r="1">
      <x v="2"/>
    </i>
    <i r="1">
      <x v="3"/>
    </i>
    <i>
      <x v="1"/>
    </i>
    <i r="1">
      <x v="1"/>
    </i>
    <i r="1">
      <x v="2"/>
    </i>
    <i r="1">
      <x v="3"/>
    </i>
    <i r="1">
      <x v="4"/>
    </i>
    <i>
      <x v="2"/>
    </i>
    <i r="1">
      <x/>
    </i>
    <i t="grand">
      <x/>
    </i>
  </rowItems>
  <colItems count="1">
    <i/>
  </colItems>
  <dataFields count="1">
    <dataField name="TTL SP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6F19FA-EC93-4F37-9558-5A0AFE653E11}" name="PivotTable2" cacheId="1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dded After SS">
  <location ref="K20:L38" firstHeaderRow="1" firstDataRow="1" firstDataCol="1"/>
  <pivotFields count="9">
    <pivotField showAll="0"/>
    <pivotField showAll="0"/>
    <pivotField axis="axisRow" showAll="0">
      <items count="6">
        <item x="4"/>
        <item x="1"/>
        <item x="0"/>
        <item x="2"/>
        <item x="3"/>
        <item t="default"/>
      </items>
    </pivotField>
    <pivotField showAll="0"/>
    <pivotField showAll="0"/>
    <pivotField name="Story Points2" dataField="1" showAll="0" defaultSubtotal="0"/>
    <pivotField axis="axisRow" showAll="0">
      <items count="4">
        <item x="1"/>
        <item x="0"/>
        <item x="2"/>
        <item t="default"/>
      </items>
    </pivotField>
    <pivotField axis="axisRow" showAll="0">
      <items count="3">
        <item x="1"/>
        <item x="0"/>
        <item t="default"/>
      </items>
    </pivotField>
    <pivotField showAll="0"/>
  </pivotFields>
  <rowFields count="3">
    <field x="7"/>
    <field x="6"/>
    <field x="2"/>
  </rowFields>
  <rowItems count="18">
    <i>
      <x/>
    </i>
    <i r="1">
      <x/>
    </i>
    <i r="2">
      <x v="1"/>
    </i>
    <i r="2">
      <x v="2"/>
    </i>
    <i r="1">
      <x v="1"/>
    </i>
    <i r="2">
      <x v="1"/>
    </i>
    <i r="2">
      <x v="2"/>
    </i>
    <i r="2">
      <x v="3"/>
    </i>
    <i r="2">
      <x v="4"/>
    </i>
    <i r="1">
      <x v="2"/>
    </i>
    <i r="2">
      <x/>
    </i>
    <i>
      <x v="1"/>
    </i>
    <i r="1">
      <x/>
    </i>
    <i r="2">
      <x v="2"/>
    </i>
    <i r="2">
      <x v="3"/>
    </i>
    <i r="1">
      <x v="1"/>
    </i>
    <i r="2">
      <x v="2"/>
    </i>
    <i t="grand">
      <x/>
    </i>
  </rowItems>
  <colItems count="1">
    <i/>
  </colItems>
  <dataFields count="1">
    <dataField name="TTL SP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5E1FB1-61F9-47DE-97A4-BF6792E33509}" name="PivotTable5" cacheId="1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Prj/Add">
  <location ref="N34:O43" firstHeaderRow="1" firstDataRow="1" firstDataCol="1" rowPageCount="1" colPageCount="1"/>
  <pivotFields count="9">
    <pivotField showAll="0"/>
    <pivotField subtotalTop="0" showAll="0"/>
    <pivotField subtotalTop="0" showAll="0"/>
    <pivotField subtotalTop="0" showAll="0"/>
    <pivotField subtotalTop="0" showAll="0"/>
    <pivotField dataField="1" subtotalTop="0" showAll="0"/>
    <pivotField axis="axisRow" subtotalTop="0" showAll="0">
      <items count="4">
        <item x="1"/>
        <item x="0"/>
        <item x="2"/>
        <item t="default"/>
      </items>
    </pivotField>
    <pivotField axis="axisRow" subtotalTop="0" showAll="0">
      <items count="3">
        <item x="1"/>
        <item x="0"/>
        <item t="default"/>
      </items>
    </pivotField>
    <pivotField axis="axisPage" subtotalTop="0" showAll="0">
      <items count="3">
        <item x="1"/>
        <item x="0"/>
        <item t="default"/>
      </items>
    </pivotField>
  </pivotFields>
  <rowFields count="2">
    <field x="6"/>
    <field x="7"/>
  </rowFields>
  <rowItems count="9">
    <i>
      <x/>
    </i>
    <i r="1">
      <x/>
    </i>
    <i r="1">
      <x v="1"/>
    </i>
    <i t="default">
      <x/>
    </i>
    <i>
      <x v="1"/>
    </i>
    <i r="1">
      <x/>
    </i>
    <i r="1">
      <x v="1"/>
    </i>
    <i t="default">
      <x v="1"/>
    </i>
    <i t="grand">
      <x/>
    </i>
  </rowItems>
  <colItems count="1">
    <i/>
  </colItems>
  <pageFields count="1">
    <pageField fld="8" item="1" hier="-1"/>
  </pageFields>
  <dataFields count="1">
    <dataField name="Sum of Story Points" fld="5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2E8D8F-074C-4989-8756-1AFB863A4918}" name="PivotTable3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Y1:Z62" firstHeaderRow="1" firstDataRow="1" firstDataCol="1"/>
  <pivotFields count="9">
    <pivotField subtotalTop="0" showAll="0"/>
    <pivotField subtotalTop="0" showAll="0"/>
    <pivotField axis="axisRow" dataField="1" subtotalTop="0" showAll="0">
      <items count="6">
        <item h="1" x="1"/>
        <item h="1" x="2"/>
        <item x="0"/>
        <item x="3"/>
        <item m="1" x="4"/>
        <item t="default"/>
      </items>
    </pivotField>
    <pivotField axis="axisRow" subtotalTop="0" showAll="0">
      <items count="57">
        <item x="35"/>
        <item x="16"/>
        <item x="15"/>
        <item x="12"/>
        <item x="14"/>
        <item x="13"/>
        <item x="9"/>
        <item x="0"/>
        <item x="32"/>
        <item x="45"/>
        <item x="42"/>
        <item x="2"/>
        <item x="17"/>
        <item x="8"/>
        <item x="31"/>
        <item x="33"/>
        <item x="7"/>
        <item x="4"/>
        <item x="54"/>
        <item x="36"/>
        <item x="43"/>
        <item x="50"/>
        <item x="39"/>
        <item x="11"/>
        <item x="51"/>
        <item x="41"/>
        <item x="55"/>
        <item x="29"/>
        <item x="10"/>
        <item x="40"/>
        <item x="25"/>
        <item x="24"/>
        <item x="20"/>
        <item x="22"/>
        <item x="21"/>
        <item x="23"/>
        <item x="52"/>
        <item x="38"/>
        <item x="46"/>
        <item x="49"/>
        <item x="47"/>
        <item x="37"/>
        <item x="53"/>
        <item x="1"/>
        <item x="5"/>
        <item x="6"/>
        <item x="34"/>
        <item x="30"/>
        <item x="44"/>
        <item x="18"/>
        <item x="19"/>
        <item x="3"/>
        <item x="26"/>
        <item x="27"/>
        <item x="28"/>
        <item x="48"/>
        <item t="default"/>
      </items>
    </pivotField>
    <pivotField subtotalTop="0" showAll="0"/>
    <pivotField axis="axisRow" subtotalTop="0" showAll="0">
      <items count="15">
        <item x="2"/>
        <item x="3"/>
        <item x="4"/>
        <item x="11"/>
        <item x="7"/>
        <item x="1"/>
        <item x="10"/>
        <item x="8"/>
        <item x="9"/>
        <item m="1" x="12"/>
        <item x="0"/>
        <item m="1" x="13"/>
        <item x="5"/>
        <item x="6"/>
        <item t="default"/>
      </items>
    </pivotField>
    <pivotField subtotalTop="0" showAll="0"/>
    <pivotField subtotalTop="0" showAll="0"/>
    <pivotField subtotalTop="0" showAll="0"/>
  </pivotFields>
  <rowFields count="3">
    <field x="5"/>
    <field x="2"/>
    <field x="3"/>
  </rowFields>
  <rowItems count="61">
    <i>
      <x/>
    </i>
    <i r="1">
      <x v="2"/>
    </i>
    <i r="2">
      <x v="28"/>
    </i>
    <i t="default" r="1">
      <x v="2"/>
    </i>
    <i r="1">
      <x v="3"/>
    </i>
    <i r="2">
      <x v="17"/>
    </i>
    <i r="2">
      <x v="23"/>
    </i>
    <i t="default" r="1">
      <x v="3"/>
    </i>
    <i t="default">
      <x/>
    </i>
    <i>
      <x v="1"/>
    </i>
    <i r="1">
      <x v="2"/>
    </i>
    <i r="2">
      <x v="9"/>
    </i>
    <i r="2">
      <x v="10"/>
    </i>
    <i t="default" r="1">
      <x v="2"/>
    </i>
    <i t="default">
      <x v="1"/>
    </i>
    <i>
      <x v="2"/>
    </i>
    <i r="1">
      <x v="2"/>
    </i>
    <i r="2">
      <x v="30"/>
    </i>
    <i t="default" r="1">
      <x v="2"/>
    </i>
    <i t="default">
      <x v="2"/>
    </i>
    <i>
      <x v="4"/>
    </i>
    <i r="1">
      <x v="3"/>
    </i>
    <i r="2">
      <x v="15"/>
    </i>
    <i t="default" r="1">
      <x v="3"/>
    </i>
    <i t="default">
      <x v="4"/>
    </i>
    <i>
      <x v="5"/>
    </i>
    <i r="1">
      <x v="3"/>
    </i>
    <i r="2">
      <x v="16"/>
    </i>
    <i t="default" r="1">
      <x v="3"/>
    </i>
    <i t="default">
      <x v="5"/>
    </i>
    <i>
      <x v="6"/>
    </i>
    <i r="1">
      <x v="2"/>
    </i>
    <i r="2">
      <x v="48"/>
    </i>
    <i t="default" r="1">
      <x v="2"/>
    </i>
    <i t="default">
      <x v="6"/>
    </i>
    <i>
      <x v="7"/>
    </i>
    <i r="1">
      <x v="2"/>
    </i>
    <i r="2">
      <x v="19"/>
    </i>
    <i t="default" r="1">
      <x v="2"/>
    </i>
    <i t="default">
      <x v="7"/>
    </i>
    <i>
      <x v="8"/>
    </i>
    <i r="1">
      <x v="2"/>
    </i>
    <i r="2">
      <x v="29"/>
    </i>
    <i t="default" r="1">
      <x v="2"/>
    </i>
    <i t="default">
      <x v="8"/>
    </i>
    <i>
      <x v="10"/>
    </i>
    <i r="1">
      <x v="2"/>
    </i>
    <i r="2">
      <x v="7"/>
    </i>
    <i t="default" r="1">
      <x v="2"/>
    </i>
    <i r="1">
      <x v="3"/>
    </i>
    <i r="2">
      <x v="36"/>
    </i>
    <i r="2">
      <x v="51"/>
    </i>
    <i t="default" r="1">
      <x v="3"/>
    </i>
    <i t="default">
      <x v="10"/>
    </i>
    <i>
      <x v="12"/>
    </i>
    <i r="1">
      <x v="3"/>
    </i>
    <i r="2">
      <x/>
    </i>
    <i r="2">
      <x v="8"/>
    </i>
    <i t="default" r="1">
      <x v="3"/>
    </i>
    <i t="default">
      <x v="12"/>
    </i>
    <i t="grand">
      <x/>
    </i>
  </rowItems>
  <colItems count="1">
    <i/>
  </colItems>
  <dataFields count="1">
    <dataField name="Count of Statu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2000000}" name="PivotTable3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Y1:Z62" firstHeaderRow="1" firstDataRow="1" firstDataCol="1"/>
  <pivotFields count="9">
    <pivotField subtotalTop="0" showAll="0"/>
    <pivotField subtotalTop="0" showAll="0"/>
    <pivotField axis="axisRow" dataField="1" subtotalTop="0" showAll="0">
      <items count="6">
        <item h="1" x="1"/>
        <item h="1" x="2"/>
        <item x="0"/>
        <item x="3"/>
        <item m="1" x="4"/>
        <item t="default"/>
      </items>
    </pivotField>
    <pivotField axis="axisRow" subtotalTop="0" showAll="0">
      <items count="57">
        <item x="35"/>
        <item x="16"/>
        <item x="15"/>
        <item x="12"/>
        <item x="14"/>
        <item x="13"/>
        <item x="9"/>
        <item x="0"/>
        <item x="32"/>
        <item x="45"/>
        <item x="42"/>
        <item x="2"/>
        <item x="17"/>
        <item x="8"/>
        <item x="31"/>
        <item x="33"/>
        <item x="7"/>
        <item x="4"/>
        <item x="54"/>
        <item x="36"/>
        <item x="43"/>
        <item x="50"/>
        <item x="39"/>
        <item x="11"/>
        <item x="51"/>
        <item x="41"/>
        <item x="55"/>
        <item x="29"/>
        <item x="10"/>
        <item x="40"/>
        <item x="25"/>
        <item x="24"/>
        <item x="20"/>
        <item x="22"/>
        <item x="21"/>
        <item x="23"/>
        <item x="52"/>
        <item x="38"/>
        <item x="46"/>
        <item x="49"/>
        <item x="47"/>
        <item x="37"/>
        <item x="53"/>
        <item x="1"/>
        <item x="5"/>
        <item x="6"/>
        <item x="34"/>
        <item x="30"/>
        <item x="44"/>
        <item x="18"/>
        <item x="19"/>
        <item x="3"/>
        <item x="26"/>
        <item x="27"/>
        <item x="28"/>
        <item x="48"/>
        <item t="default"/>
      </items>
    </pivotField>
    <pivotField subtotalTop="0" showAll="0"/>
    <pivotField axis="axisRow" subtotalTop="0" showAll="0">
      <items count="15">
        <item x="2"/>
        <item x="3"/>
        <item x="4"/>
        <item x="11"/>
        <item x="7"/>
        <item x="1"/>
        <item x="10"/>
        <item x="8"/>
        <item x="9"/>
        <item m="1" x="12"/>
        <item x="0"/>
        <item m="1" x="13"/>
        <item x="5"/>
        <item x="6"/>
        <item t="default"/>
      </items>
    </pivotField>
    <pivotField subtotalTop="0" showAll="0"/>
    <pivotField subtotalTop="0" showAll="0"/>
    <pivotField subtotalTop="0" showAll="0"/>
  </pivotFields>
  <rowFields count="3">
    <field x="5"/>
    <field x="2"/>
    <field x="3"/>
  </rowFields>
  <rowItems count="61">
    <i>
      <x/>
    </i>
    <i r="1">
      <x v="2"/>
    </i>
    <i r="2">
      <x v="28"/>
    </i>
    <i t="default" r="1">
      <x v="2"/>
    </i>
    <i r="1">
      <x v="3"/>
    </i>
    <i r="2">
      <x v="17"/>
    </i>
    <i r="2">
      <x v="23"/>
    </i>
    <i t="default" r="1">
      <x v="3"/>
    </i>
    <i t="default">
      <x/>
    </i>
    <i>
      <x v="1"/>
    </i>
    <i r="1">
      <x v="2"/>
    </i>
    <i r="2">
      <x v="9"/>
    </i>
    <i r="2">
      <x v="10"/>
    </i>
    <i t="default" r="1">
      <x v="2"/>
    </i>
    <i t="default">
      <x v="1"/>
    </i>
    <i>
      <x v="2"/>
    </i>
    <i r="1">
      <x v="2"/>
    </i>
    <i r="2">
      <x v="30"/>
    </i>
    <i t="default" r="1">
      <x v="2"/>
    </i>
    <i t="default">
      <x v="2"/>
    </i>
    <i>
      <x v="4"/>
    </i>
    <i r="1">
      <x v="3"/>
    </i>
    <i r="2">
      <x v="15"/>
    </i>
    <i t="default" r="1">
      <x v="3"/>
    </i>
    <i t="default">
      <x v="4"/>
    </i>
    <i>
      <x v="5"/>
    </i>
    <i r="1">
      <x v="3"/>
    </i>
    <i r="2">
      <x v="16"/>
    </i>
    <i t="default" r="1">
      <x v="3"/>
    </i>
    <i t="default">
      <x v="5"/>
    </i>
    <i>
      <x v="6"/>
    </i>
    <i r="1">
      <x v="2"/>
    </i>
    <i r="2">
      <x v="48"/>
    </i>
    <i t="default" r="1">
      <x v="2"/>
    </i>
    <i t="default">
      <x v="6"/>
    </i>
    <i>
      <x v="7"/>
    </i>
    <i r="1">
      <x v="2"/>
    </i>
    <i r="2">
      <x v="19"/>
    </i>
    <i t="default" r="1">
      <x v="2"/>
    </i>
    <i t="default">
      <x v="7"/>
    </i>
    <i>
      <x v="8"/>
    </i>
    <i r="1">
      <x v="2"/>
    </i>
    <i r="2">
      <x v="29"/>
    </i>
    <i t="default" r="1">
      <x v="2"/>
    </i>
    <i t="default">
      <x v="8"/>
    </i>
    <i>
      <x v="10"/>
    </i>
    <i r="1">
      <x v="2"/>
    </i>
    <i r="2">
      <x v="7"/>
    </i>
    <i t="default" r="1">
      <x v="2"/>
    </i>
    <i r="1">
      <x v="3"/>
    </i>
    <i r="2">
      <x v="36"/>
    </i>
    <i r="2">
      <x v="51"/>
    </i>
    <i t="default" r="1">
      <x v="3"/>
    </i>
    <i t="default">
      <x v="10"/>
    </i>
    <i>
      <x v="12"/>
    </i>
    <i r="1">
      <x v="3"/>
    </i>
    <i r="2">
      <x/>
    </i>
    <i r="2">
      <x v="8"/>
    </i>
    <i t="default" r="1">
      <x v="3"/>
    </i>
    <i t="default">
      <x v="12"/>
    </i>
    <i t="grand">
      <x/>
    </i>
  </rowItems>
  <colItems count="1">
    <i/>
  </colItems>
  <dataFields count="1">
    <dataField name="Count of Statu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3000000}" name="PivotTable5" cacheId="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Prj/Add">
  <location ref="N34:O43" firstHeaderRow="1" firstDataRow="1" firstDataCol="1" rowPageCount="1" colPageCount="1"/>
  <pivotFields count="9">
    <pivotField showAll="0"/>
    <pivotField subtotalTop="0" showAll="0"/>
    <pivotField subtotalTop="0" showAll="0"/>
    <pivotField subtotalTop="0" showAll="0"/>
    <pivotField subtotalTop="0" showAll="0"/>
    <pivotField dataField="1" subtotalTop="0" showAll="0"/>
    <pivotField axis="axisRow" subtotalTop="0" showAll="0">
      <items count="4">
        <item x="1"/>
        <item x="0"/>
        <item x="2"/>
        <item t="default"/>
      </items>
    </pivotField>
    <pivotField axis="axisRow" subtotalTop="0" showAll="0">
      <items count="3">
        <item x="1"/>
        <item x="0"/>
        <item t="default"/>
      </items>
    </pivotField>
    <pivotField axis="axisPage" subtotalTop="0" showAll="0">
      <items count="3">
        <item x="1"/>
        <item x="0"/>
        <item t="default"/>
      </items>
    </pivotField>
  </pivotFields>
  <rowFields count="2">
    <field x="6"/>
    <field x="7"/>
  </rowFields>
  <rowItems count="9">
    <i>
      <x/>
    </i>
    <i r="1">
      <x/>
    </i>
    <i r="1">
      <x v="1"/>
    </i>
    <i t="default">
      <x/>
    </i>
    <i>
      <x v="1"/>
    </i>
    <i r="1">
      <x/>
    </i>
    <i r="1">
      <x v="1"/>
    </i>
    <i t="default">
      <x v="1"/>
    </i>
    <i t="grand">
      <x/>
    </i>
  </rowItems>
  <colItems count="1">
    <i/>
  </colItems>
  <pageFields count="1">
    <pageField fld="8" item="1" hier="-1"/>
  </pageFields>
  <dataFields count="1">
    <dataField name="Sum of Story Points" fld="5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PivotTable2" cacheId="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dded After SS">
  <location ref="K20:L39" firstHeaderRow="1" firstDataRow="1" firstDataCol="1"/>
  <pivotFields count="9">
    <pivotField showAll="0"/>
    <pivotField showAll="0"/>
    <pivotField axis="axisRow" showAll="0">
      <items count="6">
        <item x="4"/>
        <item x="1"/>
        <item x="0"/>
        <item x="2"/>
        <item x="3"/>
        <item t="default"/>
      </items>
    </pivotField>
    <pivotField showAll="0"/>
    <pivotField showAll="0"/>
    <pivotField name="Story Points2" dataField="1" showAll="0" defaultSubtotal="0"/>
    <pivotField axis="axisRow" showAll="0">
      <items count="4">
        <item x="1"/>
        <item x="0"/>
        <item x="2"/>
        <item t="default"/>
      </items>
    </pivotField>
    <pivotField axis="axisRow" showAll="0">
      <items count="3">
        <item x="1"/>
        <item x="0"/>
        <item t="default"/>
      </items>
    </pivotField>
    <pivotField showAll="0"/>
  </pivotFields>
  <rowFields count="3">
    <field x="7"/>
    <field x="6"/>
    <field x="2"/>
  </rowFields>
  <rowItems count="19">
    <i>
      <x/>
    </i>
    <i r="1">
      <x/>
    </i>
    <i r="2">
      <x v="1"/>
    </i>
    <i r="2">
      <x v="2"/>
    </i>
    <i r="2">
      <x v="3"/>
    </i>
    <i r="1">
      <x v="1"/>
    </i>
    <i r="2">
      <x v="1"/>
    </i>
    <i r="2">
      <x v="2"/>
    </i>
    <i r="2">
      <x v="3"/>
    </i>
    <i r="2">
      <x v="4"/>
    </i>
    <i r="1">
      <x v="2"/>
    </i>
    <i r="2">
      <x/>
    </i>
    <i>
      <x v="1"/>
    </i>
    <i r="1">
      <x/>
    </i>
    <i r="2">
      <x v="1"/>
    </i>
    <i r="1">
      <x v="1"/>
    </i>
    <i r="2">
      <x v="2"/>
    </i>
    <i r="2">
      <x v="3"/>
    </i>
    <i t="grand">
      <x/>
    </i>
  </rowItems>
  <colItems count="1">
    <i/>
  </colItems>
  <dataFields count="1">
    <dataField name="TTL SP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1" cacheId="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ll">
  <location ref="K2:L14" firstHeaderRow="1" firstDataRow="1" firstDataCol="1"/>
  <pivotFields count="9">
    <pivotField showAll="0"/>
    <pivotField showAll="0"/>
    <pivotField axis="axisRow" showAll="0">
      <items count="6">
        <item x="4"/>
        <item x="1"/>
        <item x="0"/>
        <item x="2"/>
        <item x="3"/>
        <item t="default"/>
      </items>
    </pivotField>
    <pivotField showAll="0"/>
    <pivotField showAll="0"/>
    <pivotField name="Story Points2" dataField="1" showAll="0" defaultSubtotal="0"/>
    <pivotField axis="axisRow" showAll="0">
      <items count="4">
        <item x="1"/>
        <item x="0"/>
        <item x="2"/>
        <item t="default"/>
      </items>
    </pivotField>
    <pivotField showAll="0" defaultSubtotal="0"/>
    <pivotField showAll="0"/>
  </pivotFields>
  <rowFields count="2">
    <field x="6"/>
    <field x="2"/>
  </rowFields>
  <rowItems count="12">
    <i>
      <x/>
    </i>
    <i r="1">
      <x v="1"/>
    </i>
    <i r="1">
      <x v="2"/>
    </i>
    <i r="1">
      <x v="3"/>
    </i>
    <i>
      <x v="1"/>
    </i>
    <i r="1">
      <x v="1"/>
    </i>
    <i r="1">
      <x v="2"/>
    </i>
    <i r="1">
      <x v="3"/>
    </i>
    <i r="1">
      <x v="4"/>
    </i>
    <i>
      <x v="2"/>
    </i>
    <i r="1">
      <x/>
    </i>
    <i t="grand">
      <x/>
    </i>
  </rowItems>
  <colItems count="1">
    <i/>
  </colItems>
  <dataFields count="1">
    <dataField name="TTL SP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PivotTable2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dded After SS">
  <location ref="K20:L34" firstHeaderRow="1" firstDataRow="1" firstDataCol="1"/>
  <pivotFields count="9">
    <pivotField showAll="0"/>
    <pivotField showAll="0"/>
    <pivotField axis="axisRow" showAll="0">
      <items count="5">
        <item x="3"/>
        <item x="2"/>
        <item x="0"/>
        <item x="1"/>
        <item t="default"/>
      </items>
    </pivotField>
    <pivotField showAll="0"/>
    <pivotField showAll="0"/>
    <pivotField name="Story Points2" dataField="1" showAll="0" defaultSubtotal="0"/>
    <pivotField axis="axisRow" showAll="0">
      <items count="4">
        <item x="1"/>
        <item x="0"/>
        <item x="2"/>
        <item t="default"/>
      </items>
    </pivotField>
    <pivotField axis="axisRow" showAll="0">
      <items count="3">
        <item x="1"/>
        <item x="0"/>
        <item t="default"/>
      </items>
    </pivotField>
    <pivotField showAll="0"/>
  </pivotFields>
  <rowFields count="3">
    <field x="7"/>
    <field x="6"/>
    <field x="2"/>
  </rowFields>
  <rowItems count="14">
    <i>
      <x/>
    </i>
    <i r="1">
      <x/>
    </i>
    <i r="2">
      <x v="2"/>
    </i>
    <i r="2">
      <x v="3"/>
    </i>
    <i r="1">
      <x v="1"/>
    </i>
    <i r="2">
      <x v="1"/>
    </i>
    <i r="2">
      <x v="2"/>
    </i>
    <i r="2">
      <x v="3"/>
    </i>
    <i r="1">
      <x v="2"/>
    </i>
    <i r="2">
      <x/>
    </i>
    <i>
      <x v="1"/>
    </i>
    <i r="1">
      <x v="1"/>
    </i>
    <i r="2">
      <x v="2"/>
    </i>
    <i t="grand">
      <x/>
    </i>
  </rowItems>
  <colItems count="1">
    <i/>
  </colItems>
  <dataFields count="1">
    <dataField name="TTL SP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3000000}" name="PivotTable5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Prj/Add">
  <location ref="N34:O42" firstHeaderRow="1" firstDataRow="1" firstDataCol="1" rowPageCount="1" colPageCount="1"/>
  <pivotFields count="9">
    <pivotField showAll="0"/>
    <pivotField subtotalTop="0" showAll="0"/>
    <pivotField subtotalTop="0" showAll="0"/>
    <pivotField subtotalTop="0" showAll="0"/>
    <pivotField subtotalTop="0" showAll="0"/>
    <pivotField dataField="1" subtotalTop="0" showAll="0"/>
    <pivotField axis="axisRow" subtotalTop="0" showAll="0">
      <items count="4">
        <item x="1"/>
        <item x="0"/>
        <item x="2"/>
        <item t="default"/>
      </items>
    </pivotField>
    <pivotField axis="axisRow" subtotalTop="0" showAll="0">
      <items count="3">
        <item x="1"/>
        <item x="0"/>
        <item t="default"/>
      </items>
    </pivotField>
    <pivotField axis="axisPage" subtotalTop="0" showAll="0">
      <items count="3">
        <item x="1"/>
        <item x="0"/>
        <item t="default"/>
      </items>
    </pivotField>
  </pivotFields>
  <rowFields count="2">
    <field x="6"/>
    <field x="7"/>
  </rowFields>
  <rowItems count="8">
    <i>
      <x/>
    </i>
    <i r="1">
      <x/>
    </i>
    <i t="default">
      <x/>
    </i>
    <i>
      <x v="1"/>
    </i>
    <i r="1">
      <x/>
    </i>
    <i r="1">
      <x v="1"/>
    </i>
    <i t="default">
      <x v="1"/>
    </i>
    <i t="grand">
      <x/>
    </i>
  </rowItems>
  <colItems count="1">
    <i/>
  </colItems>
  <pageFields count="1">
    <pageField fld="8" item="1" hier="-1"/>
  </pageFields>
  <dataFields count="1">
    <dataField name="Sum of Story Points" fld="5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2000000}" name="PivotTable3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Y1:Z62" firstHeaderRow="1" firstDataRow="1" firstDataCol="1"/>
  <pivotFields count="9">
    <pivotField subtotalTop="0" showAll="0"/>
    <pivotField subtotalTop="0" showAll="0"/>
    <pivotField axis="axisRow" dataField="1" subtotalTop="0" showAll="0">
      <items count="6">
        <item h="1" x="1"/>
        <item h="1" x="2"/>
        <item x="0"/>
        <item x="3"/>
        <item m="1" x="4"/>
        <item t="default"/>
      </items>
    </pivotField>
    <pivotField axis="axisRow" subtotalTop="0" showAll="0">
      <items count="57">
        <item x="35"/>
        <item x="16"/>
        <item x="15"/>
        <item x="12"/>
        <item x="14"/>
        <item x="13"/>
        <item x="9"/>
        <item x="0"/>
        <item x="32"/>
        <item x="45"/>
        <item x="42"/>
        <item x="2"/>
        <item x="17"/>
        <item x="8"/>
        <item x="31"/>
        <item x="33"/>
        <item x="7"/>
        <item x="4"/>
        <item x="54"/>
        <item x="36"/>
        <item x="43"/>
        <item x="50"/>
        <item x="39"/>
        <item x="11"/>
        <item x="51"/>
        <item x="41"/>
        <item x="55"/>
        <item x="29"/>
        <item x="10"/>
        <item x="40"/>
        <item x="25"/>
        <item x="24"/>
        <item x="20"/>
        <item x="22"/>
        <item x="21"/>
        <item x="23"/>
        <item x="52"/>
        <item x="38"/>
        <item x="46"/>
        <item x="49"/>
        <item x="47"/>
        <item x="37"/>
        <item x="53"/>
        <item x="1"/>
        <item x="5"/>
        <item x="6"/>
        <item x="34"/>
        <item x="30"/>
        <item x="44"/>
        <item x="18"/>
        <item x="19"/>
        <item x="3"/>
        <item x="26"/>
        <item x="27"/>
        <item x="28"/>
        <item x="48"/>
        <item t="default"/>
      </items>
    </pivotField>
    <pivotField subtotalTop="0" showAll="0"/>
    <pivotField axis="axisRow" subtotalTop="0" showAll="0">
      <items count="15">
        <item x="2"/>
        <item x="3"/>
        <item x="4"/>
        <item x="11"/>
        <item x="7"/>
        <item x="1"/>
        <item x="10"/>
        <item x="8"/>
        <item x="9"/>
        <item m="1" x="12"/>
        <item x="0"/>
        <item m="1" x="13"/>
        <item x="5"/>
        <item x="6"/>
        <item t="default"/>
      </items>
    </pivotField>
    <pivotField subtotalTop="0" showAll="0"/>
    <pivotField subtotalTop="0" showAll="0"/>
    <pivotField subtotalTop="0" showAll="0"/>
  </pivotFields>
  <rowFields count="3">
    <field x="5"/>
    <field x="2"/>
    <field x="3"/>
  </rowFields>
  <rowItems count="61">
    <i>
      <x/>
    </i>
    <i r="1">
      <x v="2"/>
    </i>
    <i r="2">
      <x v="28"/>
    </i>
    <i t="default" r="1">
      <x v="2"/>
    </i>
    <i r="1">
      <x v="3"/>
    </i>
    <i r="2">
      <x v="17"/>
    </i>
    <i r="2">
      <x v="23"/>
    </i>
    <i t="default" r="1">
      <x v="3"/>
    </i>
    <i t="default">
      <x/>
    </i>
    <i>
      <x v="1"/>
    </i>
    <i r="1">
      <x v="2"/>
    </i>
    <i r="2">
      <x v="9"/>
    </i>
    <i r="2">
      <x v="10"/>
    </i>
    <i t="default" r="1">
      <x v="2"/>
    </i>
    <i t="default">
      <x v="1"/>
    </i>
    <i>
      <x v="2"/>
    </i>
    <i r="1">
      <x v="2"/>
    </i>
    <i r="2">
      <x v="30"/>
    </i>
    <i t="default" r="1">
      <x v="2"/>
    </i>
    <i t="default">
      <x v="2"/>
    </i>
    <i>
      <x v="4"/>
    </i>
    <i r="1">
      <x v="3"/>
    </i>
    <i r="2">
      <x v="15"/>
    </i>
    <i t="default" r="1">
      <x v="3"/>
    </i>
    <i t="default">
      <x v="4"/>
    </i>
    <i>
      <x v="5"/>
    </i>
    <i r="1">
      <x v="3"/>
    </i>
    <i r="2">
      <x v="16"/>
    </i>
    <i t="default" r="1">
      <x v="3"/>
    </i>
    <i t="default">
      <x v="5"/>
    </i>
    <i>
      <x v="6"/>
    </i>
    <i r="1">
      <x v="2"/>
    </i>
    <i r="2">
      <x v="48"/>
    </i>
    <i t="default" r="1">
      <x v="2"/>
    </i>
    <i t="default">
      <x v="6"/>
    </i>
    <i>
      <x v="7"/>
    </i>
    <i r="1">
      <x v="2"/>
    </i>
    <i r="2">
      <x v="19"/>
    </i>
    <i t="default" r="1">
      <x v="2"/>
    </i>
    <i t="default">
      <x v="7"/>
    </i>
    <i>
      <x v="8"/>
    </i>
    <i r="1">
      <x v="2"/>
    </i>
    <i r="2">
      <x v="29"/>
    </i>
    <i t="default" r="1">
      <x v="2"/>
    </i>
    <i t="default">
      <x v="8"/>
    </i>
    <i>
      <x v="10"/>
    </i>
    <i r="1">
      <x v="2"/>
    </i>
    <i r="2">
      <x v="7"/>
    </i>
    <i t="default" r="1">
      <x v="2"/>
    </i>
    <i r="1">
      <x v="3"/>
    </i>
    <i r="2">
      <x v="36"/>
    </i>
    <i r="2">
      <x v="51"/>
    </i>
    <i t="default" r="1">
      <x v="3"/>
    </i>
    <i t="default">
      <x v="10"/>
    </i>
    <i>
      <x v="12"/>
    </i>
    <i r="1">
      <x v="3"/>
    </i>
    <i r="2">
      <x/>
    </i>
    <i r="2">
      <x v="8"/>
    </i>
    <i t="default" r="1">
      <x v="3"/>
    </i>
    <i t="default">
      <x v="12"/>
    </i>
    <i t="grand">
      <x/>
    </i>
  </rowItems>
  <colItems count="1">
    <i/>
  </colItems>
  <dataFields count="1">
    <dataField name="Count of Statu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ll">
  <location ref="K2:L12" firstHeaderRow="1" firstDataRow="1" firstDataCol="1"/>
  <pivotFields count="9">
    <pivotField showAll="0"/>
    <pivotField showAll="0"/>
    <pivotField axis="axisRow" showAll="0">
      <items count="5">
        <item x="3"/>
        <item x="2"/>
        <item x="0"/>
        <item x="1"/>
        <item t="default"/>
      </items>
    </pivotField>
    <pivotField showAll="0"/>
    <pivotField showAll="0"/>
    <pivotField name="Story Points2" dataField="1" showAll="0" defaultSubtotal="0"/>
    <pivotField axis="axisRow" showAll="0">
      <items count="4">
        <item x="1"/>
        <item x="0"/>
        <item x="2"/>
        <item t="default"/>
      </items>
    </pivotField>
    <pivotField showAll="0" defaultSubtotal="0"/>
    <pivotField showAll="0"/>
  </pivotFields>
  <rowFields count="2">
    <field x="6"/>
    <field x="2"/>
  </rowFields>
  <rowItems count="10">
    <i>
      <x/>
    </i>
    <i r="1">
      <x v="2"/>
    </i>
    <i r="1">
      <x v="3"/>
    </i>
    <i>
      <x v="1"/>
    </i>
    <i r="1">
      <x v="1"/>
    </i>
    <i r="1">
      <x v="2"/>
    </i>
    <i r="1">
      <x v="3"/>
    </i>
    <i>
      <x v="2"/>
    </i>
    <i r="1">
      <x/>
    </i>
    <i t="grand">
      <x/>
    </i>
  </rowItems>
  <colItems count="1">
    <i/>
  </colItems>
  <dataFields count="1">
    <dataField name="TTL SP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PivotTable2" cacheId="1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dded After SS">
  <location ref="K20:L38" firstHeaderRow="1" firstDataRow="1" firstDataCol="1"/>
  <pivotFields count="9">
    <pivotField showAll="0"/>
    <pivotField showAll="0"/>
    <pivotField axis="axisRow" showAll="0">
      <items count="6">
        <item x="3"/>
        <item x="1"/>
        <item x="2"/>
        <item m="1" x="4"/>
        <item x="0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0"/>
        <item x="1"/>
        <item x="2"/>
        <item t="default"/>
      </items>
    </pivotField>
    <pivotField axis="axisRow" showAll="0">
      <items count="3">
        <item x="0"/>
        <item x="1"/>
        <item t="default"/>
      </items>
    </pivotField>
    <pivotField showAll="0"/>
  </pivotFields>
  <rowFields count="3">
    <field x="7"/>
    <field x="6"/>
    <field x="2"/>
  </rowFields>
  <rowItems count="18">
    <i>
      <x/>
    </i>
    <i r="1">
      <x/>
    </i>
    <i r="2">
      <x v="1"/>
    </i>
    <i r="2">
      <x v="2"/>
    </i>
    <i r="2">
      <x v="4"/>
    </i>
    <i r="1">
      <x v="1"/>
    </i>
    <i r="2">
      <x v="1"/>
    </i>
    <i r="2">
      <x v="2"/>
    </i>
    <i r="2">
      <x v="4"/>
    </i>
    <i r="1">
      <x v="2"/>
    </i>
    <i r="2">
      <x/>
    </i>
    <i>
      <x v="1"/>
    </i>
    <i r="1">
      <x/>
    </i>
    <i r="2">
      <x v="1"/>
    </i>
    <i r="2">
      <x v="2"/>
    </i>
    <i r="1">
      <x v="1"/>
    </i>
    <i r="2">
      <x v="2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PivotTable1" cacheId="1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ll">
  <location ref="K2:L13" firstHeaderRow="1" firstDataRow="1" firstDataCol="1"/>
  <pivotFields count="9">
    <pivotField showAll="0"/>
    <pivotField showAll="0"/>
    <pivotField axis="axisRow" showAll="0">
      <items count="6">
        <item x="3"/>
        <item x="1"/>
        <item x="2"/>
        <item m="1" x="4"/>
        <item x="0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0"/>
        <item x="1"/>
        <item x="2"/>
        <item t="default"/>
      </items>
    </pivotField>
    <pivotField showAll="0" defaultSubtotal="0"/>
    <pivotField showAll="0"/>
  </pivotFields>
  <rowFields count="2">
    <field x="6"/>
    <field x="2"/>
  </rowFields>
  <rowItems count="11">
    <i>
      <x/>
    </i>
    <i r="1">
      <x v="1"/>
    </i>
    <i r="1">
      <x v="2"/>
    </i>
    <i r="1">
      <x v="4"/>
    </i>
    <i>
      <x v="1"/>
    </i>
    <i r="1">
      <x v="1"/>
    </i>
    <i r="1">
      <x v="2"/>
    </i>
    <i r="1">
      <x v="4"/>
    </i>
    <i>
      <x v="2"/>
    </i>
    <i r="1">
      <x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PivotTable3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Y1:Z62" firstHeaderRow="1" firstDataRow="1" firstDataCol="1"/>
  <pivotFields count="9">
    <pivotField subtotalTop="0" showAll="0"/>
    <pivotField subtotalTop="0" showAll="0"/>
    <pivotField axis="axisRow" dataField="1" subtotalTop="0" showAll="0">
      <items count="6">
        <item h="1" x="1"/>
        <item h="1" x="2"/>
        <item x="0"/>
        <item x="3"/>
        <item m="1" x="4"/>
        <item t="default"/>
      </items>
    </pivotField>
    <pivotField axis="axisRow" subtotalTop="0" showAll="0">
      <items count="57">
        <item x="35"/>
        <item x="16"/>
        <item x="15"/>
        <item x="12"/>
        <item x="14"/>
        <item x="13"/>
        <item x="9"/>
        <item x="0"/>
        <item x="32"/>
        <item x="45"/>
        <item x="42"/>
        <item x="2"/>
        <item x="17"/>
        <item x="8"/>
        <item x="31"/>
        <item x="33"/>
        <item x="7"/>
        <item x="4"/>
        <item x="54"/>
        <item x="36"/>
        <item x="43"/>
        <item x="50"/>
        <item x="39"/>
        <item x="11"/>
        <item x="51"/>
        <item x="41"/>
        <item x="55"/>
        <item x="29"/>
        <item x="10"/>
        <item x="40"/>
        <item x="25"/>
        <item x="24"/>
        <item x="20"/>
        <item x="22"/>
        <item x="21"/>
        <item x="23"/>
        <item x="52"/>
        <item x="38"/>
        <item x="46"/>
        <item x="49"/>
        <item x="47"/>
        <item x="37"/>
        <item x="53"/>
        <item x="1"/>
        <item x="5"/>
        <item x="6"/>
        <item x="34"/>
        <item x="30"/>
        <item x="44"/>
        <item x="18"/>
        <item x="19"/>
        <item x="3"/>
        <item x="26"/>
        <item x="27"/>
        <item x="28"/>
        <item x="48"/>
        <item t="default"/>
      </items>
    </pivotField>
    <pivotField subtotalTop="0" showAll="0"/>
    <pivotField axis="axisRow" subtotalTop="0" showAll="0">
      <items count="15">
        <item x="2"/>
        <item x="3"/>
        <item x="4"/>
        <item x="11"/>
        <item x="7"/>
        <item x="1"/>
        <item x="10"/>
        <item x="8"/>
        <item x="9"/>
        <item m="1" x="12"/>
        <item x="0"/>
        <item m="1" x="13"/>
        <item x="5"/>
        <item x="6"/>
        <item t="default"/>
      </items>
    </pivotField>
    <pivotField subtotalTop="0" showAll="0"/>
    <pivotField subtotalTop="0" showAll="0"/>
    <pivotField subtotalTop="0" showAll="0"/>
  </pivotFields>
  <rowFields count="3">
    <field x="5"/>
    <field x="2"/>
    <field x="3"/>
  </rowFields>
  <rowItems count="61">
    <i>
      <x/>
    </i>
    <i r="1">
      <x v="2"/>
    </i>
    <i r="2">
      <x v="28"/>
    </i>
    <i t="default" r="1">
      <x v="2"/>
    </i>
    <i r="1">
      <x v="3"/>
    </i>
    <i r="2">
      <x v="17"/>
    </i>
    <i r="2">
      <x v="23"/>
    </i>
    <i t="default" r="1">
      <x v="3"/>
    </i>
    <i t="default">
      <x/>
    </i>
    <i>
      <x v="1"/>
    </i>
    <i r="1">
      <x v="2"/>
    </i>
    <i r="2">
      <x v="9"/>
    </i>
    <i r="2">
      <x v="10"/>
    </i>
    <i t="default" r="1">
      <x v="2"/>
    </i>
    <i t="default">
      <x v="1"/>
    </i>
    <i>
      <x v="2"/>
    </i>
    <i r="1">
      <x v="2"/>
    </i>
    <i r="2">
      <x v="30"/>
    </i>
    <i t="default" r="1">
      <x v="2"/>
    </i>
    <i t="default">
      <x v="2"/>
    </i>
    <i>
      <x v="4"/>
    </i>
    <i r="1">
      <x v="3"/>
    </i>
    <i r="2">
      <x v="15"/>
    </i>
    <i t="default" r="1">
      <x v="3"/>
    </i>
    <i t="default">
      <x v="4"/>
    </i>
    <i>
      <x v="5"/>
    </i>
    <i r="1">
      <x v="3"/>
    </i>
    <i r="2">
      <x v="16"/>
    </i>
    <i t="default" r="1">
      <x v="3"/>
    </i>
    <i t="default">
      <x v="5"/>
    </i>
    <i>
      <x v="6"/>
    </i>
    <i r="1">
      <x v="2"/>
    </i>
    <i r="2">
      <x v="48"/>
    </i>
    <i t="default" r="1">
      <x v="2"/>
    </i>
    <i t="default">
      <x v="6"/>
    </i>
    <i>
      <x v="7"/>
    </i>
    <i r="1">
      <x v="2"/>
    </i>
    <i r="2">
      <x v="19"/>
    </i>
    <i t="default" r="1">
      <x v="2"/>
    </i>
    <i t="default">
      <x v="7"/>
    </i>
    <i>
      <x v="8"/>
    </i>
    <i r="1">
      <x v="2"/>
    </i>
    <i r="2">
      <x v="29"/>
    </i>
    <i t="default" r="1">
      <x v="2"/>
    </i>
    <i t="default">
      <x v="8"/>
    </i>
    <i>
      <x v="10"/>
    </i>
    <i r="1">
      <x v="2"/>
    </i>
    <i r="2">
      <x v="7"/>
    </i>
    <i t="default" r="1">
      <x v="2"/>
    </i>
    <i r="1">
      <x v="3"/>
    </i>
    <i r="2">
      <x v="36"/>
    </i>
    <i r="2">
      <x v="51"/>
    </i>
    <i t="default" r="1">
      <x v="3"/>
    </i>
    <i t="default">
      <x v="10"/>
    </i>
    <i>
      <x v="12"/>
    </i>
    <i r="1">
      <x v="3"/>
    </i>
    <i r="2">
      <x/>
    </i>
    <i r="2">
      <x v="8"/>
    </i>
    <i t="default" r="1">
      <x v="3"/>
    </i>
    <i t="default">
      <x v="12"/>
    </i>
    <i t="grand">
      <x/>
    </i>
  </rowItems>
  <colItems count="1">
    <i/>
  </colItems>
  <dataFields count="1">
    <dataField name="Count of Statu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PivotTable5" cacheId="1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Prj/Add">
  <location ref="N32:O44" firstHeaderRow="1" firstDataRow="1" firstDataCol="1" rowPageCount="1" colPageCount="1"/>
  <pivotFields count="9">
    <pivotField showAll="0"/>
    <pivotField subtotalTop="0" showAll="0"/>
    <pivotField subtotalTop="0" showAll="0"/>
    <pivotField subtotalTop="0" showAll="0"/>
    <pivotField dataField="1" subtotalTop="0" showAll="0"/>
    <pivotField subtotalTop="0" showAll="0"/>
    <pivotField axis="axisRow" subtotalTop="0" showAll="0">
      <items count="4">
        <item x="0"/>
        <item x="1"/>
        <item x="2"/>
        <item t="default"/>
      </items>
    </pivotField>
    <pivotField axis="axisRow" subtotalTop="0" showAll="0">
      <items count="3">
        <item x="0"/>
        <item x="1"/>
        <item t="default"/>
      </items>
    </pivotField>
    <pivotField axis="axisPage" subtotalTop="0" showAll="0">
      <items count="3">
        <item x="0"/>
        <item x="1"/>
        <item t="default"/>
      </items>
    </pivotField>
  </pivotFields>
  <rowFields count="2">
    <field x="6"/>
    <field x="7"/>
  </rowFields>
  <rowItems count="12">
    <i>
      <x/>
    </i>
    <i r="1">
      <x/>
    </i>
    <i r="1">
      <x v="1"/>
    </i>
    <i t="default">
      <x/>
    </i>
    <i>
      <x v="1"/>
    </i>
    <i r="1">
      <x/>
    </i>
    <i r="1">
      <x v="1"/>
    </i>
    <i t="default">
      <x v="1"/>
    </i>
    <i>
      <x v="2"/>
    </i>
    <i r="1">
      <x/>
    </i>
    <i t="default">
      <x v="2"/>
    </i>
    <i t="grand">
      <x/>
    </i>
  </rowItems>
  <colItems count="1">
    <i/>
  </colItems>
  <pageFields count="1">
    <pageField fld="8" hier="-1"/>
  </pageFields>
  <dataFields count="1">
    <dataField name="Sum of Story Points" fld="4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PivotTable5" cacheId="1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Prj/Add">
  <location ref="N32:O41" firstHeaderRow="1" firstDataRow="1" firstDataCol="1" rowPageCount="1" colPageCount="1"/>
  <pivotFields count="9">
    <pivotField showAll="0"/>
    <pivotField subtotalTop="0" showAll="0"/>
    <pivotField subtotalTop="0" showAll="0"/>
    <pivotField subtotalTop="0" showAll="0"/>
    <pivotField dataField="1" subtotalTop="0" showAll="0"/>
    <pivotField subtotalTop="0" showAll="0"/>
    <pivotField axis="axisRow" subtotalTop="0" showAll="0">
      <items count="4">
        <item x="1"/>
        <item x="0"/>
        <item x="2"/>
        <item t="default"/>
      </items>
    </pivotField>
    <pivotField axis="axisRow" subtotalTop="0" showAll="0">
      <items count="3">
        <item x="1"/>
        <item x="0"/>
        <item t="default"/>
      </items>
    </pivotField>
    <pivotField axis="axisPage" subtotalTop="0" showAll="0">
      <items count="3">
        <item x="1"/>
        <item x="0"/>
        <item t="default"/>
      </items>
    </pivotField>
  </pivotFields>
  <rowFields count="2">
    <field x="6"/>
    <field x="7"/>
  </rowFields>
  <rowItems count="9">
    <i>
      <x/>
    </i>
    <i r="1">
      <x/>
    </i>
    <i r="1">
      <x v="1"/>
    </i>
    <i t="default">
      <x/>
    </i>
    <i>
      <x v="1"/>
    </i>
    <i r="1">
      <x/>
    </i>
    <i r="1">
      <x v="1"/>
    </i>
    <i t="default">
      <x v="1"/>
    </i>
    <i t="grand">
      <x/>
    </i>
  </rowItems>
  <colItems count="1">
    <i/>
  </colItems>
  <pageFields count="1">
    <pageField fld="8" item="1" hier="-1"/>
  </pageFields>
  <dataFields count="1">
    <dataField name="Sum of Story Points" fld="4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PivotTable3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Y1:Z62" firstHeaderRow="1" firstDataRow="1" firstDataCol="1"/>
  <pivotFields count="9">
    <pivotField subtotalTop="0" showAll="0"/>
    <pivotField subtotalTop="0" showAll="0"/>
    <pivotField axis="axisRow" dataField="1" subtotalTop="0" showAll="0">
      <items count="6">
        <item h="1" x="1"/>
        <item h="1" x="2"/>
        <item x="0"/>
        <item x="3"/>
        <item m="1" x="4"/>
        <item t="default"/>
      </items>
    </pivotField>
    <pivotField axis="axisRow" subtotalTop="0" showAll="0">
      <items count="57">
        <item x="35"/>
        <item x="16"/>
        <item x="15"/>
        <item x="12"/>
        <item x="14"/>
        <item x="13"/>
        <item x="9"/>
        <item x="0"/>
        <item x="32"/>
        <item x="45"/>
        <item x="42"/>
        <item x="2"/>
        <item x="17"/>
        <item x="8"/>
        <item x="31"/>
        <item x="33"/>
        <item x="7"/>
        <item x="4"/>
        <item x="54"/>
        <item x="36"/>
        <item x="43"/>
        <item x="50"/>
        <item x="39"/>
        <item x="11"/>
        <item x="51"/>
        <item x="41"/>
        <item x="55"/>
        <item x="29"/>
        <item x="10"/>
        <item x="40"/>
        <item x="25"/>
        <item x="24"/>
        <item x="20"/>
        <item x="22"/>
        <item x="21"/>
        <item x="23"/>
        <item x="52"/>
        <item x="38"/>
        <item x="46"/>
        <item x="49"/>
        <item x="47"/>
        <item x="37"/>
        <item x="53"/>
        <item x="1"/>
        <item x="5"/>
        <item x="6"/>
        <item x="34"/>
        <item x="30"/>
        <item x="44"/>
        <item x="18"/>
        <item x="19"/>
        <item x="3"/>
        <item x="26"/>
        <item x="27"/>
        <item x="28"/>
        <item x="48"/>
        <item t="default"/>
      </items>
    </pivotField>
    <pivotField subtotalTop="0" showAll="0"/>
    <pivotField axis="axisRow" subtotalTop="0" showAll="0">
      <items count="15">
        <item x="2"/>
        <item x="3"/>
        <item x="4"/>
        <item x="11"/>
        <item x="7"/>
        <item x="1"/>
        <item x="10"/>
        <item x="8"/>
        <item x="9"/>
        <item m="1" x="12"/>
        <item x="0"/>
        <item m="1" x="13"/>
        <item x="5"/>
        <item x="6"/>
        <item t="default"/>
      </items>
    </pivotField>
    <pivotField subtotalTop="0" showAll="0"/>
    <pivotField subtotalTop="0" showAll="0"/>
    <pivotField subtotalTop="0" showAll="0"/>
  </pivotFields>
  <rowFields count="3">
    <field x="5"/>
    <field x="2"/>
    <field x="3"/>
  </rowFields>
  <rowItems count="61">
    <i>
      <x/>
    </i>
    <i r="1">
      <x v="2"/>
    </i>
    <i r="2">
      <x v="28"/>
    </i>
    <i t="default" r="1">
      <x v="2"/>
    </i>
    <i r="1">
      <x v="3"/>
    </i>
    <i r="2">
      <x v="17"/>
    </i>
    <i r="2">
      <x v="23"/>
    </i>
    <i t="default" r="1">
      <x v="3"/>
    </i>
    <i t="default">
      <x/>
    </i>
    <i>
      <x v="1"/>
    </i>
    <i r="1">
      <x v="2"/>
    </i>
    <i r="2">
      <x v="9"/>
    </i>
    <i r="2">
      <x v="10"/>
    </i>
    <i t="default" r="1">
      <x v="2"/>
    </i>
    <i t="default">
      <x v="1"/>
    </i>
    <i>
      <x v="2"/>
    </i>
    <i r="1">
      <x v="2"/>
    </i>
    <i r="2">
      <x v="30"/>
    </i>
    <i t="default" r="1">
      <x v="2"/>
    </i>
    <i t="default">
      <x v="2"/>
    </i>
    <i>
      <x v="4"/>
    </i>
    <i r="1">
      <x v="3"/>
    </i>
    <i r="2">
      <x v="15"/>
    </i>
    <i t="default" r="1">
      <x v="3"/>
    </i>
    <i t="default">
      <x v="4"/>
    </i>
    <i>
      <x v="5"/>
    </i>
    <i r="1">
      <x v="3"/>
    </i>
    <i r="2">
      <x v="16"/>
    </i>
    <i t="default" r="1">
      <x v="3"/>
    </i>
    <i t="default">
      <x v="5"/>
    </i>
    <i>
      <x v="6"/>
    </i>
    <i r="1">
      <x v="2"/>
    </i>
    <i r="2">
      <x v="48"/>
    </i>
    <i t="default" r="1">
      <x v="2"/>
    </i>
    <i t="default">
      <x v="6"/>
    </i>
    <i>
      <x v="7"/>
    </i>
    <i r="1">
      <x v="2"/>
    </i>
    <i r="2">
      <x v="19"/>
    </i>
    <i t="default" r="1">
      <x v="2"/>
    </i>
    <i t="default">
      <x v="7"/>
    </i>
    <i>
      <x v="8"/>
    </i>
    <i r="1">
      <x v="2"/>
    </i>
    <i r="2">
      <x v="29"/>
    </i>
    <i t="default" r="1">
      <x v="2"/>
    </i>
    <i t="default">
      <x v="8"/>
    </i>
    <i>
      <x v="10"/>
    </i>
    <i r="1">
      <x v="2"/>
    </i>
    <i r="2">
      <x v="7"/>
    </i>
    <i t="default" r="1">
      <x v="2"/>
    </i>
    <i r="1">
      <x v="3"/>
    </i>
    <i r="2">
      <x v="36"/>
    </i>
    <i r="2">
      <x v="51"/>
    </i>
    <i t="default" r="1">
      <x v="3"/>
    </i>
    <i t="default">
      <x v="10"/>
    </i>
    <i>
      <x v="12"/>
    </i>
    <i r="1">
      <x v="3"/>
    </i>
    <i r="2">
      <x/>
    </i>
    <i r="2">
      <x v="8"/>
    </i>
    <i t="default" r="1">
      <x v="3"/>
    </i>
    <i t="default">
      <x v="12"/>
    </i>
    <i t="grand">
      <x/>
    </i>
  </rowItems>
  <colItems count="1">
    <i/>
  </colItems>
  <dataFields count="1">
    <dataField name="Count of Statu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PivotTable1" cacheId="1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ll">
  <location ref="K2:L14" firstHeaderRow="1" firstDataRow="1" firstDataCol="1"/>
  <pivotFields count="9">
    <pivotField showAll="0"/>
    <pivotField showAll="0"/>
    <pivotField axis="axisRow" showAll="0">
      <items count="6">
        <item x="1"/>
        <item x="3"/>
        <item x="0"/>
        <item x="4"/>
        <item x="2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1"/>
        <item x="0"/>
        <item x="2"/>
        <item t="default"/>
      </items>
    </pivotField>
    <pivotField showAll="0" defaultSubtotal="0"/>
    <pivotField showAll="0"/>
  </pivotFields>
  <rowFields count="2">
    <field x="6"/>
    <field x="2"/>
  </rowFields>
  <rowItems count="12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 r="1">
      <x v="4"/>
    </i>
    <i>
      <x v="2"/>
    </i>
    <i r="1">
      <x v="3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PivotTable2" cacheId="1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dded After SS">
  <location ref="K20:L39" firstHeaderRow="1" firstDataRow="1" firstDataCol="1"/>
  <pivotFields count="9">
    <pivotField showAll="0"/>
    <pivotField showAll="0"/>
    <pivotField axis="axisRow" showAll="0">
      <items count="6">
        <item x="1"/>
        <item x="3"/>
        <item x="0"/>
        <item x="4"/>
        <item x="2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1"/>
        <item x="0"/>
        <item x="2"/>
        <item t="default"/>
      </items>
    </pivotField>
    <pivotField axis="axisRow" showAll="0">
      <items count="3">
        <item x="1"/>
        <item x="0"/>
        <item t="default"/>
      </items>
    </pivotField>
    <pivotField showAll="0"/>
  </pivotFields>
  <rowFields count="3">
    <field x="7"/>
    <field x="6"/>
    <field x="2"/>
  </rowFields>
  <rowItems count="19">
    <i>
      <x/>
    </i>
    <i r="1">
      <x/>
    </i>
    <i r="2">
      <x/>
    </i>
    <i r="2">
      <x v="1"/>
    </i>
    <i r="2">
      <x v="2"/>
    </i>
    <i r="1">
      <x v="1"/>
    </i>
    <i r="2">
      <x/>
    </i>
    <i r="2">
      <x v="1"/>
    </i>
    <i r="2">
      <x v="2"/>
    </i>
    <i r="2">
      <x v="4"/>
    </i>
    <i r="1">
      <x v="2"/>
    </i>
    <i r="2">
      <x v="3"/>
    </i>
    <i>
      <x v="1"/>
    </i>
    <i r="1">
      <x/>
    </i>
    <i r="2">
      <x v="1"/>
    </i>
    <i r="2">
      <x v="2"/>
    </i>
    <i r="1">
      <x v="1"/>
    </i>
    <i r="2">
      <x v="2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2000000}" name="PivotTable3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Y1:Z62" firstHeaderRow="1" firstDataRow="1" firstDataCol="1"/>
  <pivotFields count="9">
    <pivotField subtotalTop="0" showAll="0"/>
    <pivotField subtotalTop="0" showAll="0"/>
    <pivotField axis="axisRow" dataField="1" subtotalTop="0" showAll="0">
      <items count="6">
        <item h="1" x="1"/>
        <item h="1" x="2"/>
        <item x="0"/>
        <item x="3"/>
        <item m="1" x="4"/>
        <item t="default"/>
      </items>
    </pivotField>
    <pivotField axis="axisRow" subtotalTop="0" showAll="0">
      <items count="57">
        <item x="35"/>
        <item x="16"/>
        <item x="15"/>
        <item x="12"/>
        <item x="14"/>
        <item x="13"/>
        <item x="9"/>
        <item x="0"/>
        <item x="32"/>
        <item x="45"/>
        <item x="42"/>
        <item x="2"/>
        <item x="17"/>
        <item x="8"/>
        <item x="31"/>
        <item x="33"/>
        <item x="7"/>
        <item x="4"/>
        <item x="54"/>
        <item x="36"/>
        <item x="43"/>
        <item x="50"/>
        <item x="39"/>
        <item x="11"/>
        <item x="51"/>
        <item x="41"/>
        <item x="55"/>
        <item x="29"/>
        <item x="10"/>
        <item x="40"/>
        <item x="25"/>
        <item x="24"/>
        <item x="20"/>
        <item x="22"/>
        <item x="21"/>
        <item x="23"/>
        <item x="52"/>
        <item x="38"/>
        <item x="46"/>
        <item x="49"/>
        <item x="47"/>
        <item x="37"/>
        <item x="53"/>
        <item x="1"/>
        <item x="5"/>
        <item x="6"/>
        <item x="34"/>
        <item x="30"/>
        <item x="44"/>
        <item x="18"/>
        <item x="19"/>
        <item x="3"/>
        <item x="26"/>
        <item x="27"/>
        <item x="28"/>
        <item x="48"/>
        <item t="default"/>
      </items>
    </pivotField>
    <pivotField subtotalTop="0" showAll="0"/>
    <pivotField axis="axisRow" subtotalTop="0" showAll="0">
      <items count="15">
        <item x="2"/>
        <item x="3"/>
        <item x="4"/>
        <item x="11"/>
        <item x="7"/>
        <item x="1"/>
        <item x="10"/>
        <item x="8"/>
        <item x="9"/>
        <item m="1" x="12"/>
        <item x="0"/>
        <item m="1" x="13"/>
        <item x="5"/>
        <item x="6"/>
        <item t="default"/>
      </items>
    </pivotField>
    <pivotField subtotalTop="0" showAll="0"/>
    <pivotField subtotalTop="0" showAll="0"/>
    <pivotField subtotalTop="0" showAll="0"/>
  </pivotFields>
  <rowFields count="3">
    <field x="5"/>
    <field x="2"/>
    <field x="3"/>
  </rowFields>
  <rowItems count="61">
    <i>
      <x/>
    </i>
    <i r="1">
      <x v="2"/>
    </i>
    <i r="2">
      <x v="28"/>
    </i>
    <i t="default" r="1">
      <x v="2"/>
    </i>
    <i r="1">
      <x v="3"/>
    </i>
    <i r="2">
      <x v="17"/>
    </i>
    <i r="2">
      <x v="23"/>
    </i>
    <i t="default" r="1">
      <x v="3"/>
    </i>
    <i t="default">
      <x/>
    </i>
    <i>
      <x v="1"/>
    </i>
    <i r="1">
      <x v="2"/>
    </i>
    <i r="2">
      <x v="9"/>
    </i>
    <i r="2">
      <x v="10"/>
    </i>
    <i t="default" r="1">
      <x v="2"/>
    </i>
    <i t="default">
      <x v="1"/>
    </i>
    <i>
      <x v="2"/>
    </i>
    <i r="1">
      <x v="2"/>
    </i>
    <i r="2">
      <x v="30"/>
    </i>
    <i t="default" r="1">
      <x v="2"/>
    </i>
    <i t="default">
      <x v="2"/>
    </i>
    <i>
      <x v="4"/>
    </i>
    <i r="1">
      <x v="3"/>
    </i>
    <i r="2">
      <x v="15"/>
    </i>
    <i t="default" r="1">
      <x v="3"/>
    </i>
    <i t="default">
      <x v="4"/>
    </i>
    <i>
      <x v="5"/>
    </i>
    <i r="1">
      <x v="3"/>
    </i>
    <i r="2">
      <x v="16"/>
    </i>
    <i t="default" r="1">
      <x v="3"/>
    </i>
    <i t="default">
      <x v="5"/>
    </i>
    <i>
      <x v="6"/>
    </i>
    <i r="1">
      <x v="2"/>
    </i>
    <i r="2">
      <x v="48"/>
    </i>
    <i t="default" r="1">
      <x v="2"/>
    </i>
    <i t="default">
      <x v="6"/>
    </i>
    <i>
      <x v="7"/>
    </i>
    <i r="1">
      <x v="2"/>
    </i>
    <i r="2">
      <x v="19"/>
    </i>
    <i t="default" r="1">
      <x v="2"/>
    </i>
    <i t="default">
      <x v="7"/>
    </i>
    <i>
      <x v="8"/>
    </i>
    <i r="1">
      <x v="2"/>
    </i>
    <i r="2">
      <x v="29"/>
    </i>
    <i t="default" r="1">
      <x v="2"/>
    </i>
    <i t="default">
      <x v="8"/>
    </i>
    <i>
      <x v="10"/>
    </i>
    <i r="1">
      <x v="2"/>
    </i>
    <i r="2">
      <x v="7"/>
    </i>
    <i t="default" r="1">
      <x v="2"/>
    </i>
    <i r="1">
      <x v="3"/>
    </i>
    <i r="2">
      <x v="36"/>
    </i>
    <i r="2">
      <x v="51"/>
    </i>
    <i t="default" r="1">
      <x v="3"/>
    </i>
    <i t="default">
      <x v="10"/>
    </i>
    <i>
      <x v="12"/>
    </i>
    <i r="1">
      <x v="3"/>
    </i>
    <i r="2">
      <x/>
    </i>
    <i r="2">
      <x v="8"/>
    </i>
    <i t="default" r="1">
      <x v="3"/>
    </i>
    <i t="default">
      <x v="12"/>
    </i>
    <i t="grand">
      <x/>
    </i>
  </rowItems>
  <colItems count="1">
    <i/>
  </colItems>
  <dataFields count="1">
    <dataField name="Count of Statu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3000000}" name="PivotTable5" cacheId="1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Prj/Add">
  <location ref="N32:O41" firstHeaderRow="1" firstDataRow="1" firstDataCol="1" rowPageCount="1" colPageCount="1"/>
  <pivotFields count="9">
    <pivotField showAll="0"/>
    <pivotField subtotalTop="0" showAll="0"/>
    <pivotField subtotalTop="0" showAll="0"/>
    <pivotField subtotalTop="0" showAll="0"/>
    <pivotField dataField="1" subtotalTop="0" showAll="0"/>
    <pivotField subtotalTop="0" showAll="0"/>
    <pivotField axis="axisRow" subtotalTop="0" showAll="0">
      <items count="4">
        <item x="0"/>
        <item x="1"/>
        <item x="2"/>
        <item t="default"/>
      </items>
    </pivotField>
    <pivotField axis="axisRow" subtotalTop="0" showAll="0">
      <items count="3">
        <item x="0"/>
        <item x="1"/>
        <item t="default"/>
      </items>
    </pivotField>
    <pivotField axis="axisPage" subtotalTop="0" showAll="0">
      <items count="3">
        <item x="0"/>
        <item x="1"/>
        <item t="default"/>
      </items>
    </pivotField>
  </pivotFields>
  <rowFields count="2">
    <field x="6"/>
    <field x="7"/>
  </rowFields>
  <rowItems count="9">
    <i>
      <x/>
    </i>
    <i r="1">
      <x/>
    </i>
    <i r="1">
      <x v="1"/>
    </i>
    <i t="default">
      <x/>
    </i>
    <i>
      <x v="1"/>
    </i>
    <i r="1">
      <x/>
    </i>
    <i r="1">
      <x v="1"/>
    </i>
    <i t="default">
      <x v="1"/>
    </i>
    <i t="grand">
      <x/>
    </i>
  </rowItems>
  <colItems count="1">
    <i/>
  </colItems>
  <pageFields count="1">
    <pageField fld="8" item="1" hier="-1"/>
  </pageFields>
  <dataFields count="1">
    <dataField name="Sum of Story Points" fld="4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PivotTable2" cacheId="1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dded After SS">
  <location ref="K20:L39" firstHeaderRow="1" firstDataRow="1" firstDataCol="1"/>
  <pivotFields count="9">
    <pivotField showAll="0"/>
    <pivotField showAll="0"/>
    <pivotField axis="axisRow" showAll="0">
      <items count="6">
        <item x="2"/>
        <item x="0"/>
        <item x="1"/>
        <item x="3"/>
        <item x="4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0"/>
        <item x="1"/>
        <item x="2"/>
        <item t="default"/>
      </items>
    </pivotField>
    <pivotField axis="axisRow" showAll="0">
      <items count="3">
        <item x="0"/>
        <item x="1"/>
        <item t="default"/>
      </items>
    </pivotField>
    <pivotField showAll="0"/>
  </pivotFields>
  <rowFields count="3">
    <field x="7"/>
    <field x="6"/>
    <field x="2"/>
  </rowFields>
  <rowItems count="19">
    <i>
      <x/>
    </i>
    <i r="1">
      <x/>
    </i>
    <i r="2">
      <x/>
    </i>
    <i r="2">
      <x v="1"/>
    </i>
    <i r="2">
      <x v="2"/>
    </i>
    <i r="1">
      <x v="1"/>
    </i>
    <i r="2">
      <x/>
    </i>
    <i r="2">
      <x v="1"/>
    </i>
    <i r="2">
      <x v="2"/>
    </i>
    <i r="2">
      <x v="3"/>
    </i>
    <i r="1">
      <x v="2"/>
    </i>
    <i r="2">
      <x v="4"/>
    </i>
    <i>
      <x v="1"/>
    </i>
    <i r="1">
      <x/>
    </i>
    <i r="2">
      <x v="2"/>
    </i>
    <i r="1">
      <x v="1"/>
    </i>
    <i r="2">
      <x v="1"/>
    </i>
    <i r="2">
      <x v="2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PivotTable1" cacheId="1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ll">
  <location ref="K2:L14" firstHeaderRow="1" firstDataRow="1" firstDataCol="1"/>
  <pivotFields count="9">
    <pivotField showAll="0"/>
    <pivotField showAll="0"/>
    <pivotField axis="axisRow" showAll="0">
      <items count="6">
        <item x="2"/>
        <item x="0"/>
        <item x="1"/>
        <item x="3"/>
        <item x="4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0"/>
        <item x="1"/>
        <item x="2"/>
        <item t="default"/>
      </items>
    </pivotField>
    <pivotField showAll="0" defaultSubtotal="0"/>
    <pivotField showAll="0"/>
  </pivotFields>
  <rowFields count="2">
    <field x="6"/>
    <field x="2"/>
  </rowFields>
  <rowItems count="12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 r="1">
      <x v="3"/>
    </i>
    <i>
      <x v="2"/>
    </i>
    <i r="1">
      <x v="4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3000000}" name="PivotTable5" cacheId="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Prj/Add">
  <location ref="N32:O41" firstHeaderRow="1" firstDataRow="1" firstDataCol="1" rowPageCount="1" colPageCount="1"/>
  <pivotFields count="9">
    <pivotField showAll="0"/>
    <pivotField subtotalTop="0" showAll="0"/>
    <pivotField subtotalTop="0" showAll="0"/>
    <pivotField subtotalTop="0" showAll="0"/>
    <pivotField dataField="1" subtotalTop="0" showAll="0"/>
    <pivotField subtotalTop="0" showAll="0"/>
    <pivotField axis="axisRow" subtotalTop="0" showAll="0">
      <items count="4">
        <item x="0"/>
        <item x="1"/>
        <item x="2"/>
        <item t="default"/>
      </items>
    </pivotField>
    <pivotField axis="axisRow" subtotalTop="0" showAll="0">
      <items count="3">
        <item x="0"/>
        <item x="1"/>
        <item t="default"/>
      </items>
    </pivotField>
    <pivotField axis="axisPage" subtotalTop="0" showAll="0">
      <items count="3">
        <item x="1"/>
        <item x="0"/>
        <item t="default"/>
      </items>
    </pivotField>
  </pivotFields>
  <rowFields count="2">
    <field x="6"/>
    <field x="7"/>
  </rowFields>
  <rowItems count="9">
    <i>
      <x/>
    </i>
    <i r="1">
      <x/>
    </i>
    <i r="1">
      <x v="1"/>
    </i>
    <i t="default">
      <x/>
    </i>
    <i>
      <x v="1"/>
    </i>
    <i r="1">
      <x/>
    </i>
    <i r="1">
      <x v="1"/>
    </i>
    <i t="default">
      <x v="1"/>
    </i>
    <i t="grand">
      <x/>
    </i>
  </rowItems>
  <colItems count="1">
    <i/>
  </colItems>
  <pageFields count="1">
    <pageField fld="8" item="1" hier="-1"/>
  </pageFields>
  <dataFields count="1">
    <dataField name="Sum of Story Points" fld="4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2000000}" name="PivotTable3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Y1:Z62" firstHeaderRow="1" firstDataRow="1" firstDataCol="1"/>
  <pivotFields count="9">
    <pivotField subtotalTop="0" showAll="0"/>
    <pivotField subtotalTop="0" showAll="0"/>
    <pivotField axis="axisRow" dataField="1" subtotalTop="0" showAll="0">
      <items count="6">
        <item h="1" x="1"/>
        <item h="1" x="2"/>
        <item x="0"/>
        <item x="3"/>
        <item m="1" x="4"/>
        <item t="default"/>
      </items>
    </pivotField>
    <pivotField axis="axisRow" subtotalTop="0" showAll="0">
      <items count="57">
        <item x="35"/>
        <item x="16"/>
        <item x="15"/>
        <item x="12"/>
        <item x="14"/>
        <item x="13"/>
        <item x="9"/>
        <item x="0"/>
        <item x="32"/>
        <item x="45"/>
        <item x="42"/>
        <item x="2"/>
        <item x="17"/>
        <item x="8"/>
        <item x="31"/>
        <item x="33"/>
        <item x="7"/>
        <item x="4"/>
        <item x="54"/>
        <item x="36"/>
        <item x="43"/>
        <item x="50"/>
        <item x="39"/>
        <item x="11"/>
        <item x="51"/>
        <item x="41"/>
        <item x="55"/>
        <item x="29"/>
        <item x="10"/>
        <item x="40"/>
        <item x="25"/>
        <item x="24"/>
        <item x="20"/>
        <item x="22"/>
        <item x="21"/>
        <item x="23"/>
        <item x="52"/>
        <item x="38"/>
        <item x="46"/>
        <item x="49"/>
        <item x="47"/>
        <item x="37"/>
        <item x="53"/>
        <item x="1"/>
        <item x="5"/>
        <item x="6"/>
        <item x="34"/>
        <item x="30"/>
        <item x="44"/>
        <item x="18"/>
        <item x="19"/>
        <item x="3"/>
        <item x="26"/>
        <item x="27"/>
        <item x="28"/>
        <item x="48"/>
        <item t="default"/>
      </items>
    </pivotField>
    <pivotField subtotalTop="0" showAll="0"/>
    <pivotField axis="axisRow" subtotalTop="0" showAll="0">
      <items count="15">
        <item x="2"/>
        <item x="3"/>
        <item x="4"/>
        <item x="11"/>
        <item x="7"/>
        <item x="1"/>
        <item x="10"/>
        <item x="8"/>
        <item x="9"/>
        <item m="1" x="12"/>
        <item x="0"/>
        <item m="1" x="13"/>
        <item x="5"/>
        <item x="6"/>
        <item t="default"/>
      </items>
    </pivotField>
    <pivotField subtotalTop="0" showAll="0"/>
    <pivotField subtotalTop="0" showAll="0"/>
    <pivotField subtotalTop="0" showAll="0"/>
  </pivotFields>
  <rowFields count="3">
    <field x="5"/>
    <field x="2"/>
    <field x="3"/>
  </rowFields>
  <rowItems count="61">
    <i>
      <x/>
    </i>
    <i r="1">
      <x v="2"/>
    </i>
    <i r="2">
      <x v="28"/>
    </i>
    <i t="default" r="1">
      <x v="2"/>
    </i>
    <i r="1">
      <x v="3"/>
    </i>
    <i r="2">
      <x v="17"/>
    </i>
    <i r="2">
      <x v="23"/>
    </i>
    <i t="default" r="1">
      <x v="3"/>
    </i>
    <i t="default">
      <x/>
    </i>
    <i>
      <x v="1"/>
    </i>
    <i r="1">
      <x v="2"/>
    </i>
    <i r="2">
      <x v="9"/>
    </i>
    <i r="2">
      <x v="10"/>
    </i>
    <i t="default" r="1">
      <x v="2"/>
    </i>
    <i t="default">
      <x v="1"/>
    </i>
    <i>
      <x v="2"/>
    </i>
    <i r="1">
      <x v="2"/>
    </i>
    <i r="2">
      <x v="30"/>
    </i>
    <i t="default" r="1">
      <x v="2"/>
    </i>
    <i t="default">
      <x v="2"/>
    </i>
    <i>
      <x v="4"/>
    </i>
    <i r="1">
      <x v="3"/>
    </i>
    <i r="2">
      <x v="15"/>
    </i>
    <i t="default" r="1">
      <x v="3"/>
    </i>
    <i t="default">
      <x v="4"/>
    </i>
    <i>
      <x v="5"/>
    </i>
    <i r="1">
      <x v="3"/>
    </i>
    <i r="2">
      <x v="16"/>
    </i>
    <i t="default" r="1">
      <x v="3"/>
    </i>
    <i t="default">
      <x v="5"/>
    </i>
    <i>
      <x v="6"/>
    </i>
    <i r="1">
      <x v="2"/>
    </i>
    <i r="2">
      <x v="48"/>
    </i>
    <i t="default" r="1">
      <x v="2"/>
    </i>
    <i t="default">
      <x v="6"/>
    </i>
    <i>
      <x v="7"/>
    </i>
    <i r="1">
      <x v="2"/>
    </i>
    <i r="2">
      <x v="19"/>
    </i>
    <i t="default" r="1">
      <x v="2"/>
    </i>
    <i t="default">
      <x v="7"/>
    </i>
    <i>
      <x v="8"/>
    </i>
    <i r="1">
      <x v="2"/>
    </i>
    <i r="2">
      <x v="29"/>
    </i>
    <i t="default" r="1">
      <x v="2"/>
    </i>
    <i t="default">
      <x v="8"/>
    </i>
    <i>
      <x v="10"/>
    </i>
    <i r="1">
      <x v="2"/>
    </i>
    <i r="2">
      <x v="7"/>
    </i>
    <i t="default" r="1">
      <x v="2"/>
    </i>
    <i r="1">
      <x v="3"/>
    </i>
    <i r="2">
      <x v="36"/>
    </i>
    <i r="2">
      <x v="51"/>
    </i>
    <i t="default" r="1">
      <x v="3"/>
    </i>
    <i t="default">
      <x v="10"/>
    </i>
    <i>
      <x v="12"/>
    </i>
    <i r="1">
      <x v="3"/>
    </i>
    <i r="2">
      <x/>
    </i>
    <i r="2">
      <x v="8"/>
    </i>
    <i t="default" r="1">
      <x v="3"/>
    </i>
    <i t="default">
      <x v="12"/>
    </i>
    <i t="grand">
      <x/>
    </i>
  </rowItems>
  <colItems count="1">
    <i/>
  </colItems>
  <dataFields count="1">
    <dataField name="Count of Statu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PivotTable1" cacheId="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ll">
  <location ref="K2:L14" firstHeaderRow="1" firstDataRow="1" firstDataCol="1"/>
  <pivotFields count="9">
    <pivotField showAll="0"/>
    <pivotField showAll="0"/>
    <pivotField axis="axisRow" showAll="0">
      <items count="6">
        <item x="2"/>
        <item x="1"/>
        <item x="0"/>
        <item x="3"/>
        <item x="4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0"/>
        <item x="1"/>
        <item x="2"/>
        <item t="default"/>
      </items>
    </pivotField>
    <pivotField showAll="0" defaultSubtotal="0"/>
    <pivotField showAll="0"/>
  </pivotFields>
  <rowFields count="2">
    <field x="6"/>
    <field x="2"/>
  </rowFields>
  <rowItems count="12">
    <i>
      <x/>
    </i>
    <i r="1">
      <x/>
    </i>
    <i r="1">
      <x v="1"/>
    </i>
    <i r="1">
      <x v="2"/>
    </i>
    <i r="1">
      <x v="3"/>
    </i>
    <i>
      <x v="1"/>
    </i>
    <i r="1">
      <x/>
    </i>
    <i r="1">
      <x v="1"/>
    </i>
    <i r="1">
      <x v="2"/>
    </i>
    <i>
      <x v="2"/>
    </i>
    <i r="1">
      <x v="4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1000000}" name="PivotTable2" cacheId="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dded After SS">
  <location ref="K20:L38" firstHeaderRow="1" firstDataRow="1" firstDataCol="1"/>
  <pivotFields count="9">
    <pivotField showAll="0"/>
    <pivotField showAll="0"/>
    <pivotField axis="axisRow" showAll="0">
      <items count="6">
        <item x="2"/>
        <item x="1"/>
        <item x="0"/>
        <item x="3"/>
        <item x="4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0"/>
        <item x="1"/>
        <item x="2"/>
        <item t="default"/>
      </items>
    </pivotField>
    <pivotField axis="axisRow" showAll="0">
      <items count="3">
        <item x="0"/>
        <item x="1"/>
        <item t="default"/>
      </items>
    </pivotField>
    <pivotField showAll="0"/>
  </pivotFields>
  <rowFields count="3">
    <field x="7"/>
    <field x="6"/>
    <field x="2"/>
  </rowFields>
  <rowItems count="18">
    <i>
      <x/>
    </i>
    <i r="1">
      <x/>
    </i>
    <i r="2">
      <x/>
    </i>
    <i r="2">
      <x v="1"/>
    </i>
    <i r="2">
      <x v="2"/>
    </i>
    <i r="2">
      <x v="3"/>
    </i>
    <i r="1">
      <x v="1"/>
    </i>
    <i r="2">
      <x/>
    </i>
    <i r="2">
      <x v="1"/>
    </i>
    <i r="2">
      <x v="2"/>
    </i>
    <i r="1">
      <x v="2"/>
    </i>
    <i r="2">
      <x v="4"/>
    </i>
    <i>
      <x v="1"/>
    </i>
    <i r="1">
      <x/>
    </i>
    <i r="2">
      <x v="2"/>
    </i>
    <i r="1">
      <x v="1"/>
    </i>
    <i r="2">
      <x v="2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3000000}" name="PivotTable5" cacheId="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Prj/Add">
  <location ref="N32:O40" firstHeaderRow="1" firstDataRow="1" firstDataCol="1" rowPageCount="1" colPageCount="1"/>
  <pivotFields count="9">
    <pivotField showAll="0"/>
    <pivotField subtotalTop="0" showAll="0"/>
    <pivotField subtotalTop="0" showAll="0"/>
    <pivotField subtotalTop="0" showAll="0"/>
    <pivotField dataField="1" subtotalTop="0" showAll="0"/>
    <pivotField subtotalTop="0" showAll="0"/>
    <pivotField axis="axisRow" subtotalTop="0" showAll="0">
      <items count="4">
        <item x="1"/>
        <item x="0"/>
        <item x="2"/>
        <item t="default"/>
      </items>
    </pivotField>
    <pivotField axis="axisRow" subtotalTop="0" showAll="0">
      <items count="3">
        <item x="0"/>
        <item x="1"/>
        <item t="default"/>
      </items>
    </pivotField>
    <pivotField axis="axisPage" subtotalTop="0" showAll="0">
      <items count="3">
        <item x="1"/>
        <item x="0"/>
        <item t="default"/>
      </items>
    </pivotField>
  </pivotFields>
  <rowFields count="2">
    <field x="6"/>
    <field x="7"/>
  </rowFields>
  <rowItems count="8">
    <i>
      <x/>
    </i>
    <i r="1">
      <x/>
    </i>
    <i t="default">
      <x/>
    </i>
    <i>
      <x v="1"/>
    </i>
    <i r="1">
      <x/>
    </i>
    <i r="1">
      <x v="1"/>
    </i>
    <i t="default">
      <x v="1"/>
    </i>
    <i t="grand">
      <x/>
    </i>
  </rowItems>
  <colItems count="1">
    <i/>
  </colItems>
  <pageFields count="1">
    <pageField fld="8" item="1" hier="-1"/>
  </pageFields>
  <dataFields count="1">
    <dataField name="Sum of Story Points" fld="4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PivotTable2" cacheId="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dded After SS">
  <location ref="K20:L36" firstHeaderRow="1" firstDataRow="1" firstDataCol="1"/>
  <pivotFields count="9">
    <pivotField showAll="0"/>
    <pivotField showAll="0"/>
    <pivotField axis="axisRow" showAll="0">
      <items count="6">
        <item x="1"/>
        <item x="2"/>
        <item x="0"/>
        <item x="3"/>
        <item x="4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1"/>
        <item x="0"/>
        <item x="2"/>
        <item t="default"/>
      </items>
    </pivotField>
    <pivotField axis="axisRow" showAll="0">
      <items count="3">
        <item x="0"/>
        <item x="1"/>
        <item t="default"/>
      </items>
    </pivotField>
    <pivotField showAll="0"/>
  </pivotFields>
  <rowFields count="3">
    <field x="7"/>
    <field x="6"/>
    <field x="2"/>
  </rowFields>
  <rowItems count="16">
    <i>
      <x/>
    </i>
    <i r="1">
      <x/>
    </i>
    <i r="2">
      <x/>
    </i>
    <i r="2">
      <x v="1"/>
    </i>
    <i r="2">
      <x v="2"/>
    </i>
    <i r="1">
      <x v="1"/>
    </i>
    <i r="2">
      <x/>
    </i>
    <i r="2">
      <x v="1"/>
    </i>
    <i r="2">
      <x v="2"/>
    </i>
    <i r="2">
      <x v="3"/>
    </i>
    <i r="1">
      <x v="2"/>
    </i>
    <i r="2">
      <x v="4"/>
    </i>
    <i>
      <x v="1"/>
    </i>
    <i r="1">
      <x v="1"/>
    </i>
    <i r="2">
      <x v="2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PivotTable1" cacheId="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ll">
  <location ref="K2:L14" firstHeaderRow="1" firstDataRow="1" firstDataCol="1"/>
  <pivotFields count="9">
    <pivotField showAll="0"/>
    <pivotField showAll="0"/>
    <pivotField axis="axisRow" showAll="0">
      <items count="6">
        <item x="1"/>
        <item x="2"/>
        <item x="0"/>
        <item x="3"/>
        <item x="4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1"/>
        <item x="0"/>
        <item x="2"/>
        <item t="default"/>
      </items>
    </pivotField>
    <pivotField showAll="0" defaultSubtotal="0"/>
    <pivotField showAll="0"/>
  </pivotFields>
  <rowFields count="2">
    <field x="6"/>
    <field x="2"/>
  </rowFields>
  <rowItems count="12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 r="1">
      <x v="3"/>
    </i>
    <i>
      <x v="2"/>
    </i>
    <i r="1">
      <x v="4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2000000}" name="PivotTable3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Y1:Z62" firstHeaderRow="1" firstDataRow="1" firstDataCol="1"/>
  <pivotFields count="9">
    <pivotField subtotalTop="0" showAll="0"/>
    <pivotField subtotalTop="0" showAll="0"/>
    <pivotField axis="axisRow" dataField="1" subtotalTop="0" showAll="0">
      <items count="6">
        <item h="1" x="1"/>
        <item h="1" x="2"/>
        <item x="0"/>
        <item x="3"/>
        <item m="1" x="4"/>
        <item t="default"/>
      </items>
    </pivotField>
    <pivotField axis="axisRow" subtotalTop="0" showAll="0">
      <items count="57">
        <item x="35"/>
        <item x="16"/>
        <item x="15"/>
        <item x="12"/>
        <item x="14"/>
        <item x="13"/>
        <item x="9"/>
        <item x="0"/>
        <item x="32"/>
        <item x="45"/>
        <item x="42"/>
        <item x="2"/>
        <item x="17"/>
        <item x="8"/>
        <item x="31"/>
        <item x="33"/>
        <item x="7"/>
        <item x="4"/>
        <item x="54"/>
        <item x="36"/>
        <item x="43"/>
        <item x="50"/>
        <item x="39"/>
        <item x="11"/>
        <item x="51"/>
        <item x="41"/>
        <item x="55"/>
        <item x="29"/>
        <item x="10"/>
        <item x="40"/>
        <item x="25"/>
        <item x="24"/>
        <item x="20"/>
        <item x="22"/>
        <item x="21"/>
        <item x="23"/>
        <item x="52"/>
        <item x="38"/>
        <item x="46"/>
        <item x="49"/>
        <item x="47"/>
        <item x="37"/>
        <item x="53"/>
        <item x="1"/>
        <item x="5"/>
        <item x="6"/>
        <item x="34"/>
        <item x="30"/>
        <item x="44"/>
        <item x="18"/>
        <item x="19"/>
        <item x="3"/>
        <item x="26"/>
        <item x="27"/>
        <item x="28"/>
        <item x="48"/>
        <item t="default"/>
      </items>
    </pivotField>
    <pivotField subtotalTop="0" showAll="0"/>
    <pivotField axis="axisRow" subtotalTop="0" showAll="0">
      <items count="15">
        <item x="2"/>
        <item x="3"/>
        <item x="4"/>
        <item x="11"/>
        <item x="7"/>
        <item x="1"/>
        <item x="10"/>
        <item x="8"/>
        <item x="9"/>
        <item m="1" x="12"/>
        <item x="0"/>
        <item m="1" x="13"/>
        <item x="5"/>
        <item x="6"/>
        <item t="default"/>
      </items>
    </pivotField>
    <pivotField subtotalTop="0" showAll="0"/>
    <pivotField subtotalTop="0" showAll="0"/>
    <pivotField subtotalTop="0" showAll="0"/>
  </pivotFields>
  <rowFields count="3">
    <field x="5"/>
    <field x="2"/>
    <field x="3"/>
  </rowFields>
  <rowItems count="61">
    <i>
      <x/>
    </i>
    <i r="1">
      <x v="2"/>
    </i>
    <i r="2">
      <x v="28"/>
    </i>
    <i t="default" r="1">
      <x v="2"/>
    </i>
    <i r="1">
      <x v="3"/>
    </i>
    <i r="2">
      <x v="17"/>
    </i>
    <i r="2">
      <x v="23"/>
    </i>
    <i t="default" r="1">
      <x v="3"/>
    </i>
    <i t="default">
      <x/>
    </i>
    <i>
      <x v="1"/>
    </i>
    <i r="1">
      <x v="2"/>
    </i>
    <i r="2">
      <x v="9"/>
    </i>
    <i r="2">
      <x v="10"/>
    </i>
    <i t="default" r="1">
      <x v="2"/>
    </i>
    <i t="default">
      <x v="1"/>
    </i>
    <i>
      <x v="2"/>
    </i>
    <i r="1">
      <x v="2"/>
    </i>
    <i r="2">
      <x v="30"/>
    </i>
    <i t="default" r="1">
      <x v="2"/>
    </i>
    <i t="default">
      <x v="2"/>
    </i>
    <i>
      <x v="4"/>
    </i>
    <i r="1">
      <x v="3"/>
    </i>
    <i r="2">
      <x v="15"/>
    </i>
    <i t="default" r="1">
      <x v="3"/>
    </i>
    <i t="default">
      <x v="4"/>
    </i>
    <i>
      <x v="5"/>
    </i>
    <i r="1">
      <x v="3"/>
    </i>
    <i r="2">
      <x v="16"/>
    </i>
    <i t="default" r="1">
      <x v="3"/>
    </i>
    <i t="default">
      <x v="5"/>
    </i>
    <i>
      <x v="6"/>
    </i>
    <i r="1">
      <x v="2"/>
    </i>
    <i r="2">
      <x v="48"/>
    </i>
    <i t="default" r="1">
      <x v="2"/>
    </i>
    <i t="default">
      <x v="6"/>
    </i>
    <i>
      <x v="7"/>
    </i>
    <i r="1">
      <x v="2"/>
    </i>
    <i r="2">
      <x v="19"/>
    </i>
    <i t="default" r="1">
      <x v="2"/>
    </i>
    <i t="default">
      <x v="7"/>
    </i>
    <i>
      <x v="8"/>
    </i>
    <i r="1">
      <x v="2"/>
    </i>
    <i r="2">
      <x v="29"/>
    </i>
    <i t="default" r="1">
      <x v="2"/>
    </i>
    <i t="default">
      <x v="8"/>
    </i>
    <i>
      <x v="10"/>
    </i>
    <i r="1">
      <x v="2"/>
    </i>
    <i r="2">
      <x v="7"/>
    </i>
    <i t="default" r="1">
      <x v="2"/>
    </i>
    <i r="1">
      <x v="3"/>
    </i>
    <i r="2">
      <x v="36"/>
    </i>
    <i r="2">
      <x v="51"/>
    </i>
    <i t="default" r="1">
      <x v="3"/>
    </i>
    <i t="default">
      <x v="10"/>
    </i>
    <i>
      <x v="12"/>
    </i>
    <i r="1">
      <x v="3"/>
    </i>
    <i r="2">
      <x/>
    </i>
    <i r="2">
      <x v="8"/>
    </i>
    <i t="default" r="1">
      <x v="3"/>
    </i>
    <i t="default">
      <x v="12"/>
    </i>
    <i t="grand">
      <x/>
    </i>
  </rowItems>
  <colItems count="1">
    <i/>
  </colItems>
  <dataFields count="1">
    <dataField name="Count of Statu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3000000}" name="PivotTable5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Prj/Add">
  <location ref="N32:O41" firstHeaderRow="1" firstDataRow="1" firstDataCol="1" rowPageCount="1" colPageCount="1"/>
  <pivotFields count="9">
    <pivotField showAll="0"/>
    <pivotField subtotalTop="0" showAll="0"/>
    <pivotField subtotalTop="0" showAll="0"/>
    <pivotField subtotalTop="0" showAll="0"/>
    <pivotField dataField="1" subtotalTop="0" showAll="0"/>
    <pivotField subtotalTop="0" showAll="0"/>
    <pivotField axis="axisRow" subtotalTop="0" showAll="0">
      <items count="4">
        <item x="0"/>
        <item x="1"/>
        <item m="1" x="2"/>
        <item t="default"/>
      </items>
    </pivotField>
    <pivotField axis="axisRow" subtotalTop="0" showAll="0">
      <items count="3">
        <item x="0"/>
        <item x="1"/>
        <item t="default"/>
      </items>
    </pivotField>
    <pivotField axis="axisPage" subtotalTop="0" showAll="0">
      <items count="4">
        <item x="0"/>
        <item x="1"/>
        <item m="1" x="2"/>
        <item t="default"/>
      </items>
    </pivotField>
  </pivotFields>
  <rowFields count="2">
    <field x="6"/>
    <field x="7"/>
  </rowFields>
  <rowItems count="9">
    <i>
      <x/>
    </i>
    <i r="1">
      <x/>
    </i>
    <i r="1">
      <x v="1"/>
    </i>
    <i t="default">
      <x/>
    </i>
    <i>
      <x v="1"/>
    </i>
    <i r="1">
      <x/>
    </i>
    <i r="1">
      <x v="1"/>
    </i>
    <i t="default">
      <x v="1"/>
    </i>
    <i t="grand">
      <x/>
    </i>
  </rowItems>
  <colItems count="1">
    <i/>
  </colItems>
  <pageFields count="1">
    <pageField fld="8" item="1" hier="-1"/>
  </pageFields>
  <dataFields count="1">
    <dataField name="Sum of Story Points" fld="4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2000000}" name="PivotTable3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Y1:Z62" firstHeaderRow="1" firstDataRow="1" firstDataCol="1"/>
  <pivotFields count="9">
    <pivotField subtotalTop="0" showAll="0"/>
    <pivotField subtotalTop="0" showAll="0"/>
    <pivotField axis="axisRow" dataField="1" subtotalTop="0" showAll="0">
      <items count="6">
        <item h="1" x="1"/>
        <item h="1" x="2"/>
        <item x="0"/>
        <item x="3"/>
        <item m="1" x="4"/>
        <item t="default"/>
      </items>
    </pivotField>
    <pivotField axis="axisRow" subtotalTop="0" showAll="0">
      <items count="57">
        <item x="35"/>
        <item x="16"/>
        <item x="15"/>
        <item x="12"/>
        <item x="14"/>
        <item x="13"/>
        <item x="9"/>
        <item x="0"/>
        <item x="32"/>
        <item x="45"/>
        <item x="42"/>
        <item x="2"/>
        <item x="17"/>
        <item x="8"/>
        <item x="31"/>
        <item x="33"/>
        <item x="7"/>
        <item x="4"/>
        <item x="54"/>
        <item x="36"/>
        <item x="43"/>
        <item x="50"/>
        <item x="39"/>
        <item x="11"/>
        <item x="51"/>
        <item x="41"/>
        <item x="55"/>
        <item x="29"/>
        <item x="10"/>
        <item x="40"/>
        <item x="25"/>
        <item x="24"/>
        <item x="20"/>
        <item x="22"/>
        <item x="21"/>
        <item x="23"/>
        <item x="52"/>
        <item x="38"/>
        <item x="46"/>
        <item x="49"/>
        <item x="47"/>
        <item x="37"/>
        <item x="53"/>
        <item x="1"/>
        <item x="5"/>
        <item x="6"/>
        <item x="34"/>
        <item x="30"/>
        <item x="44"/>
        <item x="18"/>
        <item x="19"/>
        <item x="3"/>
        <item x="26"/>
        <item x="27"/>
        <item x="28"/>
        <item x="48"/>
        <item t="default"/>
      </items>
    </pivotField>
    <pivotField subtotalTop="0" showAll="0"/>
    <pivotField axis="axisRow" subtotalTop="0" showAll="0">
      <items count="15">
        <item x="2"/>
        <item x="3"/>
        <item x="4"/>
        <item x="11"/>
        <item x="7"/>
        <item x="1"/>
        <item x="10"/>
        <item x="8"/>
        <item x="9"/>
        <item m="1" x="12"/>
        <item x="0"/>
        <item m="1" x="13"/>
        <item x="5"/>
        <item x="6"/>
        <item t="default"/>
      </items>
    </pivotField>
    <pivotField subtotalTop="0" showAll="0"/>
    <pivotField subtotalTop="0" showAll="0"/>
    <pivotField subtotalTop="0" showAll="0"/>
  </pivotFields>
  <rowFields count="3">
    <field x="5"/>
    <field x="2"/>
    <field x="3"/>
  </rowFields>
  <rowItems count="61">
    <i>
      <x/>
    </i>
    <i r="1">
      <x v="2"/>
    </i>
    <i r="2">
      <x v="28"/>
    </i>
    <i t="default" r="1">
      <x v="2"/>
    </i>
    <i r="1">
      <x v="3"/>
    </i>
    <i r="2">
      <x v="17"/>
    </i>
    <i r="2">
      <x v="23"/>
    </i>
    <i t="default" r="1">
      <x v="3"/>
    </i>
    <i t="default">
      <x/>
    </i>
    <i>
      <x v="1"/>
    </i>
    <i r="1">
      <x v="2"/>
    </i>
    <i r="2">
      <x v="9"/>
    </i>
    <i r="2">
      <x v="10"/>
    </i>
    <i t="default" r="1">
      <x v="2"/>
    </i>
    <i t="default">
      <x v="1"/>
    </i>
    <i>
      <x v="2"/>
    </i>
    <i r="1">
      <x v="2"/>
    </i>
    <i r="2">
      <x v="30"/>
    </i>
    <i t="default" r="1">
      <x v="2"/>
    </i>
    <i t="default">
      <x v="2"/>
    </i>
    <i>
      <x v="4"/>
    </i>
    <i r="1">
      <x v="3"/>
    </i>
    <i r="2">
      <x v="15"/>
    </i>
    <i t="default" r="1">
      <x v="3"/>
    </i>
    <i t="default">
      <x v="4"/>
    </i>
    <i>
      <x v="5"/>
    </i>
    <i r="1">
      <x v="3"/>
    </i>
    <i r="2">
      <x v="16"/>
    </i>
    <i t="default" r="1">
      <x v="3"/>
    </i>
    <i t="default">
      <x v="5"/>
    </i>
    <i>
      <x v="6"/>
    </i>
    <i r="1">
      <x v="2"/>
    </i>
    <i r="2">
      <x v="48"/>
    </i>
    <i t="default" r="1">
      <x v="2"/>
    </i>
    <i t="default">
      <x v="6"/>
    </i>
    <i>
      <x v="7"/>
    </i>
    <i r="1">
      <x v="2"/>
    </i>
    <i r="2">
      <x v="19"/>
    </i>
    <i t="default" r="1">
      <x v="2"/>
    </i>
    <i t="default">
      <x v="7"/>
    </i>
    <i>
      <x v="8"/>
    </i>
    <i r="1">
      <x v="2"/>
    </i>
    <i r="2">
      <x v="29"/>
    </i>
    <i t="default" r="1">
      <x v="2"/>
    </i>
    <i t="default">
      <x v="8"/>
    </i>
    <i>
      <x v="10"/>
    </i>
    <i r="1">
      <x v="2"/>
    </i>
    <i r="2">
      <x v="7"/>
    </i>
    <i t="default" r="1">
      <x v="2"/>
    </i>
    <i r="1">
      <x v="3"/>
    </i>
    <i r="2">
      <x v="36"/>
    </i>
    <i r="2">
      <x v="51"/>
    </i>
    <i t="default" r="1">
      <x v="3"/>
    </i>
    <i t="default">
      <x v="10"/>
    </i>
    <i>
      <x v="12"/>
    </i>
    <i r="1">
      <x v="3"/>
    </i>
    <i r="2">
      <x/>
    </i>
    <i r="2">
      <x v="8"/>
    </i>
    <i t="default" r="1">
      <x v="3"/>
    </i>
    <i t="default">
      <x v="12"/>
    </i>
    <i t="grand">
      <x/>
    </i>
  </rowItems>
  <colItems count="1">
    <i/>
  </colItems>
  <dataFields count="1">
    <dataField name="Count of Statu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PivotTable1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ll">
  <location ref="K2:L13" firstHeaderRow="1" firstDataRow="1" firstDataCol="1"/>
  <pivotFields count="9">
    <pivotField showAll="0"/>
    <pivotField showAll="0"/>
    <pivotField axis="axisRow" showAll="0">
      <items count="6">
        <item x="3"/>
        <item x="0"/>
        <item x="2"/>
        <item x="1"/>
        <item m="1" x="4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0"/>
        <item x="1"/>
        <item m="1" x="2"/>
        <item t="default"/>
      </items>
    </pivotField>
    <pivotField showAll="0" defaultSubtotal="0"/>
    <pivotField showAll="0"/>
  </pivotFields>
  <rowFields count="2">
    <field x="6"/>
    <field x="2"/>
  </rowFields>
  <rowItems count="11">
    <i>
      <x/>
    </i>
    <i r="1">
      <x/>
    </i>
    <i r="1">
      <x v="1"/>
    </i>
    <i r="1">
      <x v="2"/>
    </i>
    <i r="1">
      <x v="3"/>
    </i>
    <i>
      <x v="1"/>
    </i>
    <i r="1">
      <x/>
    </i>
    <i r="1">
      <x v="1"/>
    </i>
    <i r="1">
      <x v="2"/>
    </i>
    <i r="1">
      <x v="3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1000000}" name="PivotTable2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dded After SS">
  <location ref="K20:L38" firstHeaderRow="1" firstDataRow="1" firstDataCol="1"/>
  <pivotFields count="9">
    <pivotField showAll="0"/>
    <pivotField showAll="0"/>
    <pivotField axis="axisRow" showAll="0">
      <items count="6">
        <item x="3"/>
        <item x="0"/>
        <item x="2"/>
        <item x="1"/>
        <item m="1" x="4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0"/>
        <item x="1"/>
        <item m="1" x="2"/>
        <item t="default"/>
      </items>
    </pivotField>
    <pivotField axis="axisRow" showAll="0">
      <items count="3">
        <item x="0"/>
        <item x="1"/>
        <item t="default"/>
      </items>
    </pivotField>
    <pivotField showAll="0"/>
  </pivotFields>
  <rowFields count="3">
    <field x="7"/>
    <field x="6"/>
    <field x="2"/>
  </rowFields>
  <rowItems count="18">
    <i>
      <x/>
    </i>
    <i r="1">
      <x/>
    </i>
    <i r="2">
      <x/>
    </i>
    <i r="2">
      <x v="1"/>
    </i>
    <i r="2">
      <x v="2"/>
    </i>
    <i r="2">
      <x v="3"/>
    </i>
    <i r="1">
      <x v="1"/>
    </i>
    <i r="2">
      <x/>
    </i>
    <i r="2">
      <x v="1"/>
    </i>
    <i r="2">
      <x v="2"/>
    </i>
    <i r="2">
      <x v="3"/>
    </i>
    <i>
      <x v="1"/>
    </i>
    <i r="1">
      <x/>
    </i>
    <i r="2">
      <x v="1"/>
    </i>
    <i r="2">
      <x v="2"/>
    </i>
    <i r="1">
      <x v="1"/>
    </i>
    <i r="2">
      <x v="2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2000000}" name="PivotTable5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N32:O41" firstHeaderRow="1" firstDataRow="1" firstDataCol="1" rowPageCount="1" colPageCount="1"/>
  <pivotFields count="9">
    <pivotField showAll="0"/>
    <pivotField subtotalTop="0" showAll="0"/>
    <pivotField subtotalTop="0" showAll="0"/>
    <pivotField subtotalTop="0" showAll="0"/>
    <pivotField dataField="1" subtotalTop="0" showAll="0"/>
    <pivotField subtotalTop="0" showAll="0"/>
    <pivotField axis="axisRow" subtotalTop="0" showAll="0">
      <items count="3">
        <item x="1"/>
        <item x="0"/>
        <item t="default"/>
      </items>
    </pivotField>
    <pivotField axis="axisRow" subtotalTop="0" showAll="0">
      <items count="4">
        <item x="0"/>
        <item x="1"/>
        <item m="1" x="2"/>
        <item t="default"/>
      </items>
    </pivotField>
    <pivotField axis="axisPage" subtotalTop="0" showAll="0">
      <items count="3">
        <item x="1"/>
        <item x="0"/>
        <item t="default"/>
      </items>
    </pivotField>
  </pivotFields>
  <rowFields count="2">
    <field x="6"/>
    <field x="7"/>
  </rowFields>
  <rowItems count="9">
    <i>
      <x/>
    </i>
    <i r="1">
      <x/>
    </i>
    <i r="1">
      <x v="1"/>
    </i>
    <i t="default">
      <x/>
    </i>
    <i>
      <x v="1"/>
    </i>
    <i r="1">
      <x/>
    </i>
    <i r="1">
      <x v="1"/>
    </i>
    <i t="default">
      <x v="1"/>
    </i>
    <i t="grand">
      <x/>
    </i>
  </rowItems>
  <colItems count="1">
    <i/>
  </colItems>
  <pageFields count="1">
    <pageField fld="8" item="1" hier="-1"/>
  </pageFields>
  <dataFields count="1">
    <dataField name="Sum of Story Points" fld="4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1000000}" name="PivotTable2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dded After SS">
  <location ref="K20:L37" firstHeaderRow="1" firstDataRow="1" firstDataCol="1"/>
  <pivotFields count="9">
    <pivotField showAll="0"/>
    <pivotField showAll="0"/>
    <pivotField axis="axisRow" showAll="0">
      <items count="5">
        <item x="2"/>
        <item x="1"/>
        <item x="0"/>
        <item x="3"/>
        <item t="default"/>
      </items>
    </pivotField>
    <pivotField showAll="0"/>
    <pivotField name="Story Points2" dataField="1" showAll="0" defaultSubtotal="0"/>
    <pivotField showAll="0"/>
    <pivotField axis="axisRow" showAll="0">
      <items count="3">
        <item x="1"/>
        <item x="0"/>
        <item t="default"/>
      </items>
    </pivotField>
    <pivotField axis="axisRow" showAll="0">
      <items count="4">
        <item x="0"/>
        <item x="1"/>
        <item m="1" x="2"/>
        <item t="default"/>
      </items>
    </pivotField>
    <pivotField showAll="0"/>
  </pivotFields>
  <rowFields count="3">
    <field x="7"/>
    <field x="6"/>
    <field x="2"/>
  </rowFields>
  <rowItems count="17">
    <i>
      <x/>
    </i>
    <i r="1">
      <x/>
    </i>
    <i r="2">
      <x/>
    </i>
    <i r="2">
      <x v="1"/>
    </i>
    <i r="2">
      <x v="2"/>
    </i>
    <i r="1">
      <x v="1"/>
    </i>
    <i r="2">
      <x/>
    </i>
    <i r="2">
      <x v="1"/>
    </i>
    <i r="2">
      <x v="2"/>
    </i>
    <i>
      <x v="1"/>
    </i>
    <i r="1">
      <x/>
    </i>
    <i r="2">
      <x v="2"/>
    </i>
    <i r="2">
      <x v="3"/>
    </i>
    <i r="1">
      <x v="1"/>
    </i>
    <i r="2">
      <x v="1"/>
    </i>
    <i r="2">
      <x v="2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PivotTable1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ll">
  <location ref="K7:L17" firstHeaderRow="1" firstDataRow="1" firstDataCol="1"/>
  <pivotFields count="9">
    <pivotField showAll="0"/>
    <pivotField showAll="0"/>
    <pivotField axis="axisRow" showAll="0">
      <items count="5">
        <item x="2"/>
        <item x="1"/>
        <item x="0"/>
        <item x="3"/>
        <item t="default"/>
      </items>
    </pivotField>
    <pivotField showAll="0"/>
    <pivotField name="Story Points2" dataField="1" showAll="0" defaultSubtotal="0"/>
    <pivotField showAll="0"/>
    <pivotField axis="axisRow" showAll="0">
      <items count="3">
        <item x="1"/>
        <item x="0"/>
        <item t="default"/>
      </items>
    </pivotField>
    <pivotField showAll="0" defaultSubtotal="0"/>
    <pivotField showAll="0"/>
  </pivotFields>
  <rowFields count="2">
    <field x="6"/>
    <field x="2"/>
  </rowFields>
  <rowItems count="10">
    <i>
      <x/>
    </i>
    <i r="1">
      <x/>
    </i>
    <i r="1">
      <x v="1"/>
    </i>
    <i r="1">
      <x v="2"/>
    </i>
    <i r="1">
      <x v="3"/>
    </i>
    <i>
      <x v="1"/>
    </i>
    <i r="1">
      <x/>
    </i>
    <i r="1">
      <x v="1"/>
    </i>
    <i r="1">
      <x v="2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2000000}" name="PivotTable5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N32:O41" firstHeaderRow="1" firstDataRow="1" firstDataCol="1" rowPageCount="1" colPageCount="1"/>
  <pivotFields count="9">
    <pivotField showAll="0"/>
    <pivotField subtotalTop="0" showAll="0"/>
    <pivotField subtotalTop="0" showAll="0"/>
    <pivotField subtotalTop="0" showAll="0"/>
    <pivotField dataField="1" subtotalTop="0" showAll="0"/>
    <pivotField subtotalTop="0" showAll="0"/>
    <pivotField axis="axisRow" subtotalTop="0" showAll="0">
      <items count="4">
        <item h="1" m="1" x="2"/>
        <item x="1"/>
        <item x="0"/>
        <item t="default"/>
      </items>
    </pivotField>
    <pivotField axis="axisRow" subtotalTop="0" showAll="0">
      <items count="3">
        <item x="1"/>
        <item x="0"/>
        <item t="default"/>
      </items>
    </pivotField>
    <pivotField axis="axisPage" subtotalTop="0" showAll="0">
      <items count="3">
        <item x="1"/>
        <item x="0"/>
        <item t="default"/>
      </items>
    </pivotField>
  </pivotFields>
  <rowFields count="2">
    <field x="6"/>
    <field x="7"/>
  </rowFields>
  <rowItems count="9">
    <i>
      <x v="1"/>
    </i>
    <i r="1">
      <x/>
    </i>
    <i r="1">
      <x v="1"/>
    </i>
    <i t="default">
      <x v="1"/>
    </i>
    <i>
      <x v="2"/>
    </i>
    <i r="1">
      <x/>
    </i>
    <i r="1">
      <x v="1"/>
    </i>
    <i t="default">
      <x v="2"/>
    </i>
    <i t="grand">
      <x/>
    </i>
  </rowItems>
  <colItems count="1">
    <i/>
  </colItems>
  <pageFields count="1">
    <pageField fld="8" item="1" hier="-1"/>
  </pageFields>
  <dataFields count="1">
    <dataField name="Sum of Story Points" fld="4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ll">
  <location ref="K7:L17" firstHeaderRow="1" firstDataRow="1" firstDataCol="1"/>
  <pivotFields count="9">
    <pivotField showAll="0"/>
    <pivotField showAll="0"/>
    <pivotField axis="axisRow" showAll="0">
      <items count="6">
        <item m="1" x="4"/>
        <item x="3"/>
        <item x="1"/>
        <item x="2"/>
        <item x="0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1"/>
        <item x="0"/>
        <item h="1" m="1" x="2"/>
        <item t="default"/>
      </items>
    </pivotField>
    <pivotField showAll="0" defaultSubtotal="0"/>
    <pivotField showAll="0"/>
  </pivotFields>
  <rowFields count="2">
    <field x="6"/>
    <field x="2"/>
  </rowFields>
  <rowItems count="10">
    <i>
      <x/>
    </i>
    <i r="1">
      <x v="1"/>
    </i>
    <i r="1">
      <x v="2"/>
    </i>
    <i r="1">
      <x v="3"/>
    </i>
    <i r="1">
      <x v="4"/>
    </i>
    <i>
      <x v="1"/>
    </i>
    <i r="1">
      <x v="2"/>
    </i>
    <i r="1">
      <x v="3"/>
    </i>
    <i r="1">
      <x v="4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1000000}" name="PivotTable2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dded After SS">
  <location ref="K20:L36" firstHeaderRow="1" firstDataRow="1" firstDataCol="1"/>
  <pivotFields count="9">
    <pivotField showAll="0"/>
    <pivotField showAll="0"/>
    <pivotField axis="axisRow" showAll="0">
      <items count="6">
        <item m="1" x="4"/>
        <item x="3"/>
        <item x="1"/>
        <item x="2"/>
        <item x="0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1"/>
        <item x="0"/>
        <item h="1" m="1" x="2"/>
        <item t="default"/>
      </items>
    </pivotField>
    <pivotField axis="axisRow" showAll="0">
      <items count="3">
        <item x="1"/>
        <item x="0"/>
        <item t="default"/>
      </items>
    </pivotField>
    <pivotField showAll="0"/>
  </pivotFields>
  <rowFields count="3">
    <field x="7"/>
    <field x="6"/>
    <field x="2"/>
  </rowFields>
  <rowItems count="16">
    <i>
      <x/>
    </i>
    <i r="1">
      <x/>
    </i>
    <i r="2">
      <x v="1"/>
    </i>
    <i r="2">
      <x v="2"/>
    </i>
    <i r="2">
      <x v="3"/>
    </i>
    <i r="2">
      <x v="4"/>
    </i>
    <i r="1">
      <x v="1"/>
    </i>
    <i r="2">
      <x v="2"/>
    </i>
    <i r="2">
      <x v="3"/>
    </i>
    <i r="2">
      <x v="4"/>
    </i>
    <i>
      <x v="1"/>
    </i>
    <i r="1">
      <x/>
    </i>
    <i r="2">
      <x v="4"/>
    </i>
    <i r="1">
      <x v="1"/>
    </i>
    <i r="2">
      <x v="4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1000000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dded After SS">
  <location ref="L20:M35" firstHeaderRow="1" firstDataRow="1" firstDataCol="1"/>
  <pivotFields count="10">
    <pivotField showAll="0"/>
    <pivotField showAll="0"/>
    <pivotField axis="axisRow" showAll="0">
      <items count="6">
        <item m="1" x="3"/>
        <item x="0"/>
        <item m="1" x="4"/>
        <item x="1"/>
        <item x="2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1"/>
        <item x="0"/>
        <item h="1" m="1" x="2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showAll="0"/>
  </pivotFields>
  <rowFields count="3">
    <field x="7"/>
    <field x="6"/>
    <field x="2"/>
  </rowFields>
  <rowItems count="15">
    <i>
      <x/>
    </i>
    <i r="1">
      <x/>
    </i>
    <i r="2">
      <x v="1"/>
    </i>
    <i r="2">
      <x v="3"/>
    </i>
    <i r="1">
      <x v="1"/>
    </i>
    <i r="2">
      <x v="1"/>
    </i>
    <i r="2">
      <x v="3"/>
    </i>
    <i r="2">
      <x v="4"/>
    </i>
    <i>
      <x v="1"/>
    </i>
    <i r="1">
      <x/>
    </i>
    <i r="2">
      <x v="3"/>
    </i>
    <i r="1">
      <x v="1"/>
    </i>
    <i r="2">
      <x v="3"/>
    </i>
    <i r="2">
      <x v="4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ll">
  <location ref="L7:M15" firstHeaderRow="1" firstDataRow="1" firstDataCol="1"/>
  <pivotFields count="10">
    <pivotField showAll="0"/>
    <pivotField showAll="0"/>
    <pivotField axis="axisRow" showAll="0">
      <items count="6">
        <item m="1" x="3"/>
        <item x="0"/>
        <item m="1" x="4"/>
        <item x="1"/>
        <item x="2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1"/>
        <item x="0"/>
        <item h="1" m="1" x="2"/>
        <item t="default"/>
      </items>
    </pivotField>
    <pivotField showAll="0" defaultSubtotal="0"/>
    <pivotField showAll="0"/>
    <pivotField showAll="0"/>
  </pivotFields>
  <rowFields count="2">
    <field x="6"/>
    <field x="2"/>
  </rowFields>
  <rowItems count="8">
    <i>
      <x/>
    </i>
    <i r="1">
      <x v="1"/>
    </i>
    <i r="1">
      <x v="3"/>
    </i>
    <i>
      <x v="1"/>
    </i>
    <i r="1">
      <x v="1"/>
    </i>
    <i r="1">
      <x v="3"/>
    </i>
    <i r="1">
      <x v="4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2000000}" name="PivotTable5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O32:P41" firstHeaderRow="1" firstDataRow="1" firstDataCol="1" rowPageCount="1" colPageCount="1"/>
  <pivotFields count="10">
    <pivotField showAll="0"/>
    <pivotField subtotalTop="0" showAll="0"/>
    <pivotField subtotalTop="0" showAll="0"/>
    <pivotField subtotalTop="0" showAll="0"/>
    <pivotField dataField="1" subtotalTop="0" showAll="0"/>
    <pivotField subtotalTop="0" showAll="0"/>
    <pivotField axis="axisRow" subtotalTop="0" showAll="0">
      <items count="4">
        <item h="1" m="1" x="2"/>
        <item x="1"/>
        <item x="0"/>
        <item t="default"/>
      </items>
    </pivotField>
    <pivotField axis="axisRow" subtotalTop="0" showAll="0">
      <items count="3">
        <item x="0"/>
        <item x="1"/>
        <item t="default"/>
      </items>
    </pivotField>
    <pivotField axis="axisPage" subtotalTop="0" showAll="0">
      <items count="3">
        <item x="0"/>
        <item x="1"/>
        <item t="default"/>
      </items>
    </pivotField>
    <pivotField subtotalTop="0" showAll="0"/>
  </pivotFields>
  <rowFields count="2">
    <field x="6"/>
    <field x="7"/>
  </rowFields>
  <rowItems count="9">
    <i>
      <x v="1"/>
    </i>
    <i r="1">
      <x/>
    </i>
    <i r="1">
      <x v="1"/>
    </i>
    <i t="default">
      <x v="1"/>
    </i>
    <i>
      <x v="2"/>
    </i>
    <i r="1">
      <x/>
    </i>
    <i r="1">
      <x v="1"/>
    </i>
    <i t="default">
      <x v="2"/>
    </i>
    <i t="grand">
      <x/>
    </i>
  </rowItems>
  <colItems count="1">
    <i/>
  </colItems>
  <pageFields count="1">
    <pageField fld="8" item="1" hier="-1"/>
  </pageFields>
  <dataFields count="1">
    <dataField name="Sum of Story Points" fld="4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1000000}" name="PivotTable2" cacheId="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By Added">
  <location ref="L18:M31" firstHeaderRow="1" firstDataRow="1" firstDataCol="1"/>
  <pivotFields count="10">
    <pivotField showAll="0"/>
    <pivotField showAll="0"/>
    <pivotField axis="axisRow" showAll="0">
      <items count="36">
        <item m="1" x="2"/>
        <item m="1" x="19"/>
        <item m="1" x="6"/>
        <item m="1" x="7"/>
        <item m="1" x="17"/>
        <item m="1" x="34"/>
        <item m="1" x="28"/>
        <item m="1" x="9"/>
        <item m="1" x="22"/>
        <item m="1" x="29"/>
        <item m="1" x="21"/>
        <item m="1" x="24"/>
        <item m="1" x="20"/>
        <item m="1" x="33"/>
        <item m="1" x="31"/>
        <item m="1" x="23"/>
        <item m="1" x="27"/>
        <item m="1" x="32"/>
        <item m="1" x="5"/>
        <item m="1" x="4"/>
        <item m="1" x="14"/>
        <item m="1" x="3"/>
        <item m="1" x="12"/>
        <item m="1" x="18"/>
        <item m="1" x="11"/>
        <item m="1" x="25"/>
        <item m="1" x="15"/>
        <item m="1" x="10"/>
        <item m="1" x="30"/>
        <item m="1" x="16"/>
        <item m="1" x="26"/>
        <item m="1" x="13"/>
        <item x="1"/>
        <item m="1" x="8"/>
        <item x="0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0"/>
        <item x="1"/>
        <item h="1" m="1" x="2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showAll="0"/>
  </pivotFields>
  <rowFields count="3">
    <field x="7"/>
    <field x="6"/>
    <field x="2"/>
  </rowFields>
  <rowItems count="13">
    <i>
      <x/>
    </i>
    <i r="1">
      <x/>
    </i>
    <i r="2">
      <x v="32"/>
    </i>
    <i r="2">
      <x v="34"/>
    </i>
    <i r="1">
      <x v="1"/>
    </i>
    <i r="2">
      <x v="32"/>
    </i>
    <i r="2">
      <x v="34"/>
    </i>
    <i>
      <x v="1"/>
    </i>
    <i r="1">
      <x/>
    </i>
    <i r="2">
      <x v="34"/>
    </i>
    <i r="1">
      <x v="1"/>
    </i>
    <i r="2">
      <x v="34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2000000}" name="PivotTable5" cacheId="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L38:M47" firstHeaderRow="1" firstDataRow="1" firstDataCol="1" rowPageCount="1" colPageCount="1"/>
  <pivotFields count="10">
    <pivotField showAll="0"/>
    <pivotField subtotalTop="0" showAll="0"/>
    <pivotField subtotalTop="0" showAll="0"/>
    <pivotField subtotalTop="0" showAll="0"/>
    <pivotField dataField="1" subtotalTop="0" showAll="0"/>
    <pivotField subtotalTop="0" showAll="0"/>
    <pivotField axis="axisRow" subtotalTop="0" showAll="0">
      <items count="4">
        <item h="1" m="1" x="2"/>
        <item x="0"/>
        <item x="1"/>
        <item t="default"/>
      </items>
    </pivotField>
    <pivotField axis="axisRow" subtotalTop="0" showAll="0">
      <items count="3">
        <item x="0"/>
        <item x="1"/>
        <item t="default"/>
      </items>
    </pivotField>
    <pivotField axis="axisPage" subtotalTop="0" showAll="0">
      <items count="3">
        <item x="1"/>
        <item x="0"/>
        <item t="default"/>
      </items>
    </pivotField>
    <pivotField subtotalTop="0" showAll="0"/>
  </pivotFields>
  <rowFields count="2">
    <field x="6"/>
    <field x="7"/>
  </rowFields>
  <rowItems count="9">
    <i>
      <x v="1"/>
    </i>
    <i r="1">
      <x/>
    </i>
    <i r="1">
      <x v="1"/>
    </i>
    <i t="default">
      <x v="1"/>
    </i>
    <i>
      <x v="2"/>
    </i>
    <i r="1">
      <x/>
    </i>
    <i r="1">
      <x v="1"/>
    </i>
    <i t="default">
      <x v="2"/>
    </i>
    <i t="grand">
      <x/>
    </i>
  </rowItems>
  <colItems count="1">
    <i/>
  </colItems>
  <pageFields count="1">
    <pageField fld="8" item="1" hier="-1"/>
  </pageFields>
  <dataFields count="1">
    <dataField name="Sum of Story Points" fld="4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PivotTable1" cacheId="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ll">
  <location ref="L7:M14" firstHeaderRow="1" firstDataRow="1" firstDataCol="1"/>
  <pivotFields count="10">
    <pivotField showAll="0"/>
    <pivotField showAll="0"/>
    <pivotField axis="axisRow" showAll="0">
      <items count="36">
        <item m="1" x="2"/>
        <item m="1" x="19"/>
        <item m="1" x="6"/>
        <item m="1" x="7"/>
        <item m="1" x="17"/>
        <item m="1" x="34"/>
        <item m="1" x="28"/>
        <item m="1" x="9"/>
        <item m="1" x="22"/>
        <item m="1" x="29"/>
        <item m="1" x="21"/>
        <item m="1" x="24"/>
        <item m="1" x="20"/>
        <item m="1" x="33"/>
        <item m="1" x="31"/>
        <item m="1" x="23"/>
        <item m="1" x="27"/>
        <item m="1" x="32"/>
        <item m="1" x="5"/>
        <item m="1" x="4"/>
        <item m="1" x="14"/>
        <item m="1" x="3"/>
        <item m="1" x="12"/>
        <item m="1" x="18"/>
        <item m="1" x="11"/>
        <item m="1" x="25"/>
        <item m="1" x="15"/>
        <item m="1" x="10"/>
        <item m="1" x="30"/>
        <item m="1" x="16"/>
        <item m="1" x="26"/>
        <item m="1" x="13"/>
        <item x="1"/>
        <item m="1" x="8"/>
        <item x="0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0"/>
        <item x="1"/>
        <item h="1" m="1" x="2"/>
        <item t="default"/>
      </items>
    </pivotField>
    <pivotField showAll="0" defaultSubtotal="0"/>
    <pivotField showAll="0"/>
    <pivotField showAll="0"/>
  </pivotFields>
  <rowFields count="2">
    <field x="6"/>
    <field x="2"/>
  </rowFields>
  <rowItems count="7">
    <i>
      <x/>
    </i>
    <i r="1">
      <x v="32"/>
    </i>
    <i r="1">
      <x v="34"/>
    </i>
    <i>
      <x v="1"/>
    </i>
    <i r="1">
      <x v="32"/>
    </i>
    <i r="1">
      <x v="34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1000000}" name="PivotTable2" cacheId="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By Added">
  <location ref="L18:M31" firstHeaderRow="1" firstDataRow="1" firstDataCol="1"/>
  <pivotFields count="10">
    <pivotField showAll="0"/>
    <pivotField showAll="0"/>
    <pivotField axis="axisRow" showAll="0">
      <items count="6">
        <item x="1"/>
        <item x="0"/>
        <item x="2"/>
        <item h="1" m="1" x="3"/>
        <item m="1" x="4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0"/>
        <item x="1"/>
        <item m="1" x="2"/>
        <item t="default"/>
      </items>
    </pivotField>
    <pivotField axis="axisRow" showAll="0">
      <items count="4">
        <item m="1" x="2"/>
        <item x="1"/>
        <item x="0"/>
        <item t="default"/>
      </items>
    </pivotField>
    <pivotField showAll="0"/>
    <pivotField showAll="0"/>
  </pivotFields>
  <rowFields count="3">
    <field x="7"/>
    <field x="6"/>
    <field x="2"/>
  </rowFields>
  <rowItems count="13">
    <i>
      <x v="1"/>
    </i>
    <i r="1">
      <x/>
    </i>
    <i r="2">
      <x/>
    </i>
    <i r="1">
      <x v="1"/>
    </i>
    <i r="2">
      <x/>
    </i>
    <i>
      <x v="2"/>
    </i>
    <i r="1">
      <x/>
    </i>
    <i r="2">
      <x/>
    </i>
    <i r="2">
      <x v="1"/>
    </i>
    <i r="1">
      <x v="1"/>
    </i>
    <i r="2">
      <x/>
    </i>
    <i r="2">
      <x v="2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0000000}" name="PivotTable1" cacheId="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ll">
  <location ref="L7:M14" firstHeaderRow="1" firstDataRow="1" firstDataCol="1"/>
  <pivotFields count="10">
    <pivotField showAll="0"/>
    <pivotField showAll="0"/>
    <pivotField axis="axisRow" showAll="0">
      <items count="6">
        <item x="1"/>
        <item x="0"/>
        <item x="2"/>
        <item m="1" x="3"/>
        <item m="1" x="4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0"/>
        <item x="1"/>
        <item h="1" m="1" x="2"/>
        <item t="default"/>
      </items>
    </pivotField>
    <pivotField showAll="0" defaultSubtotal="0"/>
    <pivotField showAll="0"/>
    <pivotField showAll="0"/>
  </pivotFields>
  <rowFields count="2">
    <field x="6"/>
    <field x="2"/>
  </rowFields>
  <rowItems count="7">
    <i>
      <x/>
    </i>
    <i r="1">
      <x/>
    </i>
    <i r="1">
      <x v="1"/>
    </i>
    <i>
      <x v="1"/>
    </i>
    <i r="1">
      <x/>
    </i>
    <i r="1">
      <x v="2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2000000}" name="PivotTable5" cacheId="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L38:M47" firstHeaderRow="1" firstDataRow="1" firstDataCol="1" rowPageCount="1" colPageCount="1"/>
  <pivotFields count="10">
    <pivotField showAll="0"/>
    <pivotField subtotalTop="0" showAll="0"/>
    <pivotField subtotalTop="0" showAll="0"/>
    <pivotField subtotalTop="0" showAll="0"/>
    <pivotField dataField="1" subtotalTop="0" showAll="0"/>
    <pivotField subtotalTop="0" showAll="0"/>
    <pivotField axis="axisRow" subtotalTop="0" showAll="0">
      <items count="4">
        <item m="1" x="2"/>
        <item x="0"/>
        <item x="1"/>
        <item t="default"/>
      </items>
    </pivotField>
    <pivotField axis="axisRow" subtotalTop="0" showAll="0">
      <items count="4">
        <item m="1" x="2"/>
        <item x="1"/>
        <item x="0"/>
        <item t="default"/>
      </items>
    </pivotField>
    <pivotField axis="axisPage" subtotalTop="0" showAll="0">
      <items count="4">
        <item x="0"/>
        <item x="1"/>
        <item m="1" x="2"/>
        <item t="default"/>
      </items>
    </pivotField>
    <pivotField subtotalTop="0" showAll="0"/>
  </pivotFields>
  <rowFields count="2">
    <field x="6"/>
    <field x="7"/>
  </rowFields>
  <rowItems count="9">
    <i>
      <x v="1"/>
    </i>
    <i r="1">
      <x v="1"/>
    </i>
    <i r="1">
      <x v="2"/>
    </i>
    <i t="default">
      <x v="1"/>
    </i>
    <i>
      <x v="2"/>
    </i>
    <i r="1">
      <x v="1"/>
    </i>
    <i r="1">
      <x v="2"/>
    </i>
    <i t="default">
      <x v="2"/>
    </i>
    <i t="grand">
      <x/>
    </i>
  </rowItems>
  <colItems count="1">
    <i/>
  </colItems>
  <pageFields count="1">
    <pageField fld="8" item="1" hier="-1"/>
  </pageFields>
  <dataFields count="1">
    <dataField name="Sum of Story Points" fld="4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1000000}" name="PivotTable2" cacheId="1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By Added">
  <location ref="K22:L35" firstHeaderRow="1" firstDataRow="1" firstDataCol="1"/>
  <pivotFields count="9">
    <pivotField showAll="0"/>
    <pivotField axis="axisRow" showAll="0">
      <items count="3">
        <item x="0"/>
        <item x="1"/>
        <item t="default"/>
      </items>
    </pivotField>
    <pivotField showAll="0"/>
    <pivotField name="Story Points2" dataField="1" showAll="0" defaultSubtotal="0"/>
    <pivotField showAll="0"/>
    <pivotField axis="axisRow" showAll="0">
      <items count="3">
        <item x="0"/>
        <item x="1"/>
        <item t="default"/>
      </items>
    </pivotField>
    <pivotField axis="axisRow" showAll="0">
      <items count="3">
        <item x="1"/>
        <item x="0"/>
        <item t="default"/>
      </items>
    </pivotField>
    <pivotField showAll="0"/>
    <pivotField showAll="0"/>
  </pivotFields>
  <rowFields count="3">
    <field x="6"/>
    <field x="5"/>
    <field x="1"/>
  </rowFields>
  <rowItems count="13">
    <i>
      <x/>
    </i>
    <i r="1">
      <x/>
    </i>
    <i r="2">
      <x/>
    </i>
    <i r="1">
      <x v="1"/>
    </i>
    <i r="2">
      <x/>
    </i>
    <i>
      <x v="1"/>
    </i>
    <i r="1">
      <x/>
    </i>
    <i r="2">
      <x/>
    </i>
    <i r="2">
      <x v="1"/>
    </i>
    <i r="1">
      <x v="1"/>
    </i>
    <i r="2">
      <x/>
    </i>
    <i r="2">
      <x v="1"/>
    </i>
    <i t="grand">
      <x/>
    </i>
  </rowItems>
  <colItems count="1">
    <i/>
  </colItems>
  <dataFields count="1">
    <dataField name="TTL SP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2000000}" name="PivotTable5" cacheId="1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K42:L51" firstHeaderRow="1" firstDataRow="1" firstDataCol="1" rowPageCount="1" colPageCount="1"/>
  <pivotFields count="9">
    <pivotField subtotalTop="0" showAll="0"/>
    <pivotField subtotalTop="0" showAll="0"/>
    <pivotField subtotalTop="0" showAll="0"/>
    <pivotField dataField="1" subtotalTop="0" showAll="0"/>
    <pivotField subtotalTop="0" showAll="0"/>
    <pivotField axis="axisRow" subtotalTop="0" showAll="0">
      <items count="3">
        <item x="0"/>
        <item x="1"/>
        <item t="default"/>
      </items>
    </pivotField>
    <pivotField axis="axisRow" subtotalTop="0" showAll="0">
      <items count="3">
        <item x="1"/>
        <item x="0"/>
        <item t="default"/>
      </items>
    </pivotField>
    <pivotField axis="axisPage" subtotalTop="0" showAll="0">
      <items count="3">
        <item x="0"/>
        <item x="1"/>
        <item t="default"/>
      </items>
    </pivotField>
    <pivotField subtotalTop="0" showAll="0"/>
  </pivotFields>
  <rowFields count="2">
    <field x="5"/>
    <field x="6"/>
  </rowFields>
  <rowItems count="9">
    <i>
      <x/>
    </i>
    <i r="1">
      <x/>
    </i>
    <i r="1">
      <x v="1"/>
    </i>
    <i t="default">
      <x/>
    </i>
    <i>
      <x v="1"/>
    </i>
    <i r="1">
      <x/>
    </i>
    <i r="1">
      <x v="1"/>
    </i>
    <i t="default">
      <x v="1"/>
    </i>
    <i t="grand">
      <x/>
    </i>
  </rowItems>
  <colItems count="1">
    <i/>
  </colItems>
  <pageFields count="1">
    <pageField fld="7" item="0" hier="-1"/>
  </pageFields>
  <dataFields count="1">
    <dataField name="Sum of Story Points" fld="3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0000000}" name="PivotTable1" cacheId="1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ll">
  <location ref="K11:L18" firstHeaderRow="1" firstDataRow="1" firstDataCol="1"/>
  <pivotFields count="9">
    <pivotField showAll="0"/>
    <pivotField axis="axisRow" showAll="0">
      <items count="3">
        <item x="0"/>
        <item x="1"/>
        <item t="default"/>
      </items>
    </pivotField>
    <pivotField showAll="0"/>
    <pivotField name="Story Points2" dataField="1" showAll="0" defaultSubtotal="0"/>
    <pivotField showAll="0"/>
    <pivotField axis="axisRow" showAll="0">
      <items count="3">
        <item x="0"/>
        <item x="1"/>
        <item t="default"/>
      </items>
    </pivotField>
    <pivotField showAll="0" defaultSubtotal="0"/>
    <pivotField showAll="0"/>
    <pivotField showAll="0"/>
  </pivotFields>
  <rowFields count="2">
    <field x="5"/>
    <field x="1"/>
  </rowFields>
  <rowItems count="7">
    <i>
      <x/>
    </i>
    <i r="1">
      <x/>
    </i>
    <i r="1">
      <x v="1"/>
    </i>
    <i>
      <x v="1"/>
    </i>
    <i r="1">
      <x/>
    </i>
    <i r="1">
      <x v="1"/>
    </i>
    <i t="grand">
      <x/>
    </i>
  </rowItems>
  <colItems count="1">
    <i/>
  </colItems>
  <dataFields count="1">
    <dataField name="TTL SP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VelocityTable" displayName="VelocityTable" ref="F3:AC6" totalsRowShown="0" headerRowDxfId="968" dataDxfId="966" headerRowBorderDxfId="967" tableBorderDxfId="965">
  <autoFilter ref="F3:AC6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</autoFilter>
  <tableColumns count="24">
    <tableColumn id="1" xr3:uid="{00000000-0010-0000-0000-000001000000}" name="10/23/17" dataDxfId="964"/>
    <tableColumn id="2" xr3:uid="{00000000-0010-0000-0000-000002000000}" name="11/6/17" dataDxfId="963"/>
    <tableColumn id="6" xr3:uid="{00000000-0010-0000-0000-000006000000}" name="11/20/17" dataDxfId="962">
      <calculatedColumnFormula>SUM(H5:H6)</calculatedColumnFormula>
    </tableColumn>
    <tableColumn id="3" xr3:uid="{00000000-0010-0000-0000-000003000000}" name="12/4/17" dataDxfId="961">
      <calculatedColumnFormula>SUM(I5:I6)</calculatedColumnFormula>
    </tableColumn>
    <tableColumn id="4" xr3:uid="{00000000-0010-0000-0000-000004000000}" name="12/18/17" dataDxfId="960">
      <calculatedColumnFormula>SUM(J5:J6)</calculatedColumnFormula>
    </tableColumn>
    <tableColumn id="5" xr3:uid="{00000000-0010-0000-0000-000005000000}" name="1/1/18" dataDxfId="959">
      <calculatedColumnFormula>SUM(K5:K6)</calculatedColumnFormula>
    </tableColumn>
    <tableColumn id="7" xr3:uid="{00000000-0010-0000-0000-000007000000}" name="1/15/18" dataDxfId="958">
      <calculatedColumnFormula>SUM(L5:L6)</calculatedColumnFormula>
    </tableColumn>
    <tableColumn id="8" xr3:uid="{00000000-0010-0000-0000-000008000000}" name="1/29/18" dataDxfId="957"/>
    <tableColumn id="9" xr3:uid="{00000000-0010-0000-0000-000009000000}" name="2/12/18" dataDxfId="956"/>
    <tableColumn id="10" xr3:uid="{00000000-0010-0000-0000-00000A000000}" name="2/26/18" dataDxfId="955"/>
    <tableColumn id="11" xr3:uid="{00000000-0010-0000-0000-00000B000000}" name="3/13/18" dataDxfId="954"/>
    <tableColumn id="12" xr3:uid="{00000000-0010-0000-0000-00000C000000}" name="3/27/18" dataDxfId="953"/>
    <tableColumn id="13" xr3:uid="{00000000-0010-0000-0000-00000D000000}" name="4/10/18" dataDxfId="952"/>
    <tableColumn id="14" xr3:uid="{00000000-0010-0000-0000-00000E000000}" name="4/24/18" dataDxfId="951"/>
    <tableColumn id="15" xr3:uid="{00000000-0010-0000-0000-00000F000000}" name="5/8/18" dataDxfId="950"/>
    <tableColumn id="16" xr3:uid="{00000000-0010-0000-0000-000010000000}" name="5/22/18" dataDxfId="949"/>
    <tableColumn id="17" xr3:uid="{00000000-0010-0000-0000-000011000000}" name="6/5/18" dataDxfId="948"/>
    <tableColumn id="18" xr3:uid="{00000000-0010-0000-0000-000012000000}" name="6/19/18" dataDxfId="947"/>
    <tableColumn id="19" xr3:uid="{00000000-0010-0000-0000-000013000000}" name="7/3/18" dataDxfId="946"/>
    <tableColumn id="20" xr3:uid="{F5201A47-F900-4F31-8071-FCB73D69DE7F}" name="7/17/18" dataDxfId="945"/>
    <tableColumn id="21" xr3:uid="{727C8E24-C4AB-40DA-B24D-765339459BD3}" name="7/31/18" dataDxfId="944"/>
    <tableColumn id="25" xr3:uid="{FC5BC116-9086-470E-B49D-0AFB61B48CA7}" name="8/14/18" dataDxfId="943"/>
    <tableColumn id="27" xr3:uid="{CC5980EC-FD1E-463A-8341-8BDA80F2D7C7}" name="8/28/18" dataDxfId="942"/>
    <tableColumn id="22" xr3:uid="{96BCD977-3BA9-4BEA-86BD-261778257545}" name="9/11/18" dataDxfId="941"/>
  </tableColumns>
  <tableStyleInfo name="TableStyleMedium16 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CV_VelocityTable" displayName="CV_VelocityTable" ref="F3:AA6" totalsRowShown="0" headerRowDxfId="922" dataDxfId="920" headerRowBorderDxfId="921" tableBorderDxfId="919">
  <autoFilter ref="F3:AA6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2">
    <tableColumn id="1" xr3:uid="{00000000-0010-0000-0100-000001000000}" name="11/20/17" dataDxfId="918"/>
    <tableColumn id="2" xr3:uid="{00000000-0010-0000-0100-000002000000}" name="12/4/17" dataDxfId="917"/>
    <tableColumn id="6" xr3:uid="{00000000-0010-0000-0100-000006000000}" name="12/18/17" dataDxfId="916">
      <calculatedColumnFormula>SUM(H5:H6)</calculatedColumnFormula>
    </tableColumn>
    <tableColumn id="3" xr3:uid="{00000000-0010-0000-0100-000003000000}" name="1/1/18" dataDxfId="915">
      <calculatedColumnFormula>SUM(I5:I6)</calculatedColumnFormula>
    </tableColumn>
    <tableColumn id="4" xr3:uid="{00000000-0010-0000-0100-000004000000}" name="1/15/18" dataDxfId="914">
      <calculatedColumnFormula>SUM(J5:J6)</calculatedColumnFormula>
    </tableColumn>
    <tableColumn id="5" xr3:uid="{00000000-0010-0000-0100-000005000000}" name="1/29/18" dataDxfId="913">
      <calculatedColumnFormula>SUM(K5:K6)</calculatedColumnFormula>
    </tableColumn>
    <tableColumn id="7" xr3:uid="{00000000-0010-0000-0100-000007000000}" name="2/12/18" dataDxfId="912"/>
    <tableColumn id="8" xr3:uid="{00000000-0010-0000-0100-000008000000}" name="2/26/18" dataDxfId="911"/>
    <tableColumn id="9" xr3:uid="{00000000-0010-0000-0100-000009000000}" name="3/13/18" dataDxfId="910"/>
    <tableColumn id="11" xr3:uid="{00000000-0010-0000-0100-00000B000000}" name="3/27/18" dataDxfId="909"/>
    <tableColumn id="10" xr3:uid="{00000000-0010-0000-0100-00000A000000}" name="4/10/18" dataDxfId="908"/>
    <tableColumn id="12" xr3:uid="{00000000-0010-0000-0100-00000C000000}" name="4/24/18" dataDxfId="907"/>
    <tableColumn id="13" xr3:uid="{00000000-0010-0000-0100-00000D000000}" name="5/8/18" dataDxfId="906"/>
    <tableColumn id="14" xr3:uid="{00000000-0010-0000-0100-00000E000000}" name="5/22/18" dataDxfId="905"/>
    <tableColumn id="15" xr3:uid="{00000000-0010-0000-0100-00000F000000}" name="6/5/18" dataDxfId="904"/>
    <tableColumn id="16" xr3:uid="{00000000-0010-0000-0100-000010000000}" name="6/19/18" dataDxfId="903"/>
    <tableColumn id="17" xr3:uid="{00000000-0010-0000-0100-000011000000}" name="7/3/18" dataDxfId="902"/>
    <tableColumn id="18" xr3:uid="{0B00128E-A78E-413D-90D7-0DB56A5E9CEC}" name="7/17/18" dataDxfId="901"/>
    <tableColumn id="19" xr3:uid="{F2B4F7CB-2024-443F-A06A-BC05EE278A17}" name="7/31/18" dataDxfId="900"/>
    <tableColumn id="23" xr3:uid="{6263554C-7808-4A98-AF24-77A415FB8038}" name="8/14/18" dataDxfId="899"/>
    <tableColumn id="24" xr3:uid="{D3D93E3F-8B9B-4E9A-B244-867D6B113642}" name="8/28/18" dataDxfId="898"/>
    <tableColumn id="20" xr3:uid="{7438A527-E2BE-4533-B2B7-0F0ADBF9BC4D}" name="9/11/18" dataDxfId="897"/>
  </tableColumns>
  <tableStyleInfo name="TableStyleMedium16 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9" xr:uid="{78786B49-9BBF-4CBB-85B1-4302832B0765}" name="Sprint09112018130" displayName="Sprint09112018130" ref="A1:I53" totalsRowShown="0" dataDxfId="38">
  <autoFilter ref="A1:I53" xr:uid="{00000000-0009-0000-0100-00005E000000}"/>
  <sortState ref="A2:I53">
    <sortCondition ref="B1:B53"/>
  </sortState>
  <tableColumns count="9">
    <tableColumn id="10" xr3:uid="{B329C701-14C3-4AC6-BB92-7D9F99756C3E}" name="ID" dataDxfId="37"/>
    <tableColumn id="1" xr3:uid="{5572DDA5-DAB9-44A0-AB1D-6F73C20DF6CF}" name="Issue key" dataDxfId="36"/>
    <tableColumn id="3" xr3:uid="{EBE93EF4-8124-458E-96CE-E0B361131B96}" name="Status" dataDxfId="35"/>
    <tableColumn id="4" xr3:uid="{40A7EE32-B645-4A8F-A5A7-167914F8D96B}" name="Summary" dataDxfId="34"/>
    <tableColumn id="6" xr3:uid="{536A1C8C-75B5-419D-B062-81C70340C79E}" name="Assignee" dataDxfId="33"/>
    <tableColumn id="5" xr3:uid="{6CB6DA33-2BCB-46F5-AA89-28336EF2D107}" name="Story Points" dataDxfId="32"/>
    <tableColumn id="7" xr3:uid="{29E4CDBA-8E3E-44B9-A694-D40430B9E6E2}" name="Project" dataDxfId="31">
      <calculatedColumnFormula>MID(B2,4,1)</calculatedColumnFormula>
    </tableColumn>
    <tableColumn id="8" xr3:uid="{74D4649F-B966-4B2B-9D5D-EA2499AF79CB}" name="Added After" dataDxfId="30"/>
    <tableColumn id="9" xr3:uid="{06C844E4-F258-4C65-9B8F-7751E7E0DA3C}" name="Prj Cmpt" dataDxfId="29" dataCellStyle="Normal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0" xr:uid="{A4B1A8EF-307D-44CE-BC11-02EEF6A1CD25}" name="Table2192633405447616875828996103110117124131" displayName="Table2192633405447616875828996103110117124131" ref="N11:R13" totalsRowShown="0">
  <autoFilter ref="N11:R13" xr:uid="{00000000-0009-0000-0100-00005F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B1F7FB73-4F48-4884-9F37-85CE9F527663}" name="Team"/>
    <tableColumn id="2" xr3:uid="{95ADA2ED-B133-4610-B5D4-3269DEDA4D4E}" name="Commit"/>
    <tableColumn id="3" xr3:uid="{44A9C815-EC6B-42E6-8694-F1A88E640C0A}" name="Added">
      <calculatedColumnFormula>IFERROR(AC10,0)</calculatedColumnFormula>
    </tableColumn>
    <tableColumn id="5" xr3:uid="{A620924A-D76E-4C8C-B117-938D8D02AADD}" name="Blocked" dataDxfId="28">
      <calculatedColumnFormula>IFERROR(AD10,0)</calculatedColumnFormula>
    </tableColumn>
    <tableColumn id="4" xr3:uid="{E8E488F6-24DD-4558-BEBC-437A0CFF0D70}" name="Total Story Points" dataDxfId="27">
      <calculatedColumnFormula>+IF(ISERR(P12),0,P12)+IF(ISERR(O12),0,O12)</calculatedColumnFormula>
    </tableColumn>
  </tableColumns>
  <tableStyleInfo name="TableStyleMedium3" showFirstColumn="1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1" xr:uid="{6C68CE95-BD49-4D53-9030-3F1AF1F94C76}" name="Table3202734415548626976839097104111118125132" displayName="Table3202734415548626976839097104111118125132" ref="N15:R17" totalsRowShown="0">
  <autoFilter ref="N15:R17" xr:uid="{00000000-0009-0000-0100-000060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7A2B4E1E-87A1-4686-8F7A-7A612B8F2ED2}" name="Done"/>
    <tableColumn id="2" xr3:uid="{C13287C1-81FA-4CBD-92B5-DBA318DB91B3}" name="Committed Done">
      <calculatedColumnFormula>IFERROR(AC14,0)</calculatedColumnFormula>
    </tableColumn>
    <tableColumn id="3" xr3:uid="{8FE6ED7C-8669-453E-ACC4-5B9B32F301AD}" name="Added Done">
      <calculatedColumnFormula>IFERROR(AD14,0)</calculatedColumnFormula>
    </tableColumn>
    <tableColumn id="5" xr3:uid="{F4FA3C54-4C00-4BD7-946F-4DEDF76BCE9C}" name=" "/>
    <tableColumn id="4" xr3:uid="{C81289CF-069D-4AFE-9D89-44EDD90DF638}" name="Total Done" dataDxfId="26">
      <calculatedColumnFormula>+IF(ISERR(P16),0,P16)+IF(ISERR(O16),0,O16)</calculatedColumnFormula>
    </tableColumn>
  </tableColumns>
  <tableStyleInfo name="TableStyleMedium6" showFirstColumn="1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2" xr:uid="{AD708514-DDBB-41C5-B498-EF49B6171432}" name="Table4212835425649637077849198105112119126133" displayName="Table4212835425649637077849198105112119126133" ref="N19:R21" totalsRowShown="0" dataDxfId="25" dataCellStyle="Percent">
  <autoFilter ref="N19:R21" xr:uid="{00000000-0009-0000-0100-000061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E6444845-8CF9-4889-9469-384C1DCC9314}" name="Done"/>
    <tableColumn id="2" xr3:uid="{619158BE-7E9F-4265-95EC-070586B358A0}" name="Total Done / Committed" dataDxfId="24" dataCellStyle="Percent">
      <calculatedColumnFormula>+R16/O12</calculatedColumnFormula>
    </tableColumn>
    <tableColumn id="3" xr3:uid="{4B4CD567-A3CE-4625-AAD0-FA6A787D38C3}" name="Total Done / Overall" dataDxfId="23" dataCellStyle="Percent">
      <calculatedColumnFormula>+R16/R12</calculatedColumnFormula>
    </tableColumn>
    <tableColumn id="5" xr3:uid="{D98B9F30-EA90-4E32-8162-DD51E3501AF2}" name="Committed Done" dataDxfId="22" dataCellStyle="Percent">
      <calculatedColumnFormula>+O16/IF(ISERR(O12),1,O12)</calculatedColumnFormula>
    </tableColumn>
    <tableColumn id="4" xr3:uid="{62793153-BE7E-43A1-A36E-1DEEB34DF829}" name="Added Done" dataDxfId="21" dataCellStyle="Percent">
      <calculatedColumnFormula>+P16/IF(ISERR(AC10),1,P12)</calculatedColumnFormula>
    </tableColumn>
  </tableColumns>
  <tableStyleInfo name="TableStyleMedium6" showFirstColumn="1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3" xr:uid="{B03E52C2-30A3-4CEC-ABE8-9AF6F75907D5}" name="Table7222936435750647178859299106113120127134" displayName="Table7222936435750647178859299106113120127134" ref="N23:R25" totalsRowShown="0">
  <autoFilter ref="N23:R25" xr:uid="{00000000-0009-0000-0100-000062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ED8D2610-8D5B-4F6F-9744-9DD499FF3E4A}" name="Prjtd"/>
    <tableColumn id="2" xr3:uid="{EDF86AD8-C294-4773-9C5C-92A2CCDF7FF1}" name="Committed Done" dataDxfId="20">
      <calculatedColumnFormula>IFERROR(AC22,0)</calculatedColumnFormula>
    </tableColumn>
    <tableColumn id="3" xr3:uid="{7224D849-695C-4028-8954-CF56162DE288}" name="Added Done" dataDxfId="19">
      <calculatedColumnFormula>IFERROR(AD22,0)</calculatedColumnFormula>
    </tableColumn>
    <tableColumn id="5" xr3:uid="{89ED3591-F598-4CE1-9869-D914A6A7D361}" name="Commit Not Done" dataDxfId="18">
      <calculatedColumnFormula>+O12-Q12-Table7222936435750647178859299106113120127134[[#This Row],[Committed Done]]</calculatedColumnFormula>
    </tableColumn>
    <tableColumn id="4" xr3:uid="{7CD0133C-2B16-40F6-922E-02778A898413}" name="Prj Story Points" dataDxfId="17">
      <calculatedColumnFormula>+Table7222936435750647178859299106113120127134[[#This Row],[Committed Done]]+Table7222936435750647178859299106113120127134[[#This Row],[Added Done]]</calculatedColumnFormula>
    </tableColumn>
  </tableColumns>
  <tableStyleInfo name="TableStyleMedium2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6" xr:uid="{2422C722-70E8-4631-8446-0E33BEBC0814}" name="Table82330374458516572798693100107114121128137" displayName="Table82330374458516572798693100107114121128137" ref="N27:R29" totalsRowShown="0" dataDxfId="16" dataCellStyle="Percent">
  <autoFilter ref="N27:R29" xr:uid="{00000000-0009-0000-0100-000063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D5A459D6-A944-4457-A4EB-B4D7379CB68C}" name="Prjtd"/>
    <tableColumn id="2" xr3:uid="{55FAEF81-C921-484A-A699-F3B1C3E02236}" name="Total Done / Committed" dataDxfId="15" dataCellStyle="Percent">
      <calculatedColumnFormula>R24/IF(O12=0, 1,O12)</calculatedColumnFormula>
    </tableColumn>
    <tableColumn id="3" xr3:uid="{803A62A5-9FFD-463E-9B6A-4486DCD7F2B5}" name="Total Done / Overall" dataDxfId="14" dataCellStyle="Percent">
      <calculatedColumnFormula>R24/IF(R12=0,1,R12)</calculatedColumnFormula>
    </tableColumn>
    <tableColumn id="5" xr3:uid="{8847180C-50AB-4C0F-A10A-A4AA5BFBE446}" name="Committed Done" dataDxfId="13" dataCellStyle="Percent">
      <calculatedColumnFormula>O24/IF(O12=0,1,O12)</calculatedColumnFormula>
    </tableColumn>
    <tableColumn id="4" xr3:uid="{3E1DFFD2-E252-442F-95A4-F791F58527B9}" name="Prj Added Done" dataDxfId="12" dataCellStyle="Percent">
      <calculatedColumnFormula>+P24/IF(P12=0,1,P12)</calculatedColumnFormula>
    </tableColumn>
  </tableColumns>
  <tableStyleInfo name="TableStyleMedium2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8" xr:uid="{80DFA6B5-8713-4430-8CF0-C8A6F1EB9680}" name="Table92431384559526673808794101108115122129139" displayName="Table92431384559526673808794101108115122129139" ref="N1:W4" totalsRowShown="0">
  <autoFilter ref="N1:W4" xr:uid="{00000000-0009-0000-0100-00006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BF81EE52-C30A-4827-87CA-C51ED96D91D9}" name="Team"/>
    <tableColumn id="2" xr3:uid="{1BC4E947-D02A-455E-9B27-3B6FD5E830E2}" name="Committed" dataDxfId="11">
      <calculatedColumnFormula>+O12-Table92431384559526673808794101108115122129139[[#This Row],[Blocked]]</calculatedColumnFormula>
    </tableColumn>
    <tableColumn id="3" xr3:uid="{8114E85C-101C-4A9A-B1BF-F5B57BFF1CB3}" name="Added">
      <calculatedColumnFormula>IF(ISERR(P12),0,P12)</calculatedColumnFormula>
    </tableColumn>
    <tableColumn id="4" xr3:uid="{A2343C09-8C7B-4BC3-9EBA-6E2E89E2591B}" name="Blocked" dataDxfId="10">
      <calculatedColumnFormula>IF(ISERR(Q12),0,Q12)</calculatedColumnFormula>
    </tableColumn>
    <tableColumn id="5" xr3:uid="{DCF3D771-7776-446A-91D2-92BB123159BF}" name="Completed" dataDxfId="9">
      <calculatedColumnFormula>+IF(ISERR(R16),0,R16)</calculatedColumnFormula>
    </tableColumn>
    <tableColumn id="6" xr3:uid="{9B631221-DFC0-4AF7-9083-4A4FA625CDD5}" name="Completion V _x000a_Committed" dataDxfId="8" dataCellStyle="Percent">
      <calculatedColumnFormula>Table92431384559526673808794101108115122129139[[#This Row],[Completed]]/Table92431384559526673808794101108115122129139[[#This Row],[Committed]]</calculatedColumnFormula>
    </tableColumn>
    <tableColumn id="7" xr3:uid="{F2A904A9-C292-4604-BEEA-5984CD5911EF}" name="Overall _x000a_Completion" dataCellStyle="Percent">
      <calculatedColumnFormula>Table92431384559526673808794101108115122129139[[#This Row],[Completed]]/(Table92431384559526673808794101108115122129139[[#This Row],[Added]]+Table92431384559526673808794101108115122129139[[#This Row],[Committed]])</calculatedColumnFormula>
    </tableColumn>
    <tableColumn id="8" xr3:uid="{61F19F90-9313-49AC-9897-ABF27CEB0EFB}" name="Committed _x000a_Completed"/>
    <tableColumn id="9" xr3:uid="{A532A334-EC36-4105-96B6-E9A574F64589}" name=" x" dataDxfId="7" dataCellStyle="Percent">
      <calculatedColumnFormula>IF(ISERR(O16),0,O16) &amp; "  (" &amp;TEXT(IF(ISERR(O16),0,O16)/Table92431384559526673808794101108115122129139[[#This Row],[Committed]],"#%") &amp; ")"</calculatedColumnFormula>
    </tableColumn>
    <tableColumn id="10" xr3:uid="{9181F7CB-A159-4D8B-8A6D-3B90B85A6298}" name="Added _x000a_Completed" dataDxfId="6">
      <calculatedColumnFormula>+IF(ISERR(P16),0,P16) &amp; " (" &amp; TEXT(R20, "#%") &amp; ")"</calculatedColumnFormula>
    </tableColumn>
  </tableColumns>
  <tableStyleInfo name="TableStyleMedium16 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9" xr:uid="{B076C677-1C0A-44B0-8E7A-ACD823E3B408}" name="Table129135140" displayName="Table129135140" ref="O6:R8" totalsRowShown="0" headerRowDxfId="5" dataDxfId="4" dataCellStyle="Percent">
  <autoFilter ref="O6:R8" xr:uid="{3E3094BE-5337-43F9-94DF-B41EAB810C47}"/>
  <tableColumns count="4">
    <tableColumn id="1" xr3:uid="{FE17F0FB-F37C-4DF3-964C-A6929407419B}" name=" " dataDxfId="3"/>
    <tableColumn id="2" xr3:uid="{B88CFAE4-90BD-4ECB-8AAA-86A49827362A}" name="AIX" dataDxfId="2" dataCellStyle="Percent">
      <calculatedColumnFormula>+#REF!/(#REF!+#REF!)</calculatedColumnFormula>
    </tableColumn>
    <tableColumn id="3" xr3:uid="{32F739FE-0B8F-4C97-BD58-6FD7946529C7}" name="UNIX" dataDxfId="1" dataCellStyle="Percent">
      <calculatedColumnFormula>#REF!/#REF!</calculatedColumnFormula>
    </tableColumn>
    <tableColumn id="4" xr3:uid="{38287A61-50CE-45A5-A2CE-0396786FB8AC}" name="Combined" dataDxfId="0" dataCellStyle="Percent">
      <calculatedColumnFormula>+#REF!/#REF!</calculatedColumnFormula>
    </tableColumn>
  </tableColumns>
  <tableStyleInfo name="TableStyleMedium16 2" showFirstColumn="1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2" xr:uid="{1DA12CED-11B9-4792-B111-A9F60E48A4DB}" name="Sprint09112018" displayName="Sprint09112018" ref="A1:I53" totalsRowShown="0" dataDxfId="877">
  <autoFilter ref="A1:I53" xr:uid="{00000000-0009-0000-0100-00005E000000}">
    <filterColumn colId="7">
      <filters>
        <filter val="Y"/>
      </filters>
    </filterColumn>
  </autoFilter>
  <sortState ref="A2:I53">
    <sortCondition ref="B1:B53"/>
  </sortState>
  <tableColumns count="9">
    <tableColumn id="10" xr3:uid="{A4806A76-3B22-45FF-BD60-EECBD389B40B}" name="ID" dataDxfId="876"/>
    <tableColumn id="1" xr3:uid="{F3DF7531-A8B6-4D52-8097-B8551FD1C0C3}" name="Issue key" dataDxfId="875"/>
    <tableColumn id="3" xr3:uid="{1B797CF1-09A6-4970-BA10-DDEA25C510C3}" name="Status" dataDxfId="874"/>
    <tableColumn id="4" xr3:uid="{D4BA3F84-E9CF-41B8-87C4-A19A153A86EF}" name="Summary" dataDxfId="873"/>
    <tableColumn id="6" xr3:uid="{31791E97-9EC3-4A31-9441-B8EB20BF8D03}" name="Assignee" dataDxfId="872"/>
    <tableColumn id="5" xr3:uid="{61A0D8A4-A687-465D-B7EF-62E688476435}" name="Story Points" dataDxfId="871"/>
    <tableColumn id="7" xr3:uid="{B6828A7E-B173-44BA-BC60-475B58763C3E}" name="Project" dataDxfId="870">
      <calculatedColumnFormula>MID(B2,4,1)</calculatedColumnFormula>
    </tableColumn>
    <tableColumn id="8" xr3:uid="{CA0E8DC1-24A8-40A5-AF7A-2C938E59F5CA}" name="Added After" dataDxfId="869"/>
    <tableColumn id="9" xr3:uid="{4A2DCA2F-3EFB-4DB6-BE07-6A3E3D1B83BA}" name="Prj Cmpt" dataDxfId="868" dataCellStyle="Normal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3" xr:uid="{9D8A3948-A98C-48F3-84B8-0C4268A67CF9}" name="Table2192633405447616875828996103110117124" displayName="Table2192633405447616875828996103110117124" ref="N11:R13" totalsRowShown="0">
  <autoFilter ref="N11:R13" xr:uid="{00000000-0009-0000-0100-00005F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4FA05AFF-82E4-4C76-9160-10EC5C5C59D0}" name="Team"/>
    <tableColumn id="2" xr3:uid="{344E5E5A-31F5-4E18-AE9D-F9B4A6CB1A2E}" name="Commit"/>
    <tableColumn id="3" xr3:uid="{9248A5A4-9CE3-449F-941D-9EF9F5ADAC45}" name="Added">
      <calculatedColumnFormula>IFERROR(AC10,0)</calculatedColumnFormula>
    </tableColumn>
    <tableColumn id="5" xr3:uid="{B488DF08-6D7C-42E0-877B-99C572D03E4D}" name="Blocked" dataDxfId="867">
      <calculatedColumnFormula>IFERROR(AD10,0)</calculatedColumnFormula>
    </tableColumn>
    <tableColumn id="4" xr3:uid="{724EF7AD-E14C-43F3-834D-8C8A4AC89065}" name="Total Story Points" dataDxfId="866">
      <calculatedColumnFormula>+IF(ISERR(P12),0,P12)+IF(ISERR(O12),0,O12)</calculatedColumnFormula>
    </tableColumn>
  </tableColumns>
  <tableStyleInfo name="TableStyleMedium3" showFirstColumn="1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4" xr:uid="{01EEC432-C254-4B0B-89A3-496DCBF67950}" name="Table3202734415548626976839097104111118125" displayName="Table3202734415548626976839097104111118125" ref="N15:R17" totalsRowShown="0">
  <autoFilter ref="N15:R17" xr:uid="{00000000-0009-0000-0100-000060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DEBDBDEB-C1D2-4403-ADC3-79DD281804FD}" name="Done"/>
    <tableColumn id="2" xr3:uid="{94784F47-C99F-4361-8CC2-99A9584268FF}" name="Committed Done">
      <calculatedColumnFormula>IFERROR(AC14,0)</calculatedColumnFormula>
    </tableColumn>
    <tableColumn id="3" xr3:uid="{8D7D6E99-9749-49E9-847C-B6202562B0AC}" name="Added Done">
      <calculatedColumnFormula>IFERROR(AD14,0)</calculatedColumnFormula>
    </tableColumn>
    <tableColumn id="5" xr3:uid="{B85E8AE2-F002-465C-8AFE-7DB0DE1291D0}" name=" "/>
    <tableColumn id="4" xr3:uid="{F5E65BC4-78CC-47CE-8E92-00ED1DD985F1}" name="Total Done" dataDxfId="865">
      <calculatedColumnFormula>+IF(ISERR(P16),0,P16)+IF(ISERR(O16),0,O16)</calculatedColumnFormula>
    </tableColumn>
  </tableColumns>
  <tableStyleInfo name="TableStyleMedium6" showFirstColumn="1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5" xr:uid="{2111E290-87FF-445D-AC8C-373AF9FC9D44}" name="Table4212835425649637077849198105112119126" displayName="Table4212835425649637077849198105112119126" ref="N19:R21" totalsRowShown="0" dataDxfId="864" dataCellStyle="Percent">
  <autoFilter ref="N19:R21" xr:uid="{00000000-0009-0000-0100-000061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7FD7DF61-A649-4F6A-9BB3-132DCE09267B}" name="Done"/>
    <tableColumn id="2" xr3:uid="{8E9B7F87-3D26-4640-8584-2DF1C7DE0ABC}" name="Total Done / Committed" dataDxfId="863" dataCellStyle="Percent">
      <calculatedColumnFormula>+R16/O12</calculatedColumnFormula>
    </tableColumn>
    <tableColumn id="3" xr3:uid="{9D91A651-3638-446D-9D67-A8CCF7718CD9}" name="Total Done / Overall" dataDxfId="862" dataCellStyle="Percent">
      <calculatedColumnFormula>+R16/R12</calculatedColumnFormula>
    </tableColumn>
    <tableColumn id="5" xr3:uid="{AC421960-C326-4E4F-87D4-3D1A5E9F7968}" name="Committed Done" dataDxfId="861" dataCellStyle="Percent">
      <calculatedColumnFormula>+O16/IF(ISERR(O12),1,O12)</calculatedColumnFormula>
    </tableColumn>
    <tableColumn id="4" xr3:uid="{E491126D-258C-43A5-920D-B94BD2643921}" name="Added Done" dataDxfId="860" dataCellStyle="Percent">
      <calculatedColumnFormula>+P16/IF(ISERR(AC10),1,P12)</calculatedColumnFormula>
    </tableColumn>
  </tableColumns>
  <tableStyleInfo name="TableStyleMedium6" showFirstColumn="1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6" xr:uid="{ACC3074B-9FBC-49A3-838C-06A882F4288B}" name="Table7222936435750647178859299106113120127" displayName="Table7222936435750647178859299106113120127" ref="N23:R25" totalsRowShown="0">
  <autoFilter ref="N23:R25" xr:uid="{00000000-0009-0000-0100-000062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9A0CA5BF-96A0-4587-8F35-82344F588DA8}" name="Prjtd"/>
    <tableColumn id="2" xr3:uid="{DD9F2702-FBED-478B-B32C-3C22D221D657}" name="Committed Done" dataDxfId="859">
      <calculatedColumnFormula>IFERROR(AC22,0)</calculatedColumnFormula>
    </tableColumn>
    <tableColumn id="3" xr3:uid="{82C53CE0-68D2-47FC-B50F-D9101904B3F6}" name="Added Done" dataDxfId="858">
      <calculatedColumnFormula>IFERROR(AD22,0)</calculatedColumnFormula>
    </tableColumn>
    <tableColumn id="5" xr3:uid="{D61CA34F-AC5E-4015-8A1F-883A40E309C9}" name="Commit Not Done" dataDxfId="857">
      <calculatedColumnFormula>+O12-Q12-Table7222936435750647178859299106113120127[[#This Row],[Committed Done]]</calculatedColumnFormula>
    </tableColumn>
    <tableColumn id="4" xr3:uid="{6651214E-943D-4C94-A3B3-33107C44BB7D}" name="Prj Story Points" dataDxfId="856">
      <calculatedColumnFormula>+Table7222936435750647178859299106113120127[[#This Row],[Committed Done]]+Table7222936435750647178859299106113120127[[#This Row],[Added Done]]</calculatedColumnFormula>
    </tableColumn>
  </tableColumns>
  <tableStyleInfo name="TableStyleMedium2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7" xr:uid="{802D81A0-9794-472B-B795-649646FC5D10}" name="Table82330374458516572798693100107114121128" displayName="Table82330374458516572798693100107114121128" ref="N27:R29" totalsRowShown="0" dataDxfId="855" dataCellStyle="Percent">
  <autoFilter ref="N27:R29" xr:uid="{00000000-0009-0000-0100-000063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2A5E8FBA-BFED-4777-AB12-567E04C9AAC2}" name="Prjtd"/>
    <tableColumn id="2" xr3:uid="{FAA2E788-E4EE-483C-9D5C-0588F8514579}" name="Total Done / Committed" dataDxfId="854" dataCellStyle="Percent">
      <calculatedColumnFormula>R24/IF(O12=0, 1,O12)</calculatedColumnFormula>
    </tableColumn>
    <tableColumn id="3" xr3:uid="{2DF7AE6F-0C1C-4152-B2F1-E39EFAB4A46D}" name="Total Done / Overall" dataDxfId="853" dataCellStyle="Percent">
      <calculatedColumnFormula>R24/IF(R12=0,1,R12)</calculatedColumnFormula>
    </tableColumn>
    <tableColumn id="5" xr3:uid="{240EE0C4-3A30-4AE8-B3D6-DDF53DB3142D}" name="Committed Done" dataDxfId="852" dataCellStyle="Percent">
      <calculatedColumnFormula>O24/IF(O12=0,1,O12)</calculatedColumnFormula>
    </tableColumn>
    <tableColumn id="4" xr3:uid="{B85934E4-EE9F-4823-90EF-19A899213328}" name="Prj Added Done" dataDxfId="851" dataCellStyle="Percent">
      <calculatedColumnFormula>+P24/IF(P12=0,1,P12)</calculatedColumnFormula>
    </tableColumn>
  </tableColumns>
  <tableStyleInfo name="TableStyleMedium2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8" xr:uid="{6BF90229-C084-4551-B4C6-057F1CB2EA5F}" name="Table92431384559526673808794101108115122129" displayName="Table92431384559526673808794101108115122129" ref="N1:W4" totalsRowShown="0">
  <autoFilter ref="N1:W4" xr:uid="{00000000-0009-0000-0100-00006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47090DB9-6FB8-4BA1-82EA-F4ABD096EB4D}" name="Team"/>
    <tableColumn id="2" xr3:uid="{1C984E7B-F00E-4080-A8DC-FC4F064A8AA8}" name="Committed" dataDxfId="850">
      <calculatedColumnFormula>+O12-Table92431384559526673808794101108115122129[[#This Row],[Blocked]]</calculatedColumnFormula>
    </tableColumn>
    <tableColumn id="3" xr3:uid="{D8741BC4-9319-4723-9263-DE8483A1167A}" name="Added">
      <calculatedColumnFormula>IF(ISERR(P12),0,P12)</calculatedColumnFormula>
    </tableColumn>
    <tableColumn id="4" xr3:uid="{216B80DE-B051-43C0-A4C2-9FDF2AB0DCA4}" name="Blocked" dataDxfId="849">
      <calculatedColumnFormula>IF(ISERR(Q12),0,Q12)</calculatedColumnFormula>
    </tableColumn>
    <tableColumn id="5" xr3:uid="{547FF8D9-C781-4F60-A5D6-5608A8BC8516}" name="Completed" dataDxfId="848">
      <calculatedColumnFormula>+IF(ISERR(R16),0,R16)</calculatedColumnFormula>
    </tableColumn>
    <tableColumn id="6" xr3:uid="{06809E3C-B94C-410E-8434-3B9E168008ED}" name="Completion V _x000a_Committed" dataDxfId="847" dataCellStyle="Percent">
      <calculatedColumnFormula>Table92431384559526673808794101108115122129[[#This Row],[Completed]]/Table92431384559526673808794101108115122129[[#This Row],[Committed]]</calculatedColumnFormula>
    </tableColumn>
    <tableColumn id="7" xr3:uid="{6E67E974-4666-4D9B-8477-70F00A9F582F}" name="Overall _x000a_Completion" dataCellStyle="Percent">
      <calculatedColumnFormula>Table92431384559526673808794101108115122129[[#This Row],[Completed]]/(Table92431384559526673808794101108115122129[[#This Row],[Added]]+Table92431384559526673808794101108115122129[[#This Row],[Committed]])</calculatedColumnFormula>
    </tableColumn>
    <tableColumn id="8" xr3:uid="{426C240B-2D68-4DF0-A720-6301487FC146}" name="Committed _x000a_Completed"/>
    <tableColumn id="9" xr3:uid="{7332044C-3E4A-498C-A68E-1CE13B97EE7E}" name=" x" dataDxfId="846" dataCellStyle="Percent">
      <calculatedColumnFormula>IF(ISERR(O16),0,O16) &amp; "  (" &amp;TEXT(IF(ISERR(O16),0,O16)/Table92431384559526673808794101108115122129[[#This Row],[Committed]],"#%") &amp; ")"</calculatedColumnFormula>
    </tableColumn>
    <tableColumn id="10" xr3:uid="{72094E1C-4397-466C-A46A-2D75F5CB5C03}" name="Added _x000a_Completed" dataDxfId="845">
      <calculatedColumnFormula>+IF(ISERR(P16),0,P16) &amp; " (" &amp; TEXT(R20, "#%") &amp; ")"</calculatedColumnFormula>
    </tableColumn>
  </tableColumns>
  <tableStyleInfo name="TableStyleMedium16 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4" xr:uid="{E55F4CB2-F668-499C-AA96-62F7BEE213E9}" name="Table129135" displayName="Table129135" ref="O6:R8" totalsRowShown="0" headerRowDxfId="844" dataDxfId="843" dataCellStyle="Percent">
  <autoFilter ref="O6:R8" xr:uid="{3E3094BE-5337-43F9-94DF-B41EAB810C47}"/>
  <tableColumns count="4">
    <tableColumn id="1" xr3:uid="{C8D687BC-9B9E-4C2C-A27C-332B1E276C09}" name=" " dataDxfId="842"/>
    <tableColumn id="2" xr3:uid="{17B951D3-170B-44DB-AB03-4D57F6A31A63}" name="AIX" dataDxfId="841" dataCellStyle="Percent">
      <calculatedColumnFormula>+#REF!/(#REF!+#REF!)</calculatedColumnFormula>
    </tableColumn>
    <tableColumn id="3" xr3:uid="{0873BFEE-8666-43E9-B567-61489E0BD645}" name="UNIX" dataDxfId="840" dataCellStyle="Percent">
      <calculatedColumnFormula>#REF!/#REF!</calculatedColumnFormula>
    </tableColumn>
    <tableColumn id="4" xr3:uid="{DD8F39F6-F2A7-418D-9058-F9CCDF203036}" name="Combined" dataDxfId="839" dataCellStyle="Percent">
      <calculatedColumnFormula>+#REF!/#REF!</calculatedColumnFormula>
    </tableColumn>
  </tableColumns>
  <tableStyleInfo name="TableStyleMedium16 2" showFirstColumn="1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5" xr:uid="{0C759773-5C54-4EE3-806A-FF29044C20A3}" name="Sprint0828" displayName="Sprint0828" ref="A1:I53" totalsRowShown="0" dataDxfId="823">
  <autoFilter ref="A1:I53" xr:uid="{00000000-0009-0000-0100-00005E000000}"/>
  <sortState ref="A2:I53">
    <sortCondition descending="1" ref="B1:B53"/>
  </sortState>
  <tableColumns count="9">
    <tableColumn id="10" xr3:uid="{8C92E0DB-0C29-46B9-B1C2-907EBA9765BD}" name="ID" dataDxfId="822"/>
    <tableColumn id="1" xr3:uid="{A84D2514-4C8C-4B25-98D2-667A4EE78D27}" name="Issue key" dataDxfId="821"/>
    <tableColumn id="3" xr3:uid="{B36D00D8-F0B1-4B47-8E6A-CDF3CD204B22}" name="Status" dataDxfId="820"/>
    <tableColumn id="4" xr3:uid="{FE8BD090-131A-47A5-9074-C3AEDD9A970E}" name="Summary" dataDxfId="819"/>
    <tableColumn id="6" xr3:uid="{DEBB7372-6FF3-4F5D-83E9-FD97B158C8A9}" name="Assignee" dataDxfId="818"/>
    <tableColumn id="5" xr3:uid="{DBEBAA60-5744-41F9-AFBD-862AEBBDCFB9}" name="Story Points" dataDxfId="817"/>
    <tableColumn id="7" xr3:uid="{669E2B81-C29B-42B6-A718-463AFE3D007F}" name="Project" dataDxfId="816">
      <calculatedColumnFormula>MID(B2,4,1)</calculatedColumnFormula>
    </tableColumn>
    <tableColumn id="8" xr3:uid="{433B6886-5889-4AC0-B10D-FBE9BC198BD3}" name="Added After" dataDxfId="815"/>
    <tableColumn id="9" xr3:uid="{62CA6F01-750B-4E92-BDB0-B4D4FB39F191}" name="Prj Cmpt" dataDxfId="814" dataCellStyle="Normal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6" xr:uid="{DFB4CA66-988F-468B-98FD-2250498D937C}" name="Table2192633405447616875828996103110117" displayName="Table2192633405447616875828996103110117" ref="N11:R13" totalsRowShown="0">
  <autoFilter ref="N11:R13" xr:uid="{00000000-0009-0000-0100-00005F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F95920C7-215B-4280-9C7E-105794891C81}" name="Team"/>
    <tableColumn id="2" xr3:uid="{CB5F7D31-3D0B-4812-ACBB-F796BAE98A33}" name="Commit"/>
    <tableColumn id="3" xr3:uid="{86B5BC01-5442-4149-8A69-F8923C71716F}" name="Added">
      <calculatedColumnFormula>IFERROR(AC10,0)</calculatedColumnFormula>
    </tableColumn>
    <tableColumn id="5" xr3:uid="{DB277986-AEF4-4B0B-9E2F-BC920A2646C4}" name="Blocked" dataDxfId="813">
      <calculatedColumnFormula>IFERROR(AD10,0)</calculatedColumnFormula>
    </tableColumn>
    <tableColumn id="4" xr3:uid="{C4211BD6-FF53-4966-B782-686C44B7C822}" name="Total Story Points" dataDxfId="812">
      <calculatedColumnFormula>+IF(ISERR(P12),0,P12)+IF(ISERR(O12),0,O12)</calculatedColumnFormula>
    </tableColumn>
  </tableColumns>
  <tableStyleInfo name="TableStyleMedium3" showFirstColumn="1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7" xr:uid="{C215FD49-295F-4982-BA81-FF4FFF1FC12A}" name="Table3202734415548626976839097104111118" displayName="Table3202734415548626976839097104111118" ref="N15:R17" totalsRowShown="0">
  <autoFilter ref="N15:R17" xr:uid="{00000000-0009-0000-0100-000060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3FFB82FE-06B3-4675-BCA6-531330A19DEA}" name="Done"/>
    <tableColumn id="2" xr3:uid="{AEFB74A9-4B15-4E78-B72D-269B76FD869D}" name="Committed Done">
      <calculatedColumnFormula>IFERROR(AC14,0)</calculatedColumnFormula>
    </tableColumn>
    <tableColumn id="3" xr3:uid="{7A12B7E6-2346-44A1-B17B-CC10470ABE03}" name="Added Done">
      <calculatedColumnFormula>IFERROR(AD14,0)</calculatedColumnFormula>
    </tableColumn>
    <tableColumn id="5" xr3:uid="{498AEF9D-E322-4E07-AEDE-728C93F2289E}" name=" "/>
    <tableColumn id="4" xr3:uid="{5678FD5D-58BB-40B4-BE68-7E4383228388}" name="Total Done" dataDxfId="811">
      <calculatedColumnFormula>+IF(ISERR(P16),0,P16)+IF(ISERR(O16),0,O16)</calculatedColumnFormula>
    </tableColumn>
  </tableColumns>
  <tableStyleInfo name="TableStyleMedium6" showFirstColumn="1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8" xr:uid="{DFF1DBF5-5256-4AE3-89AA-820EB46DD4E4}" name="Table4212835425649637077849198105112119" displayName="Table4212835425649637077849198105112119" ref="N19:R21" totalsRowShown="0" dataDxfId="810" dataCellStyle="Percent">
  <autoFilter ref="N19:R21" xr:uid="{00000000-0009-0000-0100-000061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F75CB38A-7A6A-4EF4-A27B-9E8153950AFD}" name="Done"/>
    <tableColumn id="2" xr3:uid="{E9E231EC-3B2F-486B-B0D6-F7ACCD77BA0F}" name="Total Done / Committed" dataDxfId="809" dataCellStyle="Percent">
      <calculatedColumnFormula>+R16/O12</calculatedColumnFormula>
    </tableColumn>
    <tableColumn id="3" xr3:uid="{1A1E0B63-041C-47E7-8BBC-B12CC28AADAC}" name="Total Done / Overall" dataDxfId="808" dataCellStyle="Percent">
      <calculatedColumnFormula>+R16/R12</calculatedColumnFormula>
    </tableColumn>
    <tableColumn id="5" xr3:uid="{DF5D9F67-102C-4613-8A21-FEAA69AAC474}" name="Committed Done" dataDxfId="807" dataCellStyle="Percent">
      <calculatedColumnFormula>+O16/IF(ISERR(O12),1,O12)</calculatedColumnFormula>
    </tableColumn>
    <tableColumn id="4" xr3:uid="{EF888749-EA93-40B0-9172-0D3B6B03E6B6}" name="Added Done" dataDxfId="806" dataCellStyle="Percent">
      <calculatedColumnFormula>+P16/IF(ISERR(AC10),1,P12)</calculatedColumnFormula>
    </tableColumn>
  </tableColumns>
  <tableStyleInfo name="TableStyleMedium6" showFirstColumn="1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9" xr:uid="{00E364A9-6BF4-4782-A3F6-43CEE21C4F23}" name="Table7222936435750647178859299106113120" displayName="Table7222936435750647178859299106113120" ref="N23:R25" totalsRowShown="0">
  <autoFilter ref="N23:R25" xr:uid="{00000000-0009-0000-0100-000062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6FF981E3-FDCC-4209-A87E-6BC3BA1F9557}" name="Prjtd"/>
    <tableColumn id="2" xr3:uid="{7341912A-796B-4CFA-81BB-9FD6C6B0155D}" name="Committed Done" dataDxfId="805">
      <calculatedColumnFormula>IFERROR(AC22,0)</calculatedColumnFormula>
    </tableColumn>
    <tableColumn id="3" xr3:uid="{3373BDF8-0BBB-4897-9FFA-4EA1CEA1C152}" name="Added Done" dataDxfId="804">
      <calculatedColumnFormula>IFERROR(AD22,0)</calculatedColumnFormula>
    </tableColumn>
    <tableColumn id="5" xr3:uid="{AB5E241F-7DBF-4466-8B5E-B662B60560E1}" name="Commit Not Done" dataDxfId="803">
      <calculatedColumnFormula>+O12-Q12-Table7222936435750647178859299106113120[[#This Row],[Committed Done]]</calculatedColumnFormula>
    </tableColumn>
    <tableColumn id="4" xr3:uid="{8663F6AA-19E5-413C-B2FF-71BDBD6D84A0}" name="Prj Story Points" dataDxfId="802">
      <calculatedColumnFormula>+Table7222936435750647178859299106113120[[#This Row],[Committed Done]]+Table7222936435750647178859299106113120[[#This Row],[Added Done]]</calculatedColumnFormula>
    </tableColumn>
  </tableColumns>
  <tableStyleInfo name="TableStyleMedium2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0" xr:uid="{FD061FA8-FB43-471C-B056-729EFA6D9A94}" name="Table82330374458516572798693100107114121" displayName="Table82330374458516572798693100107114121" ref="N27:R29" totalsRowShown="0" dataDxfId="801" dataCellStyle="Percent">
  <autoFilter ref="N27:R29" xr:uid="{00000000-0009-0000-0100-000063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F1438845-9935-4D90-A650-0DBE2D875211}" name="Prjtd"/>
    <tableColumn id="2" xr3:uid="{4EA4795F-0BF8-434F-8AEA-CF94369DF88C}" name="Total Done / Committed" dataDxfId="800" dataCellStyle="Percent">
      <calculatedColumnFormula>R24/IF(O12=0, 1,O12)</calculatedColumnFormula>
    </tableColumn>
    <tableColumn id="3" xr3:uid="{49EB0F31-F2F5-4DB7-B1C0-B377ADD7D7F2}" name="Total Done / Overall" dataDxfId="799" dataCellStyle="Percent">
      <calculatedColumnFormula>R24/IF(R12=0,1,R12)</calculatedColumnFormula>
    </tableColumn>
    <tableColumn id="5" xr3:uid="{8FAD626B-BD6E-43C4-858F-3FAD0A112BA9}" name="Committed Done" dataDxfId="798" dataCellStyle="Percent">
      <calculatedColumnFormula>O24/IF(O12=0,1,O12)</calculatedColumnFormula>
    </tableColumn>
    <tableColumn id="4" xr3:uid="{D89CBACC-2AED-4641-91ED-95C31BD24E54}" name="Prj Added Done" dataDxfId="797" dataCellStyle="Percent">
      <calculatedColumnFormula>+P24/IF(P12=0,1,P12)</calculatedColumnFormula>
    </tableColumn>
  </tableColumns>
  <tableStyleInfo name="TableStyleMedium2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1" xr:uid="{6500237D-69A9-4AE7-BCFF-82B75E2E5952}" name="Table92431384559526673808794101108115122" displayName="Table92431384559526673808794101108115122" ref="N1:W4" totalsRowShown="0">
  <autoFilter ref="N1:W4" xr:uid="{00000000-0009-0000-0100-00006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1D98680C-5C0D-4C43-B6BD-4CA176262EAE}" name="Team"/>
    <tableColumn id="2" xr3:uid="{BBA07DAA-0FED-4293-BE13-B0F34EE49436}" name="Committed" dataDxfId="796">
      <calculatedColumnFormula>+O12-Table92431384559526673808794101108115122[[#This Row],[Blocked]]</calculatedColumnFormula>
    </tableColumn>
    <tableColumn id="3" xr3:uid="{F49363F3-CDFF-4BC9-BBD2-018EC99D03E8}" name="Added">
      <calculatedColumnFormula>IF(ISERR(P12),0,P12)</calculatedColumnFormula>
    </tableColumn>
    <tableColumn id="4" xr3:uid="{6FEB0786-2000-4459-A750-AD58BC000B1B}" name="Blocked" dataDxfId="795">
      <calculatedColumnFormula>IF(ISERR(Q12),0,Q12)</calculatedColumnFormula>
    </tableColumn>
    <tableColumn id="5" xr3:uid="{5493546A-DF2C-41AF-B19C-33316029F5DC}" name="Completed" dataDxfId="794">
      <calculatedColumnFormula>+IF(ISERR(R16),0,R16)</calculatedColumnFormula>
    </tableColumn>
    <tableColumn id="6" xr3:uid="{17A96E99-E8DD-4E5C-BEA5-45D43D69DE44}" name="Completion V _x000a_Committed" dataDxfId="793" dataCellStyle="Percent">
      <calculatedColumnFormula>Table92431384559526673808794101108115122[[#This Row],[Completed]]/Table92431384559526673808794101108115122[[#This Row],[Committed]]</calculatedColumnFormula>
    </tableColumn>
    <tableColumn id="7" xr3:uid="{A3C63BE2-8154-4D2C-B1F0-6AF30BF711D6}" name="Overall _x000a_Completion" dataCellStyle="Percent">
      <calculatedColumnFormula>Table92431384559526673808794101108115122[[#This Row],[Completed]]/(Table92431384559526673808794101108115122[[#This Row],[Added]]+Table92431384559526673808794101108115122[[#This Row],[Committed]])</calculatedColumnFormula>
    </tableColumn>
    <tableColumn id="8" xr3:uid="{65B84E97-B1EF-4089-9994-3562967F3347}" name="Committed _x000a_Completed"/>
    <tableColumn id="9" xr3:uid="{20171478-5E02-4ED8-A385-0F40E211E980}" name=" x" dataDxfId="792" dataCellStyle="Percent">
      <calculatedColumnFormula>IF(ISERR(O16),0,O16) &amp; "  (" &amp;TEXT(IF(ISERR(O16),0,O16)/Table92431384559526673808794101108115122[[#This Row],[Committed]],"#%") &amp; ")"</calculatedColumnFormula>
    </tableColumn>
    <tableColumn id="10" xr3:uid="{B10EB4D2-18BA-4091-9E31-636ADA620064}" name="Added _x000a_Completed" dataDxfId="791">
      <calculatedColumnFormula>+IF(ISERR(P16),0,P16) &amp; " (" &amp; TEXT(R20, "#%") &amp; ")"</calculatedColumnFormula>
    </tableColumn>
  </tableColumns>
  <tableStyleInfo name="TableStyleMedium16 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5" xr:uid="{87B27CD5-33CF-41FD-9261-030213462A68}" name="Table129135136" displayName="Table129135136" ref="O6:R8" totalsRowShown="0" headerRowDxfId="790" dataDxfId="789" dataCellStyle="Percent">
  <autoFilter ref="O6:R8" xr:uid="{92E89119-3CD4-4157-A834-56AB26A5E7E3}">
    <filterColumn colId="0" hiddenButton="1"/>
    <filterColumn colId="1" hiddenButton="1"/>
    <filterColumn colId="2" hiddenButton="1"/>
    <filterColumn colId="3" hiddenButton="1"/>
  </autoFilter>
  <tableColumns count="4">
    <tableColumn id="1" xr3:uid="{4F66AED5-1C59-4637-9F81-8E48C5CCD0F0}" name=" " dataDxfId="788"/>
    <tableColumn id="2" xr3:uid="{EF12208B-585B-4F9E-8941-FDE54D3B2F98}" name="AIX" dataDxfId="787" dataCellStyle="Percent">
      <calculatedColumnFormula>+P2/(P2+O2)</calculatedColumnFormula>
    </tableColumn>
    <tableColumn id="3" xr3:uid="{D6DC6C95-2C53-40F4-8333-FC660B9025ED}" name="UNIX" dataDxfId="786" dataCellStyle="Percent">
      <calculatedColumnFormula>P2/O2</calculatedColumnFormula>
    </tableColumn>
    <tableColumn id="4" xr3:uid="{7CF623BC-BB44-4376-86F0-C1AC6854BA67}" name="Combined" dataDxfId="785" dataCellStyle="Percent">
      <calculatedColumnFormula>+#REF!/#REF!</calculatedColumnFormula>
    </tableColumn>
  </tableColumns>
  <tableStyleInfo name="TableStyleMedium16 2" showFirstColumn="1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8" xr:uid="{F0620976-A407-4C4D-A499-0A3C58237C11}" name="T_04_11_1846606774818895102109" displayName="T_04_11_1846606774818895102109" ref="A1:I53" totalsRowShown="0" dataDxfId="767">
  <autoFilter ref="A1:I53" xr:uid="{00000000-0009-0000-0100-00005E000000}"/>
  <sortState ref="A2:I53">
    <sortCondition descending="1" ref="B1:B53"/>
  </sortState>
  <tableColumns count="9">
    <tableColumn id="10" xr3:uid="{8671D4ED-85E5-41E0-9E04-561B5E3476F3}" name="ID" dataDxfId="766"/>
    <tableColumn id="1" xr3:uid="{0AAB2AA4-2D5D-467B-90F2-762BE0A62021}" name="Issue key" dataDxfId="765"/>
    <tableColumn id="3" xr3:uid="{2796D354-C711-4E14-A798-3C6E482D0E4B}" name="Status" dataDxfId="764"/>
    <tableColumn id="4" xr3:uid="{8D4011EA-E5CF-46D5-992C-5EFB122D2147}" name="Summary" dataDxfId="763"/>
    <tableColumn id="6" xr3:uid="{312BFFA8-786A-4D7E-95D4-5EDFE9F067FC}" name="Assignee" dataDxfId="762"/>
    <tableColumn id="5" xr3:uid="{4D143900-DE61-4E20-97A1-2DB286CDE5B1}" name="Story Points" dataDxfId="761"/>
    <tableColumn id="7" xr3:uid="{428DED0D-CFDD-4B40-9817-5B0D92DD3548}" name="Project" dataDxfId="760">
      <calculatedColumnFormula>MID(B2,4,1)</calculatedColumnFormula>
    </tableColumn>
    <tableColumn id="8" xr3:uid="{C6D3DDD4-ED90-48CA-9D8C-8B6F705D99F8}" name="Added After" dataDxfId="759"/>
    <tableColumn id="9" xr3:uid="{6AD9B38D-5CDB-48FD-BDDA-383A60985005}" name="Prj Cmpt" dataDxfId="758" dataCellStyle="Normal"/>
  </tableColumns>
  <tableStyleInfo name="TableStyleLight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" xr:uid="{86CA8010-FCED-488F-AA86-92238188CB85}" name="Table2192633405447616875828996103110" displayName="Table2192633405447616875828996103110" ref="N11:R13" totalsRowShown="0">
  <autoFilter ref="N11:R13" xr:uid="{00000000-0009-0000-0100-00005F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ABF75317-3AD7-4945-9B1E-F3A599A4F337}" name="Team"/>
    <tableColumn id="2" xr3:uid="{6364C108-1E48-4D9E-8DB5-EF6206D3E278}" name="Commit"/>
    <tableColumn id="3" xr3:uid="{AC680370-EB56-49CE-9E2E-AD0ABD57500B}" name="Added">
      <calculatedColumnFormula>IFERROR(AC10,0)</calculatedColumnFormula>
    </tableColumn>
    <tableColumn id="5" xr3:uid="{0DC61701-2A02-4B01-9B58-F1843E71BD4E}" name="Blocked" dataDxfId="757">
      <calculatedColumnFormula>IFERROR(AD10,0)</calculatedColumnFormula>
    </tableColumn>
    <tableColumn id="4" xr3:uid="{2D5CAC9E-389E-46B0-95AB-A4FAFAD56669}" name="Total Story Points" dataDxfId="756">
      <calculatedColumnFormula>+IF(ISERR(P12),0,P12)+IF(ISERR(O12),0,O12)</calculatedColumnFormula>
    </tableColumn>
  </tableColumns>
  <tableStyleInfo name="TableStyleMedium3" showFirstColumn="1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0" xr:uid="{AA4D6E73-BA06-434F-961F-9FCD926AF895}" name="Table3202734415548626976839097104111" displayName="Table3202734415548626976839097104111" ref="N15:R17" totalsRowShown="0">
  <autoFilter ref="N15:R17" xr:uid="{00000000-0009-0000-0100-000060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A051D5FB-124C-4DCE-AA90-E5A5761683A0}" name="Done"/>
    <tableColumn id="2" xr3:uid="{4C42EBF7-8B7E-419C-935B-1C65050635E4}" name="Committed Done">
      <calculatedColumnFormula>IFERROR(AC14,0)</calculatedColumnFormula>
    </tableColumn>
    <tableColumn id="3" xr3:uid="{1A7B5A31-D4B3-423C-9D19-EC8B2FD45546}" name="Added Done">
      <calculatedColumnFormula>IFERROR(AD14,0)</calculatedColumnFormula>
    </tableColumn>
    <tableColumn id="5" xr3:uid="{0E5169A1-AA0D-47A4-B3D4-C8C4D50447FD}" name=" "/>
    <tableColumn id="4" xr3:uid="{36B533B6-4C26-48AA-A070-5D27566E44D1}" name="Total Done" dataDxfId="755">
      <calculatedColumnFormula>+IF(ISERR(P16),0,P16)+IF(ISERR(O16),0,O16)</calculatedColumnFormula>
    </tableColumn>
  </tableColumns>
  <tableStyleInfo name="TableStyleMedium6" showFirstColumn="1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1" xr:uid="{638847D5-BF05-461D-A8A6-685248E32C08}" name="Table4212835425649637077849198105112" displayName="Table4212835425649637077849198105112" ref="N19:R21" totalsRowShown="0" dataDxfId="754" dataCellStyle="Percent">
  <autoFilter ref="N19:R21" xr:uid="{00000000-0009-0000-0100-000061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90CE0DC1-640B-4A68-B0EE-676E1DF19EB0}" name="Done"/>
    <tableColumn id="2" xr3:uid="{701F9C40-D90F-4EAF-8B14-DC1427A33203}" name="Total Done / Committed" dataDxfId="753" dataCellStyle="Percent">
      <calculatedColumnFormula>+R16/O12</calculatedColumnFormula>
    </tableColumn>
    <tableColumn id="3" xr3:uid="{9039223E-D461-45A0-9C6F-23C0F72D9E68}" name="Total Done / Overall" dataDxfId="752" dataCellStyle="Percent">
      <calculatedColumnFormula>+R16/R12</calculatedColumnFormula>
    </tableColumn>
    <tableColumn id="5" xr3:uid="{715A2CE5-9737-485E-B22F-0DAE2A2C1CC9}" name="Committed Done" dataDxfId="751" dataCellStyle="Percent">
      <calculatedColumnFormula>+O16/IF(ISERR(O12),1,O12)</calculatedColumnFormula>
    </tableColumn>
    <tableColumn id="4" xr3:uid="{6A35A755-BA31-428D-997F-FC74DAB5F2B5}" name="Added Done" dataDxfId="750" dataCellStyle="Percent">
      <calculatedColumnFormula>+P16/IF(ISERR(AC10),1,P12)</calculatedColumnFormula>
    </tableColumn>
  </tableColumns>
  <tableStyleInfo name="TableStyleMedium6" showFirstColumn="1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2" xr:uid="{3D2E1ED5-8443-43CA-B750-0ED7FDB65921}" name="Table7222936435750647178859299106113" displayName="Table7222936435750647178859299106113" ref="N23:R25" totalsRowShown="0">
  <autoFilter ref="N23:R25" xr:uid="{00000000-0009-0000-0100-000062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3E31F7B6-56C6-45CB-B679-32A2475C6704}" name="Prjtd"/>
    <tableColumn id="2" xr3:uid="{B026BF72-7CC8-401B-937D-95BF775D3173}" name="Committed Done" dataDxfId="749">
      <calculatedColumnFormula>IFERROR(AC22,0)</calculatedColumnFormula>
    </tableColumn>
    <tableColumn id="3" xr3:uid="{C6C480DC-3E5C-4262-A1CE-1B6D0425EB01}" name="Added Done" dataDxfId="748">
      <calculatedColumnFormula>IFERROR(AD22,0)</calculatedColumnFormula>
    </tableColumn>
    <tableColumn id="5" xr3:uid="{93F693D8-66A5-48E1-88F8-3B78D4378979}" name="Commit Not Done" dataDxfId="747">
      <calculatedColumnFormula>+O12-Q12-Table7222936435750647178859299106113[[#This Row],[Committed Done]]</calculatedColumnFormula>
    </tableColumn>
    <tableColumn id="4" xr3:uid="{DC03B34A-16EF-493C-B4C4-80ECB0AF0AF3}" name="Prj Story Points" dataDxfId="746">
      <calculatedColumnFormula>+Table7222936435750647178859299106113[[#This Row],[Committed Done]]+Table7222936435750647178859299106113[[#This Row],[Added Done]]</calculatedColumnFormula>
    </tableColumn>
  </tableColumns>
  <tableStyleInfo name="TableStyleMedium2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3" xr:uid="{809A4FA0-84D2-41F5-B7D6-64465A767C6F}" name="Table82330374458516572798693100107114" displayName="Table82330374458516572798693100107114" ref="N27:R29" totalsRowShown="0" dataDxfId="745" dataCellStyle="Percent">
  <autoFilter ref="N27:R29" xr:uid="{00000000-0009-0000-0100-000063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52C53D78-DF8F-4BD1-833D-497B4BE4F464}" name="Prjtd"/>
    <tableColumn id="2" xr3:uid="{6728EAB1-469B-4C96-A6DE-95D0C507C94B}" name="Total Done / Committed" dataDxfId="744" dataCellStyle="Percent">
      <calculatedColumnFormula>R24/IF(O12=0, 1,O12)</calculatedColumnFormula>
    </tableColumn>
    <tableColumn id="3" xr3:uid="{81A2FABD-490A-40DF-87EC-6A660EDD7363}" name="Total Done / Overall" dataDxfId="743" dataCellStyle="Percent">
      <calculatedColumnFormula>R24/IF(R12=0,1,R12)</calculatedColumnFormula>
    </tableColumn>
    <tableColumn id="5" xr3:uid="{7A9ABC8C-DB38-4465-86A9-0F8D5FECC616}" name="Committed Done" dataDxfId="742" dataCellStyle="Percent">
      <calculatedColumnFormula>O24/IF(O12=0,1,O12)</calculatedColumnFormula>
    </tableColumn>
    <tableColumn id="4" xr3:uid="{1F3512B1-8785-416F-BD09-B247B152F07A}" name="Prj Added Done" dataDxfId="741" dataCellStyle="Percent">
      <calculatedColumnFormula>+P24/IF(P12=0,1,P12)</calculatedColumnFormula>
    </tableColumn>
  </tableColumns>
  <tableStyleInfo name="TableStyleMedium2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4" xr:uid="{4805F8CF-B4B6-4397-A1C5-FDA5A08D9B81}" name="Table92431384559526673808794101108115" displayName="Table92431384559526673808794101108115" ref="N1:W4" totalsRowShown="0">
  <autoFilter ref="N1:W4" xr:uid="{00000000-0009-0000-0100-00006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4E3FC2D3-226C-436F-9D26-EFC67423B9CA}" name="Team"/>
    <tableColumn id="2" xr3:uid="{0B3161FA-E554-486B-8E28-20622205785A}" name="Committed" dataDxfId="740">
      <calculatedColumnFormula>+O12-Table92431384559526673808794101108115[[#This Row],[Blocked]]</calculatedColumnFormula>
    </tableColumn>
    <tableColumn id="3" xr3:uid="{290576A9-983A-47E2-AF88-FE1BC994F970}" name="Added">
      <calculatedColumnFormula>IF(ISERR(P12),0,P12)</calculatedColumnFormula>
    </tableColumn>
    <tableColumn id="4" xr3:uid="{6D25284E-CE8F-4EA3-B96A-0CB05B5ED1CC}" name="Blocked" dataDxfId="739">
      <calculatedColumnFormula>IF(ISERR(Q12),0,Q12)</calculatedColumnFormula>
    </tableColumn>
    <tableColumn id="5" xr3:uid="{46D268DB-AD74-43A8-9FBE-7F7AEAD223E4}" name="Completed" dataDxfId="738">
      <calculatedColumnFormula>+IF(ISERR(R16),0,R16)</calculatedColumnFormula>
    </tableColumn>
    <tableColumn id="6" xr3:uid="{548C99C4-AD9A-4B1C-8212-07C2C7ACF48B}" name="Completion V _x000a_Committed" dataDxfId="737" dataCellStyle="Percent">
      <calculatedColumnFormula>Table92431384559526673808794101108115[[#This Row],[Completed]]/Table92431384559526673808794101108115[[#This Row],[Committed]]</calculatedColumnFormula>
    </tableColumn>
    <tableColumn id="7" xr3:uid="{AC8A071A-9219-4A42-8DF0-91C37028711F}" name="Overall _x000a_Completion" dataCellStyle="Percent">
      <calculatedColumnFormula>Table92431384559526673808794101108115[[#This Row],[Completed]]/(Table92431384559526673808794101108115[[#This Row],[Added]]+Table92431384559526673808794101108115[[#This Row],[Committed]])</calculatedColumnFormula>
    </tableColumn>
    <tableColumn id="8" xr3:uid="{940EB0D9-9A9D-4059-9AC5-103327CE969A}" name="Committed _x000a_Completed"/>
    <tableColumn id="9" xr3:uid="{3010E70A-860A-43AE-B76F-554D92DCA2D9}" name=" x" dataDxfId="736" dataCellStyle="Percent">
      <calculatedColumnFormula>IF(ISERR(O16),0,O16) &amp; "  (" &amp;TEXT(IF(ISERR(O16),0,O16)/Table92431384559526673808794101108115[[#This Row],[Committed]],"#%") &amp; ")"</calculatedColumnFormula>
    </tableColumn>
    <tableColumn id="10" xr3:uid="{E9CA432C-D023-47BB-80E7-63BCA6C551A4}" name="Added _x000a_Completed" dataDxfId="735">
      <calculatedColumnFormula>+IF(ISERR(P16),0,P16) &amp; " (" &amp; TEXT(R20, "#%") &amp; ")"</calculatedColumnFormula>
    </tableColumn>
  </tableColumns>
  <tableStyleInfo name="TableStyleMedium16 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0" xr:uid="{A2A7AFFC-5D2E-4AC3-84EE-342D23215A50}" name="Table129135138141" displayName="Table129135138141" ref="O6:R8" totalsRowShown="0" headerRowDxfId="734" dataDxfId="733" dataCellStyle="Percent">
  <autoFilter ref="O6:R8" xr:uid="{434C5A90-FB08-475B-9EFF-42BA2DC26504}">
    <filterColumn colId="0" hiddenButton="1"/>
    <filterColumn colId="1" hiddenButton="1"/>
    <filterColumn colId="2" hiddenButton="1"/>
    <filterColumn colId="3" hiddenButton="1"/>
  </autoFilter>
  <tableColumns count="4">
    <tableColumn id="1" xr3:uid="{CE004071-8520-49BE-B9D5-FC3E6381FD50}" name=" " dataDxfId="732"/>
    <tableColumn id="2" xr3:uid="{1CB5E997-45BD-4B31-88C6-6CFFC7065070}" name="AIX" dataDxfId="731" dataCellStyle="Percent">
      <calculatedColumnFormula>+P2/(P2+O2)</calculatedColumnFormula>
    </tableColumn>
    <tableColumn id="3" xr3:uid="{7D2EBD07-2017-4764-8555-EDF6882C2E57}" name="UNIX" dataDxfId="730" dataCellStyle="Percent">
      <calculatedColumnFormula>P2/O2</calculatedColumnFormula>
    </tableColumn>
    <tableColumn id="4" xr3:uid="{169D32E6-A116-4B23-AC64-C4C46151175F}" name="Combined" dataDxfId="729" dataCellStyle="Percent">
      <calculatedColumnFormula>+#REF!/#REF!</calculatedColumnFormula>
    </tableColumn>
  </tableColumns>
  <tableStyleInfo name="TableStyleMedium16 2" showFirstColumn="1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" xr:uid="{A2412300-AEF2-4BFA-8CFA-FAC1FB2422C1}" name="T_04_11_1846606774818895102" displayName="T_04_11_1846606774818895102" ref="A1:I53" totalsRowShown="0" dataDxfId="713">
  <autoFilter ref="A1:I53" xr:uid="{00000000-0009-0000-0100-00005E000000}"/>
  <sortState ref="A2:I53">
    <sortCondition descending="1" ref="B1:B53"/>
  </sortState>
  <tableColumns count="9">
    <tableColumn id="10" xr3:uid="{2C184E9C-4E89-47C3-9711-C9394BA5077D}" name="ID" dataDxfId="712"/>
    <tableColumn id="1" xr3:uid="{E980AF9B-806D-46C2-B9B6-8DA48C6C5D4C}" name="Issue key" dataDxfId="711"/>
    <tableColumn id="3" xr3:uid="{44EDFD47-0BE2-4720-B40A-024F83828830}" name="Status" dataDxfId="710"/>
    <tableColumn id="4" xr3:uid="{4B2B8FED-3230-4BA5-8EF7-3573FCC0FA55}" name="Summary" dataDxfId="709"/>
    <tableColumn id="6" xr3:uid="{4F4A1955-5DED-460F-B59E-C3898D659390}" name="Assignee" dataDxfId="708"/>
    <tableColumn id="5" xr3:uid="{21A03D1E-B5DD-4D38-902B-F46157E389BD}" name="Story Points" dataDxfId="707"/>
    <tableColumn id="7" xr3:uid="{DD41A580-34EB-497C-816D-493C009AC928}" name="Project" dataDxfId="706">
      <calculatedColumnFormula>MID(B2,4,1)</calculatedColumnFormula>
    </tableColumn>
    <tableColumn id="8" xr3:uid="{1F9A44C7-0EC8-4433-8814-B019AAADF2CA}" name="Added After" dataDxfId="705"/>
    <tableColumn id="9" xr3:uid="{A5314866-2F69-47BC-B996-FD6956D2BD39}" name="Prj Cmpt" dataDxfId="704" dataCellStyle="Normal"/>
  </tableColumns>
  <tableStyleInfo name="TableStyleLight1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2" xr:uid="{5977BDCF-37F1-4ACC-B898-5D8A92F7FDFA}" name="Table2192633405447616875828996103" displayName="Table2192633405447616875828996103" ref="N11:R13" totalsRowShown="0">
  <autoFilter ref="N11:R13" xr:uid="{00000000-0009-0000-0100-00005F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8EAA295A-EA33-47F6-A350-05D84743F656}" name="Team"/>
    <tableColumn id="2" xr3:uid="{D6FB129E-5D87-4FCB-9AB8-BAFAAD43E7BE}" name="Commit"/>
    <tableColumn id="3" xr3:uid="{EC8D46E5-565D-4C87-98EE-E9FAE4CB282F}" name="Added">
      <calculatedColumnFormula>IFERROR(AC10,0)</calculatedColumnFormula>
    </tableColumn>
    <tableColumn id="5" xr3:uid="{769B3D13-EE8C-4AEE-B04C-F5EEA4354E94}" name="Blocked" dataDxfId="703">
      <calculatedColumnFormula>IFERROR(AD10,0)</calculatedColumnFormula>
    </tableColumn>
    <tableColumn id="4" xr3:uid="{E16FCE03-8A4F-495F-A5ED-A29C856BFC8D}" name="Total Story Points" dataDxfId="702">
      <calculatedColumnFormula>+IF(ISERR(P12),0,P12)+IF(ISERR(O12),0,O12)</calculatedColumnFormula>
    </tableColumn>
  </tableColumns>
  <tableStyleInfo name="TableStyleMedium3" showFirstColumn="1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" xr:uid="{45A1403A-8CCA-4EFE-AD92-E0EFD14600C4}" name="Table3202734415548626976839097104" displayName="Table3202734415548626976839097104" ref="N15:R17" totalsRowShown="0">
  <autoFilter ref="N15:R17" xr:uid="{00000000-0009-0000-0100-000060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89BF47E7-5E49-4C23-B8FC-90B400E61FDE}" name="Done"/>
    <tableColumn id="2" xr3:uid="{30FA7345-7D2A-413A-A2C3-44CF19289DBD}" name="Committed Done">
      <calculatedColumnFormula>IFERROR(AC14,0)</calculatedColumnFormula>
    </tableColumn>
    <tableColumn id="3" xr3:uid="{2E6A9F4B-ECF1-4A4C-B6BE-3D010E3BF99E}" name="Added Done">
      <calculatedColumnFormula>IFERROR(AD14,0)</calculatedColumnFormula>
    </tableColumn>
    <tableColumn id="5" xr3:uid="{A7F4FC02-4A54-438E-A0B8-F6DDAC92623C}" name=" "/>
    <tableColumn id="4" xr3:uid="{C3166BE2-7D86-4ADF-88E1-A6242D0C7E96}" name="Total Done" dataDxfId="701">
      <calculatedColumnFormula>+IF(ISERR(P16),0,P16)+IF(ISERR(O16),0,O16)</calculatedColumnFormula>
    </tableColumn>
  </tableColumns>
  <tableStyleInfo name="TableStyleMedium6" showFirstColumn="1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4" xr:uid="{C0614B4C-436C-4C25-9F49-87179C951680}" name="Table4212835425649637077849198105" displayName="Table4212835425649637077849198105" ref="N19:R21" totalsRowShown="0" dataDxfId="700" dataCellStyle="Percent">
  <autoFilter ref="N19:R21" xr:uid="{00000000-0009-0000-0100-000061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21A01642-85C6-4992-9F63-23E7DA4EF0D9}" name="Done"/>
    <tableColumn id="2" xr3:uid="{8DF10952-4F78-4FB8-96EE-3976D757CECE}" name="Total Done / Committed" dataDxfId="699" dataCellStyle="Percent">
      <calculatedColumnFormula>+R16/O12</calculatedColumnFormula>
    </tableColumn>
    <tableColumn id="3" xr3:uid="{1B5A9617-0F6F-4203-8C43-B6CFC979CB4E}" name="Total Done / Overall" dataDxfId="698" dataCellStyle="Percent">
      <calculatedColumnFormula>+R16/R12</calculatedColumnFormula>
    </tableColumn>
    <tableColumn id="5" xr3:uid="{03B7108D-1D94-4227-B7FF-20A649D8F20C}" name="Committed Done" dataDxfId="697" dataCellStyle="Percent">
      <calculatedColumnFormula>+O16/IF(ISERR(O12),1,O12)</calculatedColumnFormula>
    </tableColumn>
    <tableColumn id="4" xr3:uid="{F93D1928-CA96-4624-96C0-D288B4ADB3E1}" name="Added Done" dataDxfId="696" dataCellStyle="Percent">
      <calculatedColumnFormula>+P16/IF(ISERR(AC10),1,P12)</calculatedColumnFormula>
    </tableColumn>
  </tableColumns>
  <tableStyleInfo name="TableStyleMedium6" showFirstColumn="1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" xr:uid="{3A3A2790-B098-46CB-8E57-DE2B24C9C7DF}" name="Table7222936435750647178859299106" displayName="Table7222936435750647178859299106" ref="N23:R25" totalsRowShown="0">
  <autoFilter ref="N23:R25" xr:uid="{00000000-0009-0000-0100-000062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17AAFC80-4D74-438C-BB08-2713B8D3E61B}" name="Prjtd"/>
    <tableColumn id="2" xr3:uid="{436D87FC-78DE-4606-B0A9-2CB6A0C33C61}" name="Committed Done" dataDxfId="695">
      <calculatedColumnFormula>IFERROR(AC22,0)</calculatedColumnFormula>
    </tableColumn>
    <tableColumn id="3" xr3:uid="{78033B43-F1FE-49B7-AD91-27B0D483D11F}" name="Added Done" dataDxfId="694">
      <calculatedColumnFormula>IFERROR(AD22,0)</calculatedColumnFormula>
    </tableColumn>
    <tableColumn id="5" xr3:uid="{FB0DCE4A-E6D6-4BC8-9CE2-DEB549BE749E}" name="Commit Not Done" dataDxfId="693">
      <calculatedColumnFormula>+O12-Q12-Table7222936435750647178859299106[[#This Row],[Committed Done]]</calculatedColumnFormula>
    </tableColumn>
    <tableColumn id="4" xr3:uid="{AF96CB9E-76A1-4024-8C16-7E75A2A01415}" name="Prj Story Points" dataDxfId="692">
      <calculatedColumnFormula>+Table7222936435750647178859299106[[#This Row],[Committed Done]]+Table7222936435750647178859299106[[#This Row],[Added Done]]</calculatedColumnFormula>
    </tableColumn>
  </tableColumns>
  <tableStyleInfo name="TableStyleMedium21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6" xr:uid="{7093D3A4-015F-4124-B70D-AB034BA01AFF}" name="Table82330374458516572798693100107" displayName="Table82330374458516572798693100107" ref="N27:R29" totalsRowShown="0" dataDxfId="691" dataCellStyle="Percent">
  <autoFilter ref="N27:R29" xr:uid="{00000000-0009-0000-0100-000063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29941057-07E5-4656-AE07-C6C4A1DF6AE6}" name="Prjtd"/>
    <tableColumn id="2" xr3:uid="{3A625DEB-A5CD-444D-9A98-712AF1123865}" name="Total Done / Committed" dataDxfId="690" dataCellStyle="Percent">
      <calculatedColumnFormula>R24/IF(O12=0, 1,O12)</calculatedColumnFormula>
    </tableColumn>
    <tableColumn id="3" xr3:uid="{3D305BA1-D92D-4011-A9E1-E2C39C2302F0}" name="Total Done / Overall" dataDxfId="689" dataCellStyle="Percent">
      <calculatedColumnFormula>R24/IF(R12=0,1,R12)</calculatedColumnFormula>
    </tableColumn>
    <tableColumn id="5" xr3:uid="{ABAC7915-170D-4CD8-9801-B3C111A1802D}" name="Committed Done" dataDxfId="688" dataCellStyle="Percent">
      <calculatedColumnFormula>O24/IF(O12=0,1,O12)</calculatedColumnFormula>
    </tableColumn>
    <tableColumn id="4" xr3:uid="{62193442-1EA0-4A22-8766-EF071CE44FAD}" name="Prj Added Done" dataDxfId="687" dataCellStyle="Percent">
      <calculatedColumnFormula>+P24/IF(P12=0,1,P12)</calculatedColumnFormula>
    </tableColumn>
  </tableColumns>
  <tableStyleInfo name="TableStyleMedium21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" xr:uid="{EF32955B-DDC3-4C9A-BB03-110BF27698B6}" name="Table92431384559526673808794101108" displayName="Table92431384559526673808794101108" ref="N1:W4" totalsRowShown="0">
  <autoFilter ref="N1:W4" xr:uid="{00000000-0009-0000-0100-00006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443F0652-78F4-4C29-918C-C84823573A96}" name="Team"/>
    <tableColumn id="2" xr3:uid="{6AA0ABD1-5EE3-4080-80E6-7EA94F3FE571}" name="Committed" dataDxfId="686">
      <calculatedColumnFormula>+O12-Table92431384559526673808794101108[[#This Row],[Blocked]]</calculatedColumnFormula>
    </tableColumn>
    <tableColumn id="3" xr3:uid="{9EDC68AA-4536-49F2-A964-E4EC67023615}" name="Added">
      <calculatedColumnFormula>IF(ISERR(P12),0,P12)</calculatedColumnFormula>
    </tableColumn>
    <tableColumn id="4" xr3:uid="{3FDBF3AC-DBF2-4082-8D70-1F7A0D4923AD}" name="Blocked" dataDxfId="685">
      <calculatedColumnFormula>IF(ISERR(Q12),0,Q12)</calculatedColumnFormula>
    </tableColumn>
    <tableColumn id="5" xr3:uid="{1C192914-E0B9-4522-978B-B107080CDB34}" name="Completed" dataDxfId="684">
      <calculatedColumnFormula>+IF(ISERR(R16),0,R16)</calculatedColumnFormula>
    </tableColumn>
    <tableColumn id="6" xr3:uid="{495D0237-865A-4F6F-A9B9-C19263E1FFB9}" name="Completion V _x000a_Committed" dataDxfId="683" dataCellStyle="Percent">
      <calculatedColumnFormula>Table92431384559526673808794101108[[#This Row],[Completed]]/Table92431384559526673808794101108[[#This Row],[Committed]]</calculatedColumnFormula>
    </tableColumn>
    <tableColumn id="7" xr3:uid="{7DFE8042-9666-44CE-A6FF-E95443EFF8F1}" name="Overall _x000a_Completion" dataCellStyle="Percent">
      <calculatedColumnFormula>Table92431384559526673808794101108[[#This Row],[Completed]]/(Table92431384559526673808794101108[[#This Row],[Added]]+Table92431384559526673808794101108[[#This Row],[Committed]])</calculatedColumnFormula>
    </tableColumn>
    <tableColumn id="8" xr3:uid="{186B0508-B987-4E87-920C-A3C5CC65498A}" name="Committed _x000a_Completed"/>
    <tableColumn id="9" xr3:uid="{6148C9C8-98DF-460E-9C57-FBDCD44654C4}" name=" x" dataDxfId="682" dataCellStyle="Percent">
      <calculatedColumnFormula>IF(ISERR(O16),0,O16) &amp; "  (" &amp;TEXT(IF(ISERR(O16),0,O16)/Table92431384559526673808794101108[[#This Row],[Committed]],"#%") &amp; ")"</calculatedColumnFormula>
    </tableColumn>
    <tableColumn id="10" xr3:uid="{53BCD3F3-6FF1-41A1-B57F-38DAD9273D18}" name="Added _x000a_Completed" dataDxfId="681">
      <calculatedColumnFormula>+IF(ISERR(P16),0,P16) &amp; " (" &amp; TEXT(R20, "#%") &amp; ")"</calculatedColumnFormula>
    </tableColumn>
  </tableColumns>
  <tableStyleInfo name="TableStyleMedium16 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7" xr:uid="{C478B3E5-CCE4-48CB-8AA9-F4E42C9BCB92}" name="Table129135138" displayName="Table129135138" ref="O6:R8" totalsRowShown="0" headerRowDxfId="680" dataDxfId="679" dataCellStyle="Percent">
  <autoFilter ref="O6:R8" xr:uid="{AC8ADFAA-1972-499D-B5AE-67FA937BF5E4}">
    <filterColumn colId="0" hiddenButton="1"/>
    <filterColumn colId="1" hiddenButton="1"/>
    <filterColumn colId="2" hiddenButton="1"/>
    <filterColumn colId="3" hiddenButton="1"/>
  </autoFilter>
  <tableColumns count="4">
    <tableColumn id="1" xr3:uid="{FE58E5C6-563C-4BA4-B6FD-9BA92731E119}" name=" " dataDxfId="678"/>
    <tableColumn id="2" xr3:uid="{25FD3DCF-4B2F-4DB9-AD9B-E8D0ADBBB0F8}" name="AIX" dataDxfId="677" dataCellStyle="Percent">
      <calculatedColumnFormula>+P2/(P2+O2)</calculatedColumnFormula>
    </tableColumn>
    <tableColumn id="3" xr3:uid="{2A1A587A-AC52-4416-B552-D3B000626BB7}" name="UNIX" dataDxfId="676" dataCellStyle="Percent">
      <calculatedColumnFormula>P2/O2</calculatedColumnFormula>
    </tableColumn>
    <tableColumn id="4" xr3:uid="{117107F1-9D63-45B3-9F57-5AF56E1B0751}" name="Combined" dataDxfId="675" dataCellStyle="Percent">
      <calculatedColumnFormula>+#REF!/#REF!</calculatedColumnFormula>
    </tableColumn>
  </tableColumns>
  <tableStyleInfo name="TableStyleMedium16 2" showFirstColumn="1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" xr:uid="{00000000-000C-0000-FFFF-FFFF02000000}" name="T_04_11_1846606774818895" displayName="T_04_11_1846606774818895" ref="A1:I62" totalsRowShown="0" dataDxfId="656">
  <autoFilter ref="A1:I62" xr:uid="{00000000-0009-0000-0100-00005E000000}"/>
  <sortState ref="A2:I62">
    <sortCondition descending="1" ref="B1:B62"/>
  </sortState>
  <tableColumns count="9">
    <tableColumn id="10" xr3:uid="{00000000-0010-0000-0200-00000A000000}" name="ID" dataDxfId="655">
      <calculatedColumnFormula>MID(B2,8,3)</calculatedColumnFormula>
    </tableColumn>
    <tableColumn id="1" xr3:uid="{00000000-0010-0000-0200-000001000000}" name="Issue key" dataDxfId="654"/>
    <tableColumn id="3" xr3:uid="{00000000-0010-0000-0200-000003000000}" name="Status" dataDxfId="653"/>
    <tableColumn id="4" xr3:uid="{00000000-0010-0000-0200-000004000000}" name="Summary" dataDxfId="652"/>
    <tableColumn id="6" xr3:uid="{00000000-0010-0000-0200-000006000000}" name="Assignee" dataDxfId="651"/>
    <tableColumn id="5" xr3:uid="{00000000-0010-0000-0200-000005000000}" name="Story Points" dataDxfId="650"/>
    <tableColumn id="7" xr3:uid="{00000000-0010-0000-0200-000007000000}" name="Project" dataDxfId="649">
      <calculatedColumnFormula>MID(B2,4,1)</calculatedColumnFormula>
    </tableColumn>
    <tableColumn id="8" xr3:uid="{00000000-0010-0000-0200-000008000000}" name="Added After" dataDxfId="648"/>
    <tableColumn id="9" xr3:uid="{00000000-0010-0000-0200-000009000000}" name="Prj Cmpt" dataDxfId="647" dataCellStyle="Normal"/>
  </tableColumns>
  <tableStyleInfo name="TableStyleLight1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00000000-000C-0000-FFFF-FFFF03000000}" name="Table2192633405447616875828996" displayName="Table2192633405447616875828996" ref="N11:R13" totalsRowShown="0">
  <autoFilter ref="N11:R13" xr:uid="{00000000-0009-0000-0100-00005F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300-000001000000}" name="Team"/>
    <tableColumn id="2" xr3:uid="{00000000-0010-0000-0300-000002000000}" name="Commit"/>
    <tableColumn id="3" xr3:uid="{00000000-0010-0000-0300-000003000000}" name="Added">
      <calculatedColumnFormula>IFERROR(AC10,0)</calculatedColumnFormula>
    </tableColumn>
    <tableColumn id="5" xr3:uid="{00000000-0010-0000-0300-000005000000}" name="Blocked" dataDxfId="646">
      <calculatedColumnFormula>IFERROR(AD10,0)</calculatedColumnFormula>
    </tableColumn>
    <tableColumn id="4" xr3:uid="{00000000-0010-0000-0300-000004000000}" name="Total Story Points" dataDxfId="645">
      <calculatedColumnFormula>+IF(ISERR(P12),0,P12)+IF(ISERR(O12),0,O12)</calculatedColumnFormula>
    </tableColumn>
  </tableColumns>
  <tableStyleInfo name="TableStyleMedium3" showFirstColumn="1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00000000-000C-0000-FFFF-FFFF04000000}" name="Table3202734415548626976839097" displayName="Table3202734415548626976839097" ref="N15:R17" totalsRowShown="0">
  <autoFilter ref="N15:R17" xr:uid="{00000000-0009-0000-0100-000060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400-000001000000}" name="Done"/>
    <tableColumn id="2" xr3:uid="{00000000-0010-0000-0400-000002000000}" name="Committed Done">
      <calculatedColumnFormula>IFERROR(AC14,0)</calculatedColumnFormula>
    </tableColumn>
    <tableColumn id="3" xr3:uid="{00000000-0010-0000-0400-000003000000}" name="Added Done">
      <calculatedColumnFormula>IFERROR(AD14,0)</calculatedColumnFormula>
    </tableColumn>
    <tableColumn id="5" xr3:uid="{00000000-0010-0000-0400-000005000000}" name=" "/>
    <tableColumn id="4" xr3:uid="{00000000-0010-0000-0400-000004000000}" name="Total Done" dataDxfId="644">
      <calculatedColumnFormula>+IF(ISERR(P16),0,P16)+IF(ISERR(O16),0,O16)</calculatedColumnFormula>
    </tableColumn>
  </tableColumns>
  <tableStyleInfo name="TableStyleMedium6" showFirstColumn="1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7" xr:uid="{00000000-000C-0000-FFFF-FFFF05000000}" name="Table4212835425649637077849198" displayName="Table4212835425649637077849198" ref="N19:R21" totalsRowShown="0" dataDxfId="643" dataCellStyle="Percent">
  <autoFilter ref="N19:R21" xr:uid="{00000000-0009-0000-0100-000061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500-000001000000}" name="Done"/>
    <tableColumn id="2" xr3:uid="{00000000-0010-0000-0500-000002000000}" name="Total Done / Committed" dataDxfId="642" dataCellStyle="Percent">
      <calculatedColumnFormula>+R16/O12</calculatedColumnFormula>
    </tableColumn>
    <tableColumn id="3" xr3:uid="{00000000-0010-0000-0500-000003000000}" name="Total Done / Overall" dataDxfId="641" dataCellStyle="Percent">
      <calculatedColumnFormula>+R16/R12</calculatedColumnFormula>
    </tableColumn>
    <tableColumn id="5" xr3:uid="{00000000-0010-0000-0500-000005000000}" name="Committed Done" dataDxfId="640" dataCellStyle="Percent">
      <calculatedColumnFormula>+O16/IF(ISERR(O12),1,O12)</calculatedColumnFormula>
    </tableColumn>
    <tableColumn id="4" xr3:uid="{00000000-0010-0000-0500-000004000000}" name="Added Done" dataDxfId="639" dataCellStyle="Percent">
      <calculatedColumnFormula>+P16/IF(ISERR(AC10),1,P12)</calculatedColumnFormula>
    </tableColumn>
  </tableColumns>
  <tableStyleInfo name="TableStyleMedium6" showFirstColumn="1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" xr:uid="{00000000-000C-0000-FFFF-FFFF06000000}" name="Table7222936435750647178859299" displayName="Table7222936435750647178859299" ref="N23:R25" totalsRowShown="0">
  <autoFilter ref="N23:R25" xr:uid="{00000000-0009-0000-0100-000062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600-000001000000}" name="Prjtd"/>
    <tableColumn id="2" xr3:uid="{00000000-0010-0000-0600-000002000000}" name="Committed Done" dataDxfId="638">
      <calculatedColumnFormula>IFERROR(AC22,0)</calculatedColumnFormula>
    </tableColumn>
    <tableColumn id="3" xr3:uid="{00000000-0010-0000-0600-000003000000}" name="Added Done" dataDxfId="637">
      <calculatedColumnFormula>IFERROR(AD22,0)</calculatedColumnFormula>
    </tableColumn>
    <tableColumn id="5" xr3:uid="{00000000-0010-0000-0600-000005000000}" name="Commit Not Done" dataDxfId="636">
      <calculatedColumnFormula>+O12-Q12-Table7222936435750647178859299[[#This Row],[Committed Done]]</calculatedColumnFormula>
    </tableColumn>
    <tableColumn id="4" xr3:uid="{00000000-0010-0000-0600-000004000000}" name="Prj Story Points" dataDxfId="635">
      <calculatedColumnFormula>+Table7222936435750647178859299[[#This Row],[Committed Done]]+Table7222936435750647178859299[[#This Row],[Added Done]]</calculatedColumnFormula>
    </tableColumn>
  </tableColumns>
  <tableStyleInfo name="TableStyleMedium21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00000000-000C-0000-FFFF-FFFF07000000}" name="Table82330374458516572798693100" displayName="Table82330374458516572798693100" ref="N27:R29" totalsRowShown="0" dataDxfId="634" dataCellStyle="Percent">
  <autoFilter ref="N27:R29" xr:uid="{00000000-0009-0000-0100-000063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700-000001000000}" name="Prjtd"/>
    <tableColumn id="2" xr3:uid="{00000000-0010-0000-0700-000002000000}" name="Total Done / Committed" dataDxfId="633" dataCellStyle="Percent">
      <calculatedColumnFormula>R24/IF(O12=0, 1,O12)</calculatedColumnFormula>
    </tableColumn>
    <tableColumn id="3" xr3:uid="{00000000-0010-0000-0700-000003000000}" name="Total Done / Overall" dataDxfId="632" dataCellStyle="Percent">
      <calculatedColumnFormula>R24/IF(R12=0,1,R12)</calculatedColumnFormula>
    </tableColumn>
    <tableColumn id="5" xr3:uid="{00000000-0010-0000-0700-000005000000}" name="Committed Done" dataDxfId="631" dataCellStyle="Percent">
      <calculatedColumnFormula>O24/IF(O12=0,1,O12)</calculatedColumnFormula>
    </tableColumn>
    <tableColumn id="4" xr3:uid="{00000000-0010-0000-0700-000004000000}" name="Prj Added Done" dataDxfId="630" dataCellStyle="Percent">
      <calculatedColumnFormula>+P24/IF(P12=0,1,P12)</calculatedColumnFormula>
    </tableColumn>
  </tableColumns>
  <tableStyleInfo name="TableStyleMedium21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00000000-000C-0000-FFFF-FFFF08000000}" name="Table92431384559526673808794101" displayName="Table92431384559526673808794101" ref="N1:W4" totalsRowShown="0">
  <autoFilter ref="N1:W4" xr:uid="{00000000-0009-0000-0100-00006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00000000-0010-0000-0800-000001000000}" name="Team"/>
    <tableColumn id="2" xr3:uid="{00000000-0010-0000-0800-000002000000}" name="Committed" dataDxfId="629">
      <calculatedColumnFormula>+O12-Table92431384559526673808794101[[#This Row],[Blocked]]</calculatedColumnFormula>
    </tableColumn>
    <tableColumn id="3" xr3:uid="{00000000-0010-0000-0800-000003000000}" name="Added">
      <calculatedColumnFormula>IF(ISERR(P12),0,P12)</calculatedColumnFormula>
    </tableColumn>
    <tableColumn id="4" xr3:uid="{00000000-0010-0000-0800-000004000000}" name="Blocked" dataDxfId="628">
      <calculatedColumnFormula>IF(ISERR(Q12),0,Q12)</calculatedColumnFormula>
    </tableColumn>
    <tableColumn id="5" xr3:uid="{00000000-0010-0000-0800-000005000000}" name="Completed" dataDxfId="627">
      <calculatedColumnFormula>+IF(ISERR(R16),0,R16)</calculatedColumnFormula>
    </tableColumn>
    <tableColumn id="6" xr3:uid="{00000000-0010-0000-0800-000006000000}" name="Completion V _x000a_Committed" dataDxfId="626" dataCellStyle="Percent">
      <calculatedColumnFormula>Table92431384559526673808794101[[#This Row],[Completed]]/Table92431384559526673808794101[[#This Row],[Committed]]</calculatedColumnFormula>
    </tableColumn>
    <tableColumn id="7" xr3:uid="{00000000-0010-0000-0800-000007000000}" name="Overall _x000a_Completion" dataCellStyle="Percent">
      <calculatedColumnFormula>Table92431384559526673808794101[[#This Row],[Completed]]/(Table92431384559526673808794101[[#This Row],[Added]]+Table92431384559526673808794101[[#This Row],[Committed]])</calculatedColumnFormula>
    </tableColumn>
    <tableColumn id="8" xr3:uid="{00000000-0010-0000-0800-000008000000}" name="Committed _x000a_Completed"/>
    <tableColumn id="9" xr3:uid="{00000000-0010-0000-0800-000009000000}" name=" x" dataDxfId="625" dataCellStyle="Percent">
      <calculatedColumnFormula>IF(ISERR(O16),0,O16) &amp; "  (" &amp;TEXT(IF(ISERR(O16),0,O16)/Table92431384559526673808794101[[#This Row],[Committed]],"#%") &amp; ")"</calculatedColumnFormula>
    </tableColumn>
    <tableColumn id="10" xr3:uid="{00000000-0010-0000-0800-00000A000000}" name="Added _x000a_Completed" dataDxfId="624">
      <calculatedColumnFormula>+IF(ISERR(P16),0,P16) &amp; " (" &amp; TEXT(R20, "#%") &amp; ")"</calculatedColumnFormula>
    </tableColumn>
  </tableColumns>
  <tableStyleInfo name="TableStyleMedium16 2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1" xr:uid="{4F9C6C00-0CAC-4CCD-9992-36B94CFAEFAC}" name="Table129135138142" displayName="Table129135138142" ref="O6:R8" totalsRowShown="0" headerRowDxfId="623" dataDxfId="622" dataCellStyle="Percent">
  <autoFilter ref="O6:R8" xr:uid="{0CA1A464-C28C-44C5-B877-9986FFA7467F}">
    <filterColumn colId="0" hiddenButton="1"/>
    <filterColumn colId="1" hiddenButton="1"/>
    <filterColumn colId="2" hiddenButton="1"/>
    <filterColumn colId="3" hiddenButton="1"/>
  </autoFilter>
  <tableColumns count="4">
    <tableColumn id="1" xr3:uid="{E353AC09-1550-42A9-B376-D68DB988BF6C}" name=" " dataDxfId="621"/>
    <tableColumn id="2" xr3:uid="{0531FECB-680B-4863-A80E-0B6507889B3D}" name="AIX" dataDxfId="620" dataCellStyle="Percent">
      <calculatedColumnFormula>+P2/(P2+O2)</calculatedColumnFormula>
    </tableColumn>
    <tableColumn id="3" xr3:uid="{D33EC826-3FFF-4982-9AF1-C38C15F9E5E8}" name="UNIX" dataDxfId="619" dataCellStyle="Percent">
      <calculatedColumnFormula>P2/O2</calculatedColumnFormula>
    </tableColumn>
    <tableColumn id="4" xr3:uid="{0FE09085-A773-46D6-BC74-9D14CCA86F55}" name="Combined" dataDxfId="618" dataCellStyle="Percent">
      <calculatedColumnFormula>+#REF!/#REF!</calculatedColumnFormula>
    </tableColumn>
  </tableColumns>
  <tableStyleInfo name="TableStyleMedium16 2" showFirstColumn="1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00000000-000C-0000-FFFF-FFFF09000000}" name="T_04_11_18466067748188" displayName="T_04_11_18466067748188" ref="A1:I62" totalsRowShown="0" dataDxfId="599">
  <autoFilter ref="A1:I62" xr:uid="{00000000-0009-0000-0100-000057000000}"/>
  <sortState ref="A2:I62">
    <sortCondition descending="1" ref="B1:B62"/>
  </sortState>
  <tableColumns count="9">
    <tableColumn id="10" xr3:uid="{00000000-0010-0000-0900-00000A000000}" name="ID" dataDxfId="598">
      <calculatedColumnFormula>MID(B2,8,3)</calculatedColumnFormula>
    </tableColumn>
    <tableColumn id="1" xr3:uid="{00000000-0010-0000-0900-000001000000}" name="Issue key" dataDxfId="597"/>
    <tableColumn id="3" xr3:uid="{00000000-0010-0000-0900-000003000000}" name="Status" dataDxfId="596"/>
    <tableColumn id="4" xr3:uid="{00000000-0010-0000-0900-000004000000}" name="Summary" dataDxfId="595"/>
    <tableColumn id="6" xr3:uid="{00000000-0010-0000-0900-000006000000}" name="Assignee" dataDxfId="594"/>
    <tableColumn id="5" xr3:uid="{00000000-0010-0000-0900-000005000000}" name="Story Points" dataDxfId="593"/>
    <tableColumn id="7" xr3:uid="{00000000-0010-0000-0900-000007000000}" name="Project" dataDxfId="592">
      <calculatedColumnFormula>MID(B2,4,1)</calculatedColumnFormula>
    </tableColumn>
    <tableColumn id="8" xr3:uid="{00000000-0010-0000-0900-000008000000}" name="Added After" dataDxfId="591"/>
    <tableColumn id="9" xr3:uid="{00000000-0010-0000-0900-000009000000}" name="Prj Cmpt" dataDxfId="590" dataCellStyle="Normal"/>
  </tableColumns>
  <tableStyleInfo name="TableStyleLight1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00000000-000C-0000-FFFF-FFFF0A000000}" name="Table21926334054476168758289" displayName="Table21926334054476168758289" ref="N11:R13" totalsRowShown="0">
  <autoFilter ref="N11:R13" xr:uid="{00000000-0009-0000-0100-000058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A00-000001000000}" name="Team"/>
    <tableColumn id="2" xr3:uid="{00000000-0010-0000-0A00-000002000000}" name="Commit"/>
    <tableColumn id="3" xr3:uid="{00000000-0010-0000-0A00-000003000000}" name="Added">
      <calculatedColumnFormula>IFERROR(AC10,0)</calculatedColumnFormula>
    </tableColumn>
    <tableColumn id="5" xr3:uid="{00000000-0010-0000-0A00-000005000000}" name="Blocked" dataDxfId="589">
      <calculatedColumnFormula>IFERROR(AD10,0)</calculatedColumnFormula>
    </tableColumn>
    <tableColumn id="4" xr3:uid="{00000000-0010-0000-0A00-000004000000}" name="Total Story Points" dataDxfId="588">
      <calculatedColumnFormula>+IF(ISERR(P12),0,P12)+IF(ISERR(O12),0,O12)</calculatedColumnFormula>
    </tableColumn>
  </tableColumns>
  <tableStyleInfo name="TableStyleMedium3" showFirstColumn="1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00000000-000C-0000-FFFF-FFFF0B000000}" name="Table32027344155486269768390" displayName="Table32027344155486269768390" ref="N15:R17" totalsRowShown="0">
  <autoFilter ref="N15:R17" xr:uid="{00000000-0009-0000-0100-000059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B00-000001000000}" name="Done"/>
    <tableColumn id="2" xr3:uid="{00000000-0010-0000-0B00-000002000000}" name="Committed Done">
      <calculatedColumnFormula>IFERROR(AC14,0)</calculatedColumnFormula>
    </tableColumn>
    <tableColumn id="3" xr3:uid="{00000000-0010-0000-0B00-000003000000}" name="Added Done">
      <calculatedColumnFormula>IFERROR(AD14,0)</calculatedColumnFormula>
    </tableColumn>
    <tableColumn id="5" xr3:uid="{00000000-0010-0000-0B00-000005000000}" name=" "/>
    <tableColumn id="4" xr3:uid="{00000000-0010-0000-0B00-000004000000}" name="Total Done" dataDxfId="587">
      <calculatedColumnFormula>+IF(ISERR(P16),0,P16)+IF(ISERR(O16),0,O16)</calculatedColumnFormula>
    </tableColumn>
  </tableColumns>
  <tableStyleInfo name="TableStyleMedium6" showFirstColumn="1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00000000-000C-0000-FFFF-FFFF0C000000}" name="Table42128354256496370778491" displayName="Table42128354256496370778491" ref="N19:R21" totalsRowShown="0" dataDxfId="586" dataCellStyle="Percent">
  <autoFilter ref="N19:R21" xr:uid="{00000000-0009-0000-0100-00005A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C00-000001000000}" name="Done"/>
    <tableColumn id="2" xr3:uid="{00000000-0010-0000-0C00-000002000000}" name="Total Done / Committed" dataDxfId="585" dataCellStyle="Percent">
      <calculatedColumnFormula>+R16/O12</calculatedColumnFormula>
    </tableColumn>
    <tableColumn id="3" xr3:uid="{00000000-0010-0000-0C00-000003000000}" name="Total Done / Overall" dataDxfId="584" dataCellStyle="Percent">
      <calculatedColumnFormula>+R16/R12</calculatedColumnFormula>
    </tableColumn>
    <tableColumn id="5" xr3:uid="{00000000-0010-0000-0C00-000005000000}" name="Committed Done" dataDxfId="583" dataCellStyle="Percent">
      <calculatedColumnFormula>+O16/IF(ISERR(O12),1,O12)</calculatedColumnFormula>
    </tableColumn>
    <tableColumn id="4" xr3:uid="{00000000-0010-0000-0C00-000004000000}" name="Added Done" dataDxfId="582" dataCellStyle="Percent">
      <calculatedColumnFormula>+P16/IF(ISERR(AC10),1,P12)</calculatedColumnFormula>
    </tableColumn>
  </tableColumns>
  <tableStyleInfo name="TableStyleMedium6" showFirstColumn="1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00000000-000C-0000-FFFF-FFFF0D000000}" name="Table72229364357506471788592" displayName="Table72229364357506471788592" ref="N23:R25" totalsRowShown="0">
  <autoFilter ref="N23:R25" xr:uid="{00000000-0009-0000-0100-00005B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D00-000001000000}" name="Prjtd"/>
    <tableColumn id="2" xr3:uid="{00000000-0010-0000-0D00-000002000000}" name="Committed Done" dataDxfId="581">
      <calculatedColumnFormula>IFERROR(AC22,0)</calculatedColumnFormula>
    </tableColumn>
    <tableColumn id="3" xr3:uid="{00000000-0010-0000-0D00-000003000000}" name="Added Done" dataDxfId="580">
      <calculatedColumnFormula>IFERROR(AD22,0)</calculatedColumnFormula>
    </tableColumn>
    <tableColumn id="5" xr3:uid="{00000000-0010-0000-0D00-000005000000}" name="Commit Not Done" dataDxfId="579">
      <calculatedColumnFormula>+O12-Q12-Table72229364357506471788592[[#This Row],[Committed Done]]</calculatedColumnFormula>
    </tableColumn>
    <tableColumn id="4" xr3:uid="{00000000-0010-0000-0D00-000004000000}" name="Prj Story Points" dataDxfId="578">
      <calculatedColumnFormula>+Table72229364357506471788592[[#This Row],[Committed Done]]+Table72229364357506471788592[[#This Row],[Added Done]]</calculatedColumnFormula>
    </tableColumn>
  </tableColumns>
  <tableStyleInfo name="TableStyleMedium21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" xr:uid="{00000000-000C-0000-FFFF-FFFF0E000000}" name="Table82330374458516572798693" displayName="Table82330374458516572798693" ref="N27:R29" totalsRowShown="0" dataDxfId="577" dataCellStyle="Percent">
  <autoFilter ref="N27:R29" xr:uid="{00000000-0009-0000-0100-00005C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E00-000001000000}" name="Prjtd"/>
    <tableColumn id="2" xr3:uid="{00000000-0010-0000-0E00-000002000000}" name="Total Done / Committed" dataDxfId="576" dataCellStyle="Percent">
      <calculatedColumnFormula>R24/IF(O12=0, 1,O12)</calculatedColumnFormula>
    </tableColumn>
    <tableColumn id="3" xr3:uid="{00000000-0010-0000-0E00-000003000000}" name="Total Done / Overall" dataDxfId="575" dataCellStyle="Percent">
      <calculatedColumnFormula>R24/IF(R12=0,1,R12)</calculatedColumnFormula>
    </tableColumn>
    <tableColumn id="5" xr3:uid="{00000000-0010-0000-0E00-000005000000}" name="Committed Done" dataDxfId="574" dataCellStyle="Percent">
      <calculatedColumnFormula>O24/IF(O12=0,1,O12)</calculatedColumnFormula>
    </tableColumn>
    <tableColumn id="4" xr3:uid="{00000000-0010-0000-0E00-000004000000}" name="Prj Added Done" dataDxfId="573" dataCellStyle="Percent">
      <calculatedColumnFormula>+P24/IF(P12=0,1,P12)</calculatedColumnFormula>
    </tableColumn>
  </tableColumns>
  <tableStyleInfo name="TableStyleMedium21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" xr:uid="{00000000-000C-0000-FFFF-FFFF0F000000}" name="Table92431384559526673808794" displayName="Table92431384559526673808794" ref="N1:W4" totalsRowShown="0">
  <autoFilter ref="N1:W4" xr:uid="{00000000-0009-0000-0100-00005D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00000000-0010-0000-0F00-000001000000}" name="Team"/>
    <tableColumn id="2" xr3:uid="{00000000-0010-0000-0F00-000002000000}" name="Committed" dataDxfId="572">
      <calculatedColumnFormula>+O12-Table92431384559526673808794[[#This Row],[Blocked]]</calculatedColumnFormula>
    </tableColumn>
    <tableColumn id="3" xr3:uid="{00000000-0010-0000-0F00-000003000000}" name="Added">
      <calculatedColumnFormula>IF(ISERR(P12),0,P12)</calculatedColumnFormula>
    </tableColumn>
    <tableColumn id="4" xr3:uid="{00000000-0010-0000-0F00-000004000000}" name="Blocked" dataDxfId="571">
      <calculatedColumnFormula>IF(ISERR(Q12),0,Q12)</calculatedColumnFormula>
    </tableColumn>
    <tableColumn id="5" xr3:uid="{00000000-0010-0000-0F00-000005000000}" name="Completed" dataDxfId="570">
      <calculatedColumnFormula>+IF(ISERR(R16),0,R16)</calculatedColumnFormula>
    </tableColumn>
    <tableColumn id="6" xr3:uid="{00000000-0010-0000-0F00-000006000000}" name="Completion V _x000a_Committed" dataDxfId="569" dataCellStyle="Percent">
      <calculatedColumnFormula>Table92431384559526673808794[[#This Row],[Completed]]/Table92431384559526673808794[[#This Row],[Committed]]</calculatedColumnFormula>
    </tableColumn>
    <tableColumn id="7" xr3:uid="{00000000-0010-0000-0F00-000007000000}" name="Overall _x000a_Completion" dataCellStyle="Percent">
      <calculatedColumnFormula>Table92431384559526673808794[[#This Row],[Completed]]/(Table92431384559526673808794[[#This Row],[Added]]+Table92431384559526673808794[[#This Row],[Committed]])</calculatedColumnFormula>
    </tableColumn>
    <tableColumn id="8" xr3:uid="{00000000-0010-0000-0F00-000008000000}" name="Committed _x000a_Completed"/>
    <tableColumn id="9" xr3:uid="{00000000-0010-0000-0F00-000009000000}" name=" x" dataDxfId="568" dataCellStyle="Percent">
      <calculatedColumnFormula>IF(ISERR(O16),0,O16) &amp; "  (" &amp;TEXT(IF(ISERR(O16),0,O16)/Table92431384559526673808794[[#This Row],[Committed]],"#%") &amp; ")"</calculatedColumnFormula>
    </tableColumn>
    <tableColumn id="10" xr3:uid="{00000000-0010-0000-0F00-00000A000000}" name="Added _x000a_Completed" dataDxfId="567">
      <calculatedColumnFormula>+IF(ISERR(P16),0,P16) &amp; " (" &amp; TEXT(R20, "#%") &amp; ")"</calculatedColumnFormula>
    </tableColumn>
  </tableColumns>
  <tableStyleInfo name="TableStyleMedium16 2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2" xr:uid="{39FDFC83-266C-4F5C-952D-DF848FFC61D5}" name="Table129135138143" displayName="Table129135138143" ref="O6:R8" totalsRowShown="0" headerRowDxfId="566" dataDxfId="565" dataCellStyle="Percent">
  <autoFilter ref="O6:R8" xr:uid="{02269218-E32E-4323-B9D5-9294D4698BC7}">
    <filterColumn colId="0" hiddenButton="1"/>
    <filterColumn colId="1" hiddenButton="1"/>
    <filterColumn colId="2" hiddenButton="1"/>
    <filterColumn colId="3" hiddenButton="1"/>
  </autoFilter>
  <tableColumns count="4">
    <tableColumn id="1" xr3:uid="{E7C98F8D-11A8-4570-A4BB-352E648F17F1}" name=" " dataDxfId="564"/>
    <tableColumn id="2" xr3:uid="{26641F89-BE2A-422B-8C40-679B11E3F326}" name="AIX" dataDxfId="563" dataCellStyle="Percent">
      <calculatedColumnFormula>+P2/(P2+O2)</calculatedColumnFormula>
    </tableColumn>
    <tableColumn id="3" xr3:uid="{DCB604F7-6C36-4FAE-A79B-F3C95E62DAE9}" name="UNIX" dataDxfId="562" dataCellStyle="Percent">
      <calculatedColumnFormula>P2/O2</calculatedColumnFormula>
    </tableColumn>
    <tableColumn id="4" xr3:uid="{9FFCFC1D-9A36-4BA7-B3EF-E4DCC82B76EC}" name="Combined" dataDxfId="561" dataCellStyle="Percent">
      <calculatedColumnFormula>+#REF!/#REF!</calculatedColumnFormula>
    </tableColumn>
  </tableColumns>
  <tableStyleInfo name="TableStyleMedium16 2" showFirstColumn="1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00000000-000C-0000-FFFF-FFFF10000000}" name="T_04_11_184660677481" displayName="T_04_11_184660677481" ref="A1:I62" totalsRowShown="0" dataDxfId="546">
  <autoFilter ref="A1:I62" xr:uid="{00000000-0009-0000-0100-000050000000}"/>
  <sortState ref="A2:I62">
    <sortCondition descending="1" ref="B1:B62"/>
  </sortState>
  <tableColumns count="9">
    <tableColumn id="10" xr3:uid="{00000000-0010-0000-1000-00000A000000}" name="ID" dataDxfId="545">
      <calculatedColumnFormula>MID(B2,8,3)</calculatedColumnFormula>
    </tableColumn>
    <tableColumn id="1" xr3:uid="{00000000-0010-0000-1000-000001000000}" name="Issue key" dataDxfId="544"/>
    <tableColumn id="3" xr3:uid="{00000000-0010-0000-1000-000003000000}" name="Status" dataDxfId="543"/>
    <tableColumn id="4" xr3:uid="{00000000-0010-0000-1000-000004000000}" name="Summary" dataDxfId="542"/>
    <tableColumn id="5" xr3:uid="{00000000-0010-0000-1000-000005000000}" name="Story Points" dataDxfId="541"/>
    <tableColumn id="6" xr3:uid="{00000000-0010-0000-1000-000006000000}" name="Assignee" dataDxfId="540"/>
    <tableColumn id="7" xr3:uid="{00000000-0010-0000-1000-000007000000}" name="Project" dataDxfId="539">
      <calculatedColumnFormula>MID(B2,4,1)</calculatedColumnFormula>
    </tableColumn>
    <tableColumn id="8" xr3:uid="{00000000-0010-0000-1000-000008000000}" name="Added After" dataDxfId="538"/>
    <tableColumn id="9" xr3:uid="{00000000-0010-0000-1000-000009000000}" name="Prj Cmpt" dataDxfId="537" dataCellStyle="Normal"/>
  </tableColumns>
  <tableStyleInfo name="TableStyleLight1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00000000-000C-0000-FFFF-FFFF11000000}" name="Table219263340544761687582" displayName="Table219263340544761687582" ref="N9:R11" totalsRowShown="0">
  <autoFilter ref="N9:R11" xr:uid="{00000000-0009-0000-0100-000051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1100-000001000000}" name="Team"/>
    <tableColumn id="2" xr3:uid="{00000000-0010-0000-1100-000002000000}" name="Commit"/>
    <tableColumn id="3" xr3:uid="{00000000-0010-0000-1100-000003000000}" name="Added">
      <calculatedColumnFormula>IFERROR(AC10,0)</calculatedColumnFormula>
    </tableColumn>
    <tableColumn id="5" xr3:uid="{00000000-0010-0000-1100-000005000000}" name="Blocked" dataDxfId="536">
      <calculatedColumnFormula>IFERROR(AD10,0)</calculatedColumnFormula>
    </tableColumn>
    <tableColumn id="4" xr3:uid="{00000000-0010-0000-1100-000004000000}" name="Total Story Points" dataDxfId="535">
      <calculatedColumnFormula>+IF(ISERR(P10),0,P10)+IF(ISERR(O10),0,O10)</calculatedColumnFormula>
    </tableColumn>
  </tableColumns>
  <tableStyleInfo name="TableStyleMedium3" showFirstColumn="1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00000000-000C-0000-FFFF-FFFF12000000}" name="Table320273441554862697683" displayName="Table320273441554862697683" ref="N13:R15" totalsRowShown="0">
  <autoFilter ref="N13:R15" xr:uid="{00000000-0009-0000-0100-000052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1200-000001000000}" name="Done"/>
    <tableColumn id="2" xr3:uid="{00000000-0010-0000-1200-000002000000}" name="Committed Done">
      <calculatedColumnFormula>IFERROR(AC14,0)</calculatedColumnFormula>
    </tableColumn>
    <tableColumn id="3" xr3:uid="{00000000-0010-0000-1200-000003000000}" name="Added Done">
      <calculatedColumnFormula>IFERROR(AD14,0)</calculatedColumnFormula>
    </tableColumn>
    <tableColumn id="5" xr3:uid="{00000000-0010-0000-1200-000005000000}" name=" "/>
    <tableColumn id="4" xr3:uid="{00000000-0010-0000-1200-000004000000}" name="Total Done" dataDxfId="534">
      <calculatedColumnFormula>+IF(ISERR(P14),0,P14)+IF(ISERR(O14),0,O14)</calculatedColumnFormula>
    </tableColumn>
  </tableColumns>
  <tableStyleInfo name="TableStyleMedium6" showFirstColumn="1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00000000-000C-0000-FFFF-FFFF13000000}" name="Table421283542564963707784" displayName="Table421283542564963707784" ref="N17:R19" totalsRowShown="0" dataDxfId="533" dataCellStyle="Percent">
  <autoFilter ref="N17:R19" xr:uid="{00000000-0009-0000-0100-000053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1300-000001000000}" name="Done"/>
    <tableColumn id="2" xr3:uid="{00000000-0010-0000-1300-000002000000}" name="Total Done / Committed" dataDxfId="532" dataCellStyle="Percent">
      <calculatedColumnFormula>+R14/O10</calculatedColumnFormula>
    </tableColumn>
    <tableColumn id="3" xr3:uid="{00000000-0010-0000-1300-000003000000}" name="Total Done / Overall" dataDxfId="531" dataCellStyle="Percent">
      <calculatedColumnFormula>+R14/R10</calculatedColumnFormula>
    </tableColumn>
    <tableColumn id="5" xr3:uid="{00000000-0010-0000-1300-000005000000}" name="Committed Done" dataDxfId="530" dataCellStyle="Percent">
      <calculatedColumnFormula>+O14/IF(ISERR(O10),1,O10)</calculatedColumnFormula>
    </tableColumn>
    <tableColumn id="4" xr3:uid="{00000000-0010-0000-1300-000004000000}" name="Added Done" dataDxfId="529" dataCellStyle="Percent">
      <calculatedColumnFormula>+P14/IF(ISERR(AC10),1,P10)</calculatedColumnFormula>
    </tableColumn>
  </tableColumns>
  <tableStyleInfo name="TableStyleMedium6" showFirstColumn="1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00000000-000C-0000-FFFF-FFFF14000000}" name="Table722293643575064717885" displayName="Table722293643575064717885" ref="N21:R23" totalsRowShown="0">
  <autoFilter ref="N21:R23" xr:uid="{00000000-0009-0000-0100-000054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1400-000001000000}" name="Prjtd"/>
    <tableColumn id="2" xr3:uid="{00000000-0010-0000-1400-000002000000}" name="Committed Done" dataDxfId="528">
      <calculatedColumnFormula>IFERROR(AC22,0)</calculatedColumnFormula>
    </tableColumn>
    <tableColumn id="3" xr3:uid="{00000000-0010-0000-1400-000003000000}" name="Added Done" dataDxfId="527">
      <calculatedColumnFormula>IFERROR(AD22,0)</calculatedColumnFormula>
    </tableColumn>
    <tableColumn id="5" xr3:uid="{00000000-0010-0000-1400-000005000000}" name="Commit Not Done" dataDxfId="526">
      <calculatedColumnFormula>+O10-Q10-Table722293643575064717885[[#This Row],[Committed Done]]</calculatedColumnFormula>
    </tableColumn>
    <tableColumn id="4" xr3:uid="{00000000-0010-0000-1400-000004000000}" name="Prj Story Points" dataDxfId="525">
      <calculatedColumnFormula>+Table722293643575064717885[[#This Row],[Committed Done]]+Table722293643575064717885[[#This Row],[Added Done]]</calculatedColumnFormula>
    </tableColumn>
  </tableColumns>
  <tableStyleInfo name="TableStyleMedium21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00000000-000C-0000-FFFF-FFFF15000000}" name="Table823303744585165727986" displayName="Table823303744585165727986" ref="N25:R27" totalsRowShown="0" dataDxfId="524" dataCellStyle="Percent">
  <autoFilter ref="N25:R27" xr:uid="{00000000-0009-0000-0100-000055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1500-000001000000}" name="Prjtd"/>
    <tableColumn id="2" xr3:uid="{00000000-0010-0000-1500-000002000000}" name="Total Done / Committed" dataDxfId="523" dataCellStyle="Percent">
      <calculatedColumnFormula>R22/IF(O10=0, 1,O10)</calculatedColumnFormula>
    </tableColumn>
    <tableColumn id="3" xr3:uid="{00000000-0010-0000-1500-000003000000}" name="Total Done / Overall" dataDxfId="522" dataCellStyle="Percent">
      <calculatedColumnFormula>R22/IF(R10=0,1,R10)</calculatedColumnFormula>
    </tableColumn>
    <tableColumn id="5" xr3:uid="{00000000-0010-0000-1500-000005000000}" name="Committed Done" dataDxfId="521" dataCellStyle="Percent">
      <calculatedColumnFormula>O22/IF(O10=0,1,O10)</calculatedColumnFormula>
    </tableColumn>
    <tableColumn id="4" xr3:uid="{00000000-0010-0000-1500-000004000000}" name="Prj Added Done" dataDxfId="520" dataCellStyle="Percent">
      <calculatedColumnFormula>+P22/IF(P10=0,1,P10)</calculatedColumnFormula>
    </tableColumn>
  </tableColumns>
  <tableStyleInfo name="TableStyleMedium21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00000000-000C-0000-FFFF-FFFF16000000}" name="Table924313845595266738087" displayName="Table924313845595266738087" ref="N1:W4" totalsRowShown="0">
  <autoFilter ref="N1:W4" xr:uid="{00000000-0009-0000-0100-00005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00000000-0010-0000-1600-000001000000}" name="Team"/>
    <tableColumn id="2" xr3:uid="{00000000-0010-0000-1600-000002000000}" name="Committed" dataDxfId="519">
      <calculatedColumnFormula>+O10-Table924313845595266738087[[#This Row],[Blocked]]</calculatedColumnFormula>
    </tableColumn>
    <tableColumn id="3" xr3:uid="{00000000-0010-0000-1600-000003000000}" name="Added">
      <calculatedColumnFormula>IF(ISERR(P10),0,P10)</calculatedColumnFormula>
    </tableColumn>
    <tableColumn id="4" xr3:uid="{00000000-0010-0000-1600-000004000000}" name="Blocked" dataDxfId="518">
      <calculatedColumnFormula>IF(ISERR(Q10),0,Q10)</calculatedColumnFormula>
    </tableColumn>
    <tableColumn id="5" xr3:uid="{00000000-0010-0000-1600-000005000000}" name="Completed" dataDxfId="517">
      <calculatedColumnFormula>+IF(ISERR(R14),0,R14)</calculatedColumnFormula>
    </tableColumn>
    <tableColumn id="6" xr3:uid="{00000000-0010-0000-1600-000006000000}" name="Completion V _x000a_Committed" dataDxfId="516" dataCellStyle="Percent">
      <calculatedColumnFormula>Table924313845595266738087[[#This Row],[Completed]]/Table924313845595266738087[[#This Row],[Committed]]</calculatedColumnFormula>
    </tableColumn>
    <tableColumn id="7" xr3:uid="{00000000-0010-0000-1600-000007000000}" name="Overall _x000a_Completion" dataCellStyle="Percent">
      <calculatedColumnFormula>Table924313845595266738087[[#This Row],[Completed]]/(Table924313845595266738087[[#This Row],[Added]]+Table924313845595266738087[[#This Row],[Committed]])</calculatedColumnFormula>
    </tableColumn>
    <tableColumn id="8" xr3:uid="{00000000-0010-0000-1600-000008000000}" name=" "/>
    <tableColumn id="9" xr3:uid="{00000000-0010-0000-1600-000009000000}" name="Committed _x000a_Completed" dataDxfId="515" dataCellStyle="Percent">
      <calculatedColumnFormula>IF(ISERR(O14),0,O14) &amp; "  (" &amp;TEXT(IF(ISERR(O14),0,O14)/Table924313845595266738087[[#This Row],[Committed]],"#%") &amp; ")"</calculatedColumnFormula>
    </tableColumn>
    <tableColumn id="10" xr3:uid="{00000000-0010-0000-1600-00000A000000}" name="Added _x000a_Completed" dataDxfId="514">
      <calculatedColumnFormula>+IF(ISERR(P14),0,P14) &amp; " (" &amp; TEXT(R18, "#%") &amp; ")"</calculatedColumnFormula>
    </tableColumn>
  </tableColumns>
  <tableStyleInfo name="TableStyleMedium16 2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00000000-000C-0000-FFFF-FFFF17000000}" name="T_04_11_1846606774" displayName="T_04_11_1846606774" ref="A1:I57" totalsRowShown="0" dataDxfId="497">
  <autoFilter ref="A1:I57" xr:uid="{00000000-0009-0000-0100-000049000000}"/>
  <sortState ref="A2:I20">
    <sortCondition ref="F1:F57"/>
  </sortState>
  <tableColumns count="9">
    <tableColumn id="10" xr3:uid="{00000000-0010-0000-1700-00000A000000}" name="ID" dataDxfId="496">
      <calculatedColumnFormula>MID(B2,8,3)</calculatedColumnFormula>
    </tableColumn>
    <tableColumn id="1" xr3:uid="{00000000-0010-0000-1700-000001000000}" name="Issue key" dataDxfId="495"/>
    <tableColumn id="3" xr3:uid="{00000000-0010-0000-1700-000003000000}" name="Status" dataDxfId="494"/>
    <tableColumn id="4" xr3:uid="{00000000-0010-0000-1700-000004000000}" name="Summary" dataDxfId="493"/>
    <tableColumn id="5" xr3:uid="{00000000-0010-0000-1700-000005000000}" name="Story Points" dataDxfId="492"/>
    <tableColumn id="6" xr3:uid="{00000000-0010-0000-1700-000006000000}" name="Assignee" dataDxfId="491"/>
    <tableColumn id="7" xr3:uid="{00000000-0010-0000-1700-000007000000}" name="Project" dataDxfId="490">
      <calculatedColumnFormula>MID(B2,4,1)</calculatedColumnFormula>
    </tableColumn>
    <tableColumn id="8" xr3:uid="{00000000-0010-0000-1700-000008000000}" name="Added After" dataDxfId="489"/>
    <tableColumn id="9" xr3:uid="{00000000-0010-0000-1700-000009000000}" name="Prj Cmpt" dataDxfId="488" dataCellStyle="Normal"/>
  </tableColumns>
  <tableStyleInfo name="TableStyleLight1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00000000-000C-0000-FFFF-FFFF18000000}" name="Table2192633405447616875" displayName="Table2192633405447616875" ref="N9:R11" totalsRowShown="0">
  <autoFilter ref="N9:R11" xr:uid="{00000000-0009-0000-0100-00004A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1800-000001000000}" name="Team"/>
    <tableColumn id="2" xr3:uid="{00000000-0010-0000-1800-000002000000}" name="Commit"/>
    <tableColumn id="3" xr3:uid="{00000000-0010-0000-1800-000003000000}" name="Added">
      <calculatedColumnFormula>IFERROR(AC10,0)</calculatedColumnFormula>
    </tableColumn>
    <tableColumn id="5" xr3:uid="{00000000-0010-0000-1800-000005000000}" name="Blocked" dataDxfId="487">
      <calculatedColumnFormula>IFERROR(AD10,0)</calculatedColumnFormula>
    </tableColumn>
    <tableColumn id="4" xr3:uid="{00000000-0010-0000-1800-000004000000}" name="Total Story Points" dataDxfId="486">
      <calculatedColumnFormula>+IF(ISERR(P10),0,P10)+IF(ISERR(O10),0,O10)</calculatedColumnFormula>
    </tableColumn>
  </tableColumns>
  <tableStyleInfo name="TableStyleMedium3" showFirstColumn="1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00000000-000C-0000-FFFF-FFFF19000000}" name="Table3202734415548626976" displayName="Table3202734415548626976" ref="N13:R15" totalsRowShown="0">
  <autoFilter ref="N13:R15" xr:uid="{00000000-0009-0000-0100-00004B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1900-000001000000}" name="Done"/>
    <tableColumn id="2" xr3:uid="{00000000-0010-0000-1900-000002000000}" name="Committed Done">
      <calculatedColumnFormula>IFERROR(AC14,0)</calculatedColumnFormula>
    </tableColumn>
    <tableColumn id="3" xr3:uid="{00000000-0010-0000-1900-000003000000}" name="Added Done">
      <calculatedColumnFormula>IFERROR(AD14,0)</calculatedColumnFormula>
    </tableColumn>
    <tableColumn id="5" xr3:uid="{00000000-0010-0000-1900-000005000000}" name=" "/>
    <tableColumn id="4" xr3:uid="{00000000-0010-0000-1900-000004000000}" name="Total Done" dataDxfId="485">
      <calculatedColumnFormula>+IF(ISERR(P14),0,P14)+IF(ISERR(O14),0,O14)</calculatedColumnFormula>
    </tableColumn>
  </tableColumns>
  <tableStyleInfo name="TableStyleMedium6" showFirstColumn="1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00000000-000C-0000-FFFF-FFFF1A000000}" name="Table4212835425649637077" displayName="Table4212835425649637077" ref="N17:R19" totalsRowShown="0" dataDxfId="484" dataCellStyle="Percent">
  <autoFilter ref="N17:R19" xr:uid="{00000000-0009-0000-0100-00004C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1A00-000001000000}" name="Done"/>
    <tableColumn id="2" xr3:uid="{00000000-0010-0000-1A00-000002000000}" name="Total Done / Committed" dataDxfId="483" dataCellStyle="Percent">
      <calculatedColumnFormula>+R14/O10</calculatedColumnFormula>
    </tableColumn>
    <tableColumn id="3" xr3:uid="{00000000-0010-0000-1A00-000003000000}" name="Total Done / Overall" dataDxfId="482" dataCellStyle="Percent">
      <calculatedColumnFormula>+R14/R10</calculatedColumnFormula>
    </tableColumn>
    <tableColumn id="5" xr3:uid="{00000000-0010-0000-1A00-000005000000}" name="Committed Done" dataDxfId="481" dataCellStyle="Percent">
      <calculatedColumnFormula>+O14/IF(ISERR(O10),1,O10)</calculatedColumnFormula>
    </tableColumn>
    <tableColumn id="4" xr3:uid="{00000000-0010-0000-1A00-000004000000}" name="Added Done" dataDxfId="480" dataCellStyle="Percent">
      <calculatedColumnFormula>+P14/IF(ISERR(AC10),1,P10)</calculatedColumnFormula>
    </tableColumn>
  </tableColumns>
  <tableStyleInfo name="TableStyleMedium6" showFirstColumn="1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00000000-000C-0000-FFFF-FFFF1B000000}" name="Table7222936435750647178" displayName="Table7222936435750647178" ref="N21:R23" totalsRowShown="0">
  <autoFilter ref="N21:R23" xr:uid="{00000000-0009-0000-0100-00004D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1B00-000001000000}" name="Prjtd"/>
    <tableColumn id="2" xr3:uid="{00000000-0010-0000-1B00-000002000000}" name="Committed Done" dataDxfId="479">
      <calculatedColumnFormula>IFERROR(AC22,0)</calculatedColumnFormula>
    </tableColumn>
    <tableColumn id="3" xr3:uid="{00000000-0010-0000-1B00-000003000000}" name="Added Done" dataDxfId="478">
      <calculatedColumnFormula>IFERROR(AD22,0)</calculatedColumnFormula>
    </tableColumn>
    <tableColumn id="5" xr3:uid="{00000000-0010-0000-1B00-000005000000}" name="Commit Not Done" dataDxfId="477">
      <calculatedColumnFormula>+O10-Q10-Table7222936435750647178[[#This Row],[Committed Done]]</calculatedColumnFormula>
    </tableColumn>
    <tableColumn id="4" xr3:uid="{00000000-0010-0000-1B00-000004000000}" name="Prj Story Points" dataDxfId="476">
      <calculatedColumnFormula>+Table7222936435750647178[[#This Row],[Committed Done]]+Table7222936435750647178[[#This Row],[Added Done]]</calculatedColumnFormula>
    </tableColumn>
  </tableColumns>
  <tableStyleInfo name="TableStyleMedium21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00000000-000C-0000-FFFF-FFFF1C000000}" name="Table8233037445851657279" displayName="Table8233037445851657279" ref="N25:R27" totalsRowShown="0" dataDxfId="475" dataCellStyle="Percent">
  <autoFilter ref="N25:R27" xr:uid="{00000000-0009-0000-0100-00004E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1C00-000001000000}" name="Prjtd"/>
    <tableColumn id="2" xr3:uid="{00000000-0010-0000-1C00-000002000000}" name="Total Done / Committed" dataDxfId="474" dataCellStyle="Percent">
      <calculatedColumnFormula>R22/IF(O10=0, 1,O10)</calculatedColumnFormula>
    </tableColumn>
    <tableColumn id="3" xr3:uid="{00000000-0010-0000-1C00-000003000000}" name="Total Done / Overall" dataDxfId="473" dataCellStyle="Percent">
      <calculatedColumnFormula>R22/IF(R10=0,1,R10)</calculatedColumnFormula>
    </tableColumn>
    <tableColumn id="5" xr3:uid="{00000000-0010-0000-1C00-000005000000}" name="Committed Done" dataDxfId="472" dataCellStyle="Percent">
      <calculatedColumnFormula>O22/IF(O10=0,1,O10)</calculatedColumnFormula>
    </tableColumn>
    <tableColumn id="4" xr3:uid="{00000000-0010-0000-1C00-000004000000}" name="Prj Added Done" dataDxfId="471" dataCellStyle="Percent">
      <calculatedColumnFormula>+P22/IF(P10=0,1,P10)</calculatedColumnFormula>
    </tableColumn>
  </tableColumns>
  <tableStyleInfo name="TableStyleMedium21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00000000-000C-0000-FFFF-FFFF1D000000}" name="Table9243138455952667380" displayName="Table9243138455952667380" ref="N1:W4" totalsRowShown="0">
  <autoFilter ref="N1:W4" xr:uid="{00000000-0009-0000-0100-00004F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00000000-0010-0000-1D00-000001000000}" name="Team"/>
    <tableColumn id="2" xr3:uid="{00000000-0010-0000-1D00-000002000000}" name="Committed" dataDxfId="470">
      <calculatedColumnFormula>+O10-Table9243138455952667380[[#This Row],[Blocked]]</calculatedColumnFormula>
    </tableColumn>
    <tableColumn id="3" xr3:uid="{00000000-0010-0000-1D00-000003000000}" name="Added">
      <calculatedColumnFormula>IF(ISERR(P10),0,P10)</calculatedColumnFormula>
    </tableColumn>
    <tableColumn id="4" xr3:uid="{00000000-0010-0000-1D00-000004000000}" name="Blocked" dataDxfId="469">
      <calculatedColumnFormula>IF(ISERR(Q10),0,Q10)</calculatedColumnFormula>
    </tableColumn>
    <tableColumn id="5" xr3:uid="{00000000-0010-0000-1D00-000005000000}" name="Completed" dataDxfId="468">
      <calculatedColumnFormula>+IF(ISERR(R14),0,R14)</calculatedColumnFormula>
    </tableColumn>
    <tableColumn id="6" xr3:uid="{00000000-0010-0000-1D00-000006000000}" name="Completion V _x000a_Committed" dataDxfId="467" dataCellStyle="Percent">
      <calculatedColumnFormula>Table9243138455952667380[[#This Row],[Completed]]/Table9243138455952667380[[#This Row],[Committed]]</calculatedColumnFormula>
    </tableColumn>
    <tableColumn id="7" xr3:uid="{00000000-0010-0000-1D00-000007000000}" name="Overall _x000a_Completion" dataCellStyle="Percent">
      <calculatedColumnFormula>Table9243138455952667380[[#This Row],[Completed]]/(Table9243138455952667380[[#This Row],[Added]]+Table9243138455952667380[[#This Row],[Committed]])</calculatedColumnFormula>
    </tableColumn>
    <tableColumn id="8" xr3:uid="{00000000-0010-0000-1D00-000008000000}" name=" "/>
    <tableColumn id="9" xr3:uid="{00000000-0010-0000-1D00-000009000000}" name="Committed _x000a_Completed" dataDxfId="466" dataCellStyle="Percent">
      <calculatedColumnFormula>IF(ISERR(O14),0,O14) &amp; "  (" &amp;TEXT(IF(ISERR(O14),0,O14)/Table9243138455952667380[[#This Row],[Committed]],"#%") &amp; ")"</calculatedColumnFormula>
    </tableColumn>
    <tableColumn id="10" xr3:uid="{00000000-0010-0000-1D00-00000A000000}" name="Added _x000a_Completed" dataDxfId="465">
      <calculatedColumnFormula>+IF(ISERR(P14),0,P14) &amp; " (" &amp; TEXT(R18, "#%") &amp; ")"</calculatedColumnFormula>
    </tableColumn>
  </tableColumns>
  <tableStyleInfo name="TableStyleMedium16 2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00000000-000C-0000-FFFF-FFFF1E000000}" name="T_04_11_18466067" displayName="T_04_11_18466067" ref="A1:I57" totalsRowShown="0" dataDxfId="448">
  <autoFilter ref="A1:I57" xr:uid="{00000000-0009-0000-0100-000042000000}">
    <filterColumn colId="6">
      <customFilters>
        <customFilter operator="notEqual" val=" "/>
      </customFilters>
    </filterColumn>
  </autoFilter>
  <sortState ref="A22:I40">
    <sortCondition ref="F1:F57"/>
  </sortState>
  <tableColumns count="9">
    <tableColumn id="10" xr3:uid="{00000000-0010-0000-1E00-00000A000000}" name="ID" dataDxfId="447">
      <calculatedColumnFormula>MID(B2,8,3)</calculatedColumnFormula>
    </tableColumn>
    <tableColumn id="1" xr3:uid="{00000000-0010-0000-1E00-000001000000}" name="Issue key" dataDxfId="446"/>
    <tableColumn id="3" xr3:uid="{00000000-0010-0000-1E00-000003000000}" name="Status" dataDxfId="445"/>
    <tableColumn id="4" xr3:uid="{00000000-0010-0000-1E00-000004000000}" name="Summary" dataDxfId="444"/>
    <tableColumn id="5" xr3:uid="{00000000-0010-0000-1E00-000005000000}" name="Story Points" dataDxfId="443"/>
    <tableColumn id="6" xr3:uid="{00000000-0010-0000-1E00-000006000000}" name="Assignee" dataDxfId="442"/>
    <tableColumn id="7" xr3:uid="{00000000-0010-0000-1E00-000007000000}" name="Project" dataDxfId="441">
      <calculatedColumnFormula>MID(B2,4,1)</calculatedColumnFormula>
    </tableColumn>
    <tableColumn id="8" xr3:uid="{00000000-0010-0000-1E00-000008000000}" name="Added After" dataDxfId="440"/>
    <tableColumn id="9" xr3:uid="{00000000-0010-0000-1E00-000009000000}" name="Prj Cmpt" dataDxfId="439" dataCellStyle="Normal"/>
  </tableColumns>
  <tableStyleInfo name="TableStyleLight1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00000000-000C-0000-FFFF-FFFF1F000000}" name="Table21926334054476168" displayName="Table21926334054476168" ref="N9:R11" totalsRowShown="0">
  <autoFilter ref="N9:R11" xr:uid="{00000000-0009-0000-0100-000043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1F00-000001000000}" name="Team"/>
    <tableColumn id="2" xr3:uid="{00000000-0010-0000-1F00-000002000000}" name="Commit"/>
    <tableColumn id="3" xr3:uid="{00000000-0010-0000-1F00-000003000000}" name="Added">
      <calculatedColumnFormula>IFERROR(AC10,0)</calculatedColumnFormula>
    </tableColumn>
    <tableColumn id="5" xr3:uid="{00000000-0010-0000-1F00-000005000000}" name="Blocked" dataDxfId="438">
      <calculatedColumnFormula>IFERROR(AD10,0)</calculatedColumnFormula>
    </tableColumn>
    <tableColumn id="4" xr3:uid="{00000000-0010-0000-1F00-000004000000}" name="Total Story Points" dataDxfId="437">
      <calculatedColumnFormula>+IF(ISERR(P10),0,P10)+IF(ISERR(O10),0,O10)</calculatedColumnFormula>
    </tableColumn>
  </tableColumns>
  <tableStyleInfo name="TableStyleMedium3" showFirstColumn="1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00000000-000C-0000-FFFF-FFFF20000000}" name="Table32027344155486269" displayName="Table32027344155486269" ref="N13:R15" totalsRowShown="0">
  <autoFilter ref="N13:R15" xr:uid="{00000000-0009-0000-0100-000044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2000-000001000000}" name="Done"/>
    <tableColumn id="2" xr3:uid="{00000000-0010-0000-2000-000002000000}" name="Committed Done">
      <calculatedColumnFormula>IFERROR(AC14,0)</calculatedColumnFormula>
    </tableColumn>
    <tableColumn id="3" xr3:uid="{00000000-0010-0000-2000-000003000000}" name="Added Done">
      <calculatedColumnFormula>IFERROR(AD14,0)</calculatedColumnFormula>
    </tableColumn>
    <tableColumn id="5" xr3:uid="{00000000-0010-0000-2000-000005000000}" name=" "/>
    <tableColumn id="4" xr3:uid="{00000000-0010-0000-2000-000004000000}" name="Total Done" dataDxfId="436">
      <calculatedColumnFormula>+IF(ISERR(P14),0,P14)+IF(ISERR(O14),0,O14)</calculatedColumnFormula>
    </tableColumn>
  </tableColumns>
  <tableStyleInfo name="TableStyleMedium6" showFirstColumn="1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00000000-000C-0000-FFFF-FFFF21000000}" name="Table42128354256496370" displayName="Table42128354256496370" ref="N17:R19" totalsRowShown="0" dataDxfId="435" dataCellStyle="Percent">
  <autoFilter ref="N17:R19" xr:uid="{00000000-0009-0000-0100-000045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2100-000001000000}" name="Done"/>
    <tableColumn id="2" xr3:uid="{00000000-0010-0000-2100-000002000000}" name="Total Done / Committed" dataDxfId="434" dataCellStyle="Percent">
      <calculatedColumnFormula>+R14/O10</calculatedColumnFormula>
    </tableColumn>
    <tableColumn id="3" xr3:uid="{00000000-0010-0000-2100-000003000000}" name="Total Done / Overall" dataDxfId="433" dataCellStyle="Percent">
      <calculatedColumnFormula>+R14/R10</calculatedColumnFormula>
    </tableColumn>
    <tableColumn id="5" xr3:uid="{00000000-0010-0000-2100-000005000000}" name="Committed Done" dataDxfId="432" dataCellStyle="Percent">
      <calculatedColumnFormula>+O14/IF(ISERR(O10),1,O10)</calculatedColumnFormula>
    </tableColumn>
    <tableColumn id="4" xr3:uid="{00000000-0010-0000-2100-000004000000}" name="Added Done" dataDxfId="431" dataCellStyle="Percent">
      <calculatedColumnFormula>+P14/IF(ISERR(AC10),1,P10)</calculatedColumnFormula>
    </tableColumn>
  </tableColumns>
  <tableStyleInfo name="TableStyleMedium6" showFirstColumn="1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00000000-000C-0000-FFFF-FFFF22000000}" name="Table72229364357506471" displayName="Table72229364357506471" ref="N21:R23" totalsRowShown="0">
  <autoFilter ref="N21:R23" xr:uid="{00000000-0009-0000-0100-000046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2200-000001000000}" name="Prjtd"/>
    <tableColumn id="2" xr3:uid="{00000000-0010-0000-2200-000002000000}" name="Committed Done" dataDxfId="430">
      <calculatedColumnFormula>IFERROR(AC22,0)</calculatedColumnFormula>
    </tableColumn>
    <tableColumn id="3" xr3:uid="{00000000-0010-0000-2200-000003000000}" name="Added Done" dataDxfId="429">
      <calculatedColumnFormula>IFERROR(AD22,0)</calculatedColumnFormula>
    </tableColumn>
    <tableColumn id="5" xr3:uid="{00000000-0010-0000-2200-000005000000}" name="Commit Not Done" dataDxfId="428">
      <calculatedColumnFormula>+O10-Q10-Table72229364357506471[[#This Row],[Committed Done]]</calculatedColumnFormula>
    </tableColumn>
    <tableColumn id="4" xr3:uid="{00000000-0010-0000-2200-000004000000}" name="Prj Story Points" dataDxfId="427">
      <calculatedColumnFormula>+Table72229364357506471[[#This Row],[Committed Done]]+Table72229364357506471[[#This Row],[Added Done]]</calculatedColumnFormula>
    </tableColumn>
  </tableColumns>
  <tableStyleInfo name="TableStyleMedium21"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00000000-000C-0000-FFFF-FFFF23000000}" name="Table82330374458516572" displayName="Table82330374458516572" ref="N25:R27" totalsRowShown="0" dataDxfId="426" dataCellStyle="Percent">
  <autoFilter ref="N25:R27" xr:uid="{00000000-0009-0000-0100-000047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2300-000001000000}" name="Prjtd"/>
    <tableColumn id="2" xr3:uid="{00000000-0010-0000-2300-000002000000}" name="Total Done / Committed" dataDxfId="425" dataCellStyle="Percent">
      <calculatedColumnFormula>R22/IF(O10=0, 1,O10)</calculatedColumnFormula>
    </tableColumn>
    <tableColumn id="3" xr3:uid="{00000000-0010-0000-2300-000003000000}" name="Total Done / Overall" dataDxfId="424" dataCellStyle="Percent">
      <calculatedColumnFormula>R22/IF(R10=0,1,R10)</calculatedColumnFormula>
    </tableColumn>
    <tableColumn id="5" xr3:uid="{00000000-0010-0000-2300-000005000000}" name="Committed Done" dataDxfId="423" dataCellStyle="Percent">
      <calculatedColumnFormula>O22/IF(O10=0,1,O10)</calculatedColumnFormula>
    </tableColumn>
    <tableColumn id="4" xr3:uid="{00000000-0010-0000-2300-000004000000}" name="Prj Added Done" dataDxfId="422" dataCellStyle="Percent">
      <calculatedColumnFormula>+P22/IF(P10=0,1,P10)</calculatedColumnFormula>
    </tableColumn>
  </tableColumns>
  <tableStyleInfo name="TableStyleMedium21"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00000000-000C-0000-FFFF-FFFF24000000}" name="Table92431384559526673" displayName="Table92431384559526673" ref="N1:W4" totalsRowShown="0">
  <autoFilter ref="N1:W4" xr:uid="{00000000-0009-0000-0100-000048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00000000-0010-0000-2400-000001000000}" name="Team"/>
    <tableColumn id="2" xr3:uid="{00000000-0010-0000-2400-000002000000}" name="Committed" dataDxfId="421">
      <calculatedColumnFormula>+O10-Table92431384559526673[[#This Row],[Blocked]]</calculatedColumnFormula>
    </tableColumn>
    <tableColumn id="3" xr3:uid="{00000000-0010-0000-2400-000003000000}" name="Added">
      <calculatedColumnFormula>IF(ISERR(P10),0,P10)</calculatedColumnFormula>
    </tableColumn>
    <tableColumn id="4" xr3:uid="{00000000-0010-0000-2400-000004000000}" name="Blocked" dataDxfId="420">
      <calculatedColumnFormula>IF(ISERR(Q10),0,Q10)</calculatedColumnFormula>
    </tableColumn>
    <tableColumn id="5" xr3:uid="{00000000-0010-0000-2400-000005000000}" name="Completed" dataDxfId="419">
      <calculatedColumnFormula>+IF(ISERR(R14),0,R14)</calculatedColumnFormula>
    </tableColumn>
    <tableColumn id="6" xr3:uid="{00000000-0010-0000-2400-000006000000}" name="Completion V _x000a_Committed" dataDxfId="418" dataCellStyle="Percent">
      <calculatedColumnFormula>Table92431384559526673[[#This Row],[Completed]]/Table92431384559526673[[#This Row],[Committed]]</calculatedColumnFormula>
    </tableColumn>
    <tableColumn id="7" xr3:uid="{00000000-0010-0000-2400-000007000000}" name="Overall _x000a_Completion" dataCellStyle="Percent">
      <calculatedColumnFormula>Table92431384559526673[[#This Row],[Completed]]/(Table92431384559526673[[#This Row],[Added]]+Table92431384559526673[[#This Row],[Committed]])</calculatedColumnFormula>
    </tableColumn>
    <tableColumn id="8" xr3:uid="{00000000-0010-0000-2400-000008000000}" name=" "/>
    <tableColumn id="9" xr3:uid="{00000000-0010-0000-2400-000009000000}" name="Committed _x000a_Completed" dataDxfId="417" dataCellStyle="Percent">
      <calculatedColumnFormula>IF(ISERR(O14),0,O14) &amp; "  (" &amp;TEXT(IF(ISERR(O14),0,O14)/Table92431384559526673[[#This Row],[Committed]],"#%") &amp; ")"</calculatedColumnFormula>
    </tableColumn>
    <tableColumn id="10" xr3:uid="{00000000-0010-0000-2400-00000A000000}" name="Added _x000a_Completed" dataDxfId="416">
      <calculatedColumnFormula>+IF(ISERR(P14),0,P14) &amp; " (" &amp; TEXT(R18, "#%") &amp; ")"</calculatedColumnFormula>
    </tableColumn>
  </tableColumns>
  <tableStyleInfo name="TableStyleMedium16 2"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00000000-000C-0000-FFFF-FFFF25000000}" name="T_04_11_184660" displayName="T_04_11_184660" ref="A1:I57" totalsRowShown="0" dataDxfId="399">
  <autoFilter ref="A1:I57" xr:uid="{00000000-0009-0000-0100-00003B000000}"/>
  <sortState ref="A2:I57">
    <sortCondition ref="B15"/>
  </sortState>
  <tableColumns count="9">
    <tableColumn id="10" xr3:uid="{00000000-0010-0000-2500-00000A000000}" name="ID" dataDxfId="398">
      <calculatedColumnFormula>MID(B2,8,3)</calculatedColumnFormula>
    </tableColumn>
    <tableColumn id="1" xr3:uid="{00000000-0010-0000-2500-000001000000}" name="Issue key" dataDxfId="397"/>
    <tableColumn id="3" xr3:uid="{00000000-0010-0000-2500-000003000000}" name="Status" dataDxfId="396"/>
    <tableColumn id="4" xr3:uid="{00000000-0010-0000-2500-000004000000}" name="Summary" dataDxfId="395"/>
    <tableColumn id="5" xr3:uid="{00000000-0010-0000-2500-000005000000}" name="Story Points" dataDxfId="394"/>
    <tableColumn id="6" xr3:uid="{00000000-0010-0000-2500-000006000000}" name="Assignee" dataDxfId="393"/>
    <tableColumn id="7" xr3:uid="{00000000-0010-0000-2500-000007000000}" name="Project" dataDxfId="392">
      <calculatedColumnFormula>MID(B2,4,1)</calculatedColumnFormula>
    </tableColumn>
    <tableColumn id="8" xr3:uid="{00000000-0010-0000-2500-000008000000}" name="Added After" dataDxfId="391"/>
    <tableColumn id="9" xr3:uid="{00000000-0010-0000-2500-000009000000}" name="Prj Cmpt" dataDxfId="390" dataCellStyle="Normal"/>
  </tableColumns>
  <tableStyleInfo name="TableStyleLight1"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00000000-000C-0000-FFFF-FFFF26000000}" name="Table219263340544761" displayName="Table219263340544761" ref="N9:R11" totalsRowShown="0">
  <autoFilter ref="N9:R11" xr:uid="{00000000-0009-0000-0100-00003C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2600-000001000000}" name="Team"/>
    <tableColumn id="2" xr3:uid="{00000000-0010-0000-2600-000002000000}" name="Commit"/>
    <tableColumn id="3" xr3:uid="{00000000-0010-0000-2600-000003000000}" name="Added">
      <calculatedColumnFormula>IFERROR(AC10,0)</calculatedColumnFormula>
    </tableColumn>
    <tableColumn id="5" xr3:uid="{00000000-0010-0000-2600-000005000000}" name="Blocked" dataDxfId="389">
      <calculatedColumnFormula>IFERROR(AD10,0)</calculatedColumnFormula>
    </tableColumn>
    <tableColumn id="4" xr3:uid="{00000000-0010-0000-2600-000004000000}" name="Total Story Points" dataDxfId="388">
      <calculatedColumnFormula>+IF(ISERR(P10),0,P10)+IF(ISERR(O10),0,O10)</calculatedColumnFormula>
    </tableColumn>
  </tableColumns>
  <tableStyleInfo name="TableStyleMedium3" showFirstColumn="1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00000000-000C-0000-FFFF-FFFF27000000}" name="Table320273441554862" displayName="Table320273441554862" ref="N13:R15" totalsRowShown="0">
  <autoFilter ref="N13:R15" xr:uid="{00000000-0009-0000-0100-00003D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2700-000001000000}" name="Done"/>
    <tableColumn id="2" xr3:uid="{00000000-0010-0000-2700-000002000000}" name="Committed Done">
      <calculatedColumnFormula>IFERROR(AC14,0)</calculatedColumnFormula>
    </tableColumn>
    <tableColumn id="3" xr3:uid="{00000000-0010-0000-2700-000003000000}" name="Added Done">
      <calculatedColumnFormula>IFERROR(AD14,0)</calculatedColumnFormula>
    </tableColumn>
    <tableColumn id="5" xr3:uid="{00000000-0010-0000-2700-000005000000}" name=" "/>
    <tableColumn id="4" xr3:uid="{00000000-0010-0000-2700-000004000000}" name="Total Done" dataDxfId="387">
      <calculatedColumnFormula>+IF(ISERR(P14),0,P14)+IF(ISERR(O14),0,O14)</calculatedColumnFormula>
    </tableColumn>
  </tableColumns>
  <tableStyleInfo name="TableStyleMedium6" showFirstColumn="1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00000000-000C-0000-FFFF-FFFF28000000}" name="Table421283542564963" displayName="Table421283542564963" ref="N17:R19" totalsRowShown="0" dataDxfId="386" dataCellStyle="Percent">
  <autoFilter ref="N17:R19" xr:uid="{00000000-0009-0000-0100-00003E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2800-000001000000}" name="Done"/>
    <tableColumn id="2" xr3:uid="{00000000-0010-0000-2800-000002000000}" name="Total Done / Committed" dataDxfId="385" dataCellStyle="Percent">
      <calculatedColumnFormula>+R14/O10</calculatedColumnFormula>
    </tableColumn>
    <tableColumn id="3" xr3:uid="{00000000-0010-0000-2800-000003000000}" name="Total Done / Overall" dataDxfId="384" dataCellStyle="Percent">
      <calculatedColumnFormula>+R14/R10</calculatedColumnFormula>
    </tableColumn>
    <tableColumn id="5" xr3:uid="{00000000-0010-0000-2800-000005000000}" name="Committed Done" dataDxfId="383" dataCellStyle="Percent">
      <calculatedColumnFormula>+O14/IF(ISERR(O10),1,O10)</calculatedColumnFormula>
    </tableColumn>
    <tableColumn id="4" xr3:uid="{00000000-0010-0000-2800-000004000000}" name="Added Done" dataDxfId="382" dataCellStyle="Percent">
      <calculatedColumnFormula>+P14/IF(ISERR(AC10),1,P10)</calculatedColumnFormula>
    </tableColumn>
  </tableColumns>
  <tableStyleInfo name="TableStyleMedium6" showFirstColumn="1" showLastColumn="0" showRowStripes="1" showColumnStripes="0"/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00000000-000C-0000-FFFF-FFFF29000000}" name="Table722293643575064" displayName="Table722293643575064" ref="N21:R23" totalsRowShown="0">
  <autoFilter ref="N21:R23" xr:uid="{00000000-0009-0000-0100-00003F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2900-000001000000}" name="Prjtd"/>
    <tableColumn id="2" xr3:uid="{00000000-0010-0000-2900-000002000000}" name="Committed Done" dataDxfId="381">
      <calculatedColumnFormula>IFERROR(AC22,0)</calculatedColumnFormula>
    </tableColumn>
    <tableColumn id="3" xr3:uid="{00000000-0010-0000-2900-000003000000}" name="Added Done" dataDxfId="380">
      <calculatedColumnFormula>IFERROR(AD22,0)</calculatedColumnFormula>
    </tableColumn>
    <tableColumn id="5" xr3:uid="{00000000-0010-0000-2900-000005000000}" name="Commit Not Done" dataDxfId="379">
      <calculatedColumnFormula>+O10-Q10-Table722293643575064[[#This Row],[Committed Done]]</calculatedColumnFormula>
    </tableColumn>
    <tableColumn id="4" xr3:uid="{00000000-0010-0000-2900-000004000000}" name="Prj Story Points" dataDxfId="378">
      <calculatedColumnFormula>+Table722293643575064[[#This Row],[Committed Done]]+Table722293643575064[[#This Row],[Added Done]]</calculatedColumnFormula>
    </tableColumn>
  </tableColumns>
  <tableStyleInfo name="TableStyleMedium21" showFirstColumn="0" showLastColumn="0" showRowStripes="1" showColumnStripes="0"/>
</table>
</file>

<file path=xl/tables/table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00000000-000C-0000-FFFF-FFFF2A000000}" name="Table823303744585165" displayName="Table823303744585165" ref="N25:R27" totalsRowShown="0" dataDxfId="377" dataCellStyle="Percent">
  <autoFilter ref="N25:R27" xr:uid="{00000000-0009-0000-0100-000040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2A00-000001000000}" name="Prjtd"/>
    <tableColumn id="2" xr3:uid="{00000000-0010-0000-2A00-000002000000}" name="Total Done / Committed" dataDxfId="376" dataCellStyle="Percent">
      <calculatedColumnFormula>R22/IF(O10=0, 1,O10)</calculatedColumnFormula>
    </tableColumn>
    <tableColumn id="3" xr3:uid="{00000000-0010-0000-2A00-000003000000}" name="Total Done / Overall" dataDxfId="375" dataCellStyle="Percent">
      <calculatedColumnFormula>R22/IF(R10=0,1,R10)</calculatedColumnFormula>
    </tableColumn>
    <tableColumn id="5" xr3:uid="{00000000-0010-0000-2A00-000005000000}" name="Committed Done" dataDxfId="374" dataCellStyle="Percent">
      <calculatedColumnFormula>O22/IF(O10=0,1,O10)</calculatedColumnFormula>
    </tableColumn>
    <tableColumn id="4" xr3:uid="{00000000-0010-0000-2A00-000004000000}" name="Prj Added Done" dataDxfId="373" dataCellStyle="Percent">
      <calculatedColumnFormula>+P22/IF(P10=0,1,P10)</calculatedColumnFormula>
    </tableColumn>
  </tableColumns>
  <tableStyleInfo name="TableStyleMedium21" showFirstColumn="0" showLastColumn="0" showRowStripes="1" showColumnStripes="0"/>
</table>
</file>

<file path=xl/tables/table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00000000-000C-0000-FFFF-FFFF2B000000}" name="Table924313845595266" displayName="Table924313845595266" ref="N1:W4" totalsRowShown="0">
  <autoFilter ref="N1:W4" xr:uid="{00000000-0009-0000-0100-00004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00000000-0010-0000-2B00-000001000000}" name="Team"/>
    <tableColumn id="2" xr3:uid="{00000000-0010-0000-2B00-000002000000}" name="Committed" dataDxfId="372">
      <calculatedColumnFormula>+O10-Table924313845595266[[#This Row],[Blocked]]</calculatedColumnFormula>
    </tableColumn>
    <tableColumn id="3" xr3:uid="{00000000-0010-0000-2B00-000003000000}" name="Added">
      <calculatedColumnFormula>IF(ISERR(P10),0,P10)</calculatedColumnFormula>
    </tableColumn>
    <tableColumn id="4" xr3:uid="{00000000-0010-0000-2B00-000004000000}" name="Blocked" dataDxfId="371">
      <calculatedColumnFormula>IF(ISERR(Q10),0,Q10)</calculatedColumnFormula>
    </tableColumn>
    <tableColumn id="5" xr3:uid="{00000000-0010-0000-2B00-000005000000}" name="Completed" dataDxfId="370">
      <calculatedColumnFormula>+IF(ISERR(R14),0,R14)</calculatedColumnFormula>
    </tableColumn>
    <tableColumn id="6" xr3:uid="{00000000-0010-0000-2B00-000006000000}" name="Completion V _x000a_Committed" dataDxfId="369" dataCellStyle="Percent">
      <calculatedColumnFormula>Table924313845595266[[#This Row],[Completed]]/Table924313845595266[[#This Row],[Committed]]</calculatedColumnFormula>
    </tableColumn>
    <tableColumn id="7" xr3:uid="{00000000-0010-0000-2B00-000007000000}" name="Overall _x000a_Completion" dataCellStyle="Percent">
      <calculatedColumnFormula>Table924313845595266[[#This Row],[Completed]]/(Table924313845595266[[#This Row],[Added]]+Table924313845595266[[#This Row],[Committed]])</calculatedColumnFormula>
    </tableColumn>
    <tableColumn id="8" xr3:uid="{00000000-0010-0000-2B00-000008000000}" name=" "/>
    <tableColumn id="9" xr3:uid="{00000000-0010-0000-2B00-000009000000}" name="Committed _x000a_Completed" dataDxfId="368" dataCellStyle="Percent">
      <calculatedColumnFormula>IF(ISERR(O14),0,O14) &amp; "  (" &amp;TEXT(IF(ISERR(O14),0,O14)/Table924313845595266[[#This Row],[Committed]],"#%") &amp; ")"</calculatedColumnFormula>
    </tableColumn>
    <tableColumn id="10" xr3:uid="{00000000-0010-0000-2B00-00000A000000}" name="Added _x000a_Completed" dataDxfId="367">
      <calculatedColumnFormula>+IF(ISERR(P14),0,P14) &amp; " (" &amp; TEXT(R18, "#%") &amp; ")"</calculatedColumnFormula>
    </tableColumn>
  </tableColumns>
  <tableStyleInfo name="TableStyleMedium16 2" showFirstColumn="0" showLastColumn="0" showRowStripes="1" showColumnStripes="0"/>
</table>
</file>

<file path=xl/tables/table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2C000000}" name="T_04_11_1846" displayName="T_04_11_1846" ref="A1:I57" totalsRowShown="0" dataDxfId="351">
  <autoFilter ref="A1:I57" xr:uid="{00000000-0009-0000-0100-00002D000000}"/>
  <sortState ref="A2:I57">
    <sortCondition descending="1" ref="G2:G57"/>
    <sortCondition ref="A2:A57"/>
  </sortState>
  <tableColumns count="9">
    <tableColumn id="10" xr3:uid="{00000000-0010-0000-2C00-00000A000000}" name="ID" dataDxfId="350">
      <calculatedColumnFormula>MID(B2,8,3)</calculatedColumnFormula>
    </tableColumn>
    <tableColumn id="1" xr3:uid="{00000000-0010-0000-2C00-000001000000}" name="Issue key" dataDxfId="349"/>
    <tableColumn id="3" xr3:uid="{00000000-0010-0000-2C00-000003000000}" name="Status" dataDxfId="348"/>
    <tableColumn id="4" xr3:uid="{00000000-0010-0000-2C00-000004000000}" name="Summary" dataDxfId="347"/>
    <tableColumn id="5" xr3:uid="{00000000-0010-0000-2C00-000005000000}" name="Story Points" dataDxfId="346"/>
    <tableColumn id="6" xr3:uid="{00000000-0010-0000-2C00-000006000000}" name="Assignee" dataDxfId="345"/>
    <tableColumn id="7" xr3:uid="{00000000-0010-0000-2C00-000007000000}" name="Project" dataDxfId="344">
      <calculatedColumnFormula>MID(B2,4,1)</calculatedColumnFormula>
    </tableColumn>
    <tableColumn id="8" xr3:uid="{00000000-0010-0000-2C00-000008000000}" name="Added After" dataDxfId="343"/>
    <tableColumn id="9" xr3:uid="{00000000-0010-0000-2C00-000009000000}" name="Prj Cmpt" dataDxfId="342" dataCellStyle="Normal"/>
  </tableColumns>
  <tableStyleInfo name="TableStyleLight1" showFirstColumn="0" showLastColumn="0" showRowStripes="1" showColumnStripes="0"/>
</table>
</file>

<file path=xl/tables/table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2D000000}" name="Table2192633405447" displayName="Table2192633405447" ref="N9:R11" totalsRowShown="0">
  <autoFilter ref="N9:R11" xr:uid="{00000000-0009-0000-0100-00002E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2D00-000001000000}" name="Team"/>
    <tableColumn id="2" xr3:uid="{00000000-0010-0000-2D00-000002000000}" name="Commit"/>
    <tableColumn id="3" xr3:uid="{00000000-0010-0000-2D00-000003000000}" name="Added">
      <calculatedColumnFormula>IFERROR(AC10,0)</calculatedColumnFormula>
    </tableColumn>
    <tableColumn id="5" xr3:uid="{00000000-0010-0000-2D00-000005000000}" name="Blocked" dataDxfId="341">
      <calculatedColumnFormula>IFERROR(AD10,0)</calculatedColumnFormula>
    </tableColumn>
    <tableColumn id="4" xr3:uid="{00000000-0010-0000-2D00-000004000000}" name="Total Story Points" dataDxfId="340">
      <calculatedColumnFormula>+IF(ISERR(P10),0,P10)+IF(ISERR(O10),0,O10)</calculatedColumnFormula>
    </tableColumn>
  </tableColumns>
  <tableStyleInfo name="TableStyleMedium3" showFirstColumn="1" showLastColumn="0" showRowStripes="1" showColumnStripes="0"/>
</table>
</file>

<file path=xl/tables/table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2E000000}" name="Table3202734415548" displayName="Table3202734415548" ref="N13:R15" totalsRowShown="0">
  <autoFilter ref="N13:R15" xr:uid="{00000000-0009-0000-0100-00002F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2E00-000001000000}" name="Done"/>
    <tableColumn id="2" xr3:uid="{00000000-0010-0000-2E00-000002000000}" name="Committed Done">
      <calculatedColumnFormula>IFERROR(AC14,0)</calculatedColumnFormula>
    </tableColumn>
    <tableColumn id="3" xr3:uid="{00000000-0010-0000-2E00-000003000000}" name="Added Done">
      <calculatedColumnFormula>IFERROR(AD14,0)</calculatedColumnFormula>
    </tableColumn>
    <tableColumn id="5" xr3:uid="{00000000-0010-0000-2E00-000005000000}" name=" "/>
    <tableColumn id="4" xr3:uid="{00000000-0010-0000-2E00-000004000000}" name="Total Done" dataDxfId="339">
      <calculatedColumnFormula>+IF(ISERR(P14),0,P14)+IF(ISERR(O14),0,O14)</calculatedColumnFormula>
    </tableColumn>
  </tableColumns>
  <tableStyleInfo name="TableStyleMedium6" showFirstColumn="1" showLastColumn="0" showRowStripes="1" showColumnStripes="0"/>
</table>
</file>

<file path=xl/tables/table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0000000-000C-0000-FFFF-FFFF2F000000}" name="Table4212835425649" displayName="Table4212835425649" ref="N17:R19" totalsRowShown="0" dataDxfId="338" dataCellStyle="Percent">
  <autoFilter ref="N17:R19" xr:uid="{00000000-0009-0000-0100-000030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2F00-000001000000}" name="Done"/>
    <tableColumn id="2" xr3:uid="{00000000-0010-0000-2F00-000002000000}" name="Total Done / Committed" dataDxfId="337" dataCellStyle="Percent">
      <calculatedColumnFormula>+R14/O10</calculatedColumnFormula>
    </tableColumn>
    <tableColumn id="3" xr3:uid="{00000000-0010-0000-2F00-000003000000}" name="Total Done / Overall" dataDxfId="336" dataCellStyle="Percent">
      <calculatedColumnFormula>+R14/R10</calculatedColumnFormula>
    </tableColumn>
    <tableColumn id="5" xr3:uid="{00000000-0010-0000-2F00-000005000000}" name="Committed Done" dataDxfId="335" dataCellStyle="Percent">
      <calculatedColumnFormula>+O14/IF(ISERR(O10),1,O10)</calculatedColumnFormula>
    </tableColumn>
    <tableColumn id="4" xr3:uid="{00000000-0010-0000-2F00-000004000000}" name="Added Done" dataDxfId="334" dataCellStyle="Percent">
      <calculatedColumnFormula>+P14/IF(ISERR(AC10),1,P10)</calculatedColumnFormula>
    </tableColumn>
  </tableColumns>
  <tableStyleInfo name="TableStyleMedium6" showFirstColumn="1" showLastColumn="0" showRowStripes="1" showColumnStripes="0"/>
</table>
</file>

<file path=xl/tables/table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0000000-000C-0000-FFFF-FFFF30000000}" name="Table7222936435750" displayName="Table7222936435750" ref="N21:R23" totalsRowShown="0">
  <autoFilter ref="N21:R23" xr:uid="{00000000-0009-0000-0100-000031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3000-000001000000}" name="Prjtd"/>
    <tableColumn id="2" xr3:uid="{00000000-0010-0000-3000-000002000000}" name="Committed Done" dataDxfId="333">
      <calculatedColumnFormula>IFERROR(AC22,0)</calculatedColumnFormula>
    </tableColumn>
    <tableColumn id="3" xr3:uid="{00000000-0010-0000-3000-000003000000}" name="Added Done" dataDxfId="332">
      <calculatedColumnFormula>IFERROR(AD22,0)</calculatedColumnFormula>
    </tableColumn>
    <tableColumn id="5" xr3:uid="{00000000-0010-0000-3000-000005000000}" name="Commit Not Done" dataDxfId="331">
      <calculatedColumnFormula>+O10-Q10-Table7222936435750[[#This Row],[Committed Done]]</calculatedColumnFormula>
    </tableColumn>
    <tableColumn id="4" xr3:uid="{00000000-0010-0000-3000-000004000000}" name="Prj Story Points" dataDxfId="330">
      <calculatedColumnFormula>+Table7222936435750[[#This Row],[Committed Done]]+Table7222936435750[[#This Row],[Added Done]]</calculatedColumnFormula>
    </tableColumn>
  </tableColumns>
  <tableStyleInfo name="TableStyleMedium21" showFirstColumn="0" showLastColumn="0" showRowStripes="1" showColumnStripes="0"/>
</table>
</file>

<file path=xl/tables/table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31000000}" name="Table8233037445851" displayName="Table8233037445851" ref="N25:R27" totalsRowShown="0" dataDxfId="329" dataCellStyle="Percent">
  <autoFilter ref="N25:R27" xr:uid="{00000000-0009-0000-0100-000032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3100-000001000000}" name="Prjtd"/>
    <tableColumn id="2" xr3:uid="{00000000-0010-0000-3100-000002000000}" name="Total Done / Committed" dataDxfId="328" dataCellStyle="Percent">
      <calculatedColumnFormula>R22/IF(O10=0, 1,O10)</calculatedColumnFormula>
    </tableColumn>
    <tableColumn id="3" xr3:uid="{00000000-0010-0000-3100-000003000000}" name="Total Done / Overall" dataDxfId="327" dataCellStyle="Percent">
      <calculatedColumnFormula>R22/IF(R10=0,1,R10)</calculatedColumnFormula>
    </tableColumn>
    <tableColumn id="5" xr3:uid="{00000000-0010-0000-3100-000005000000}" name="Committed Done" dataDxfId="326" dataCellStyle="Percent">
      <calculatedColumnFormula>O22/IF(O10=0,1,O10)</calculatedColumnFormula>
    </tableColumn>
    <tableColumn id="4" xr3:uid="{00000000-0010-0000-3100-000004000000}" name="Prj Added Done" dataDxfId="325" dataCellStyle="Percent">
      <calculatedColumnFormula>+P22/IF(P10=0,1,P10)</calculatedColumnFormula>
    </tableColumn>
  </tableColumns>
  <tableStyleInfo name="TableStyleMedium21" showFirstColumn="0" showLastColumn="0" showRowStripes="1" showColumnStripes="0"/>
</table>
</file>

<file path=xl/tables/table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00000000-000C-0000-FFFF-FFFF32000000}" name="Table9243138455952" displayName="Table9243138455952" ref="N1:W4" totalsRowShown="0">
  <autoFilter ref="N1:W4" xr:uid="{00000000-0009-0000-0100-00003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00000000-0010-0000-3200-000001000000}" name="Team"/>
    <tableColumn id="2" xr3:uid="{00000000-0010-0000-3200-000002000000}" name="Committed" dataDxfId="324">
      <calculatedColumnFormula>+O10-Table9243138455952[[#This Row],[Blocked]]</calculatedColumnFormula>
    </tableColumn>
    <tableColumn id="3" xr3:uid="{00000000-0010-0000-3200-000003000000}" name="Added">
      <calculatedColumnFormula>IF(ISERR(P10),0,P10)</calculatedColumnFormula>
    </tableColumn>
    <tableColumn id="4" xr3:uid="{00000000-0010-0000-3200-000004000000}" name="Blocked" dataDxfId="323">
      <calculatedColumnFormula>IF(ISERR(Q10),0,Q10)</calculatedColumnFormula>
    </tableColumn>
    <tableColumn id="5" xr3:uid="{00000000-0010-0000-3200-000005000000}" name="Completed" dataDxfId="322">
      <calculatedColumnFormula>+IF(ISERR(R14),0,R14)</calculatedColumnFormula>
    </tableColumn>
    <tableColumn id="6" xr3:uid="{00000000-0010-0000-3200-000006000000}" name="Completion V _x000a_Committed" dataDxfId="321" dataCellStyle="Percent">
      <calculatedColumnFormula>Table9243138455952[[#This Row],[Completed]]/Table9243138455952[[#This Row],[Committed]]</calculatedColumnFormula>
    </tableColumn>
    <tableColumn id="7" xr3:uid="{00000000-0010-0000-3200-000007000000}" name="Overall _x000a_Completion" dataCellStyle="Percent">
      <calculatedColumnFormula>Table9243138455952[[#This Row],[Completed]]/(Table9243138455952[[#This Row],[Added]]+Table9243138455952[[#This Row],[Committed]])</calculatedColumnFormula>
    </tableColumn>
    <tableColumn id="8" xr3:uid="{00000000-0010-0000-3200-000008000000}" name=" "/>
    <tableColumn id="9" xr3:uid="{00000000-0010-0000-3200-000009000000}" name="Committed _x000a_Completed" dataDxfId="320" dataCellStyle="Percent">
      <calculatedColumnFormula>IF(ISERR(O14),0,O14) &amp; "  (" &amp;TEXT(IF(ISERR(O14),0,O14)/Table9243138455952[[#This Row],[Committed]],"#%") &amp; ")"</calculatedColumnFormula>
    </tableColumn>
    <tableColumn id="10" xr3:uid="{00000000-0010-0000-3200-00000A000000}" name="Added _x000a_Completed" dataDxfId="319">
      <calculatedColumnFormula>+IF(ISERR(P14),0,P14) &amp; " (" &amp; TEXT(R18, "#%") &amp; ")"</calculatedColumnFormula>
    </tableColumn>
  </tableColumns>
  <tableStyleInfo name="TableStyleMedium16 2" showFirstColumn="0" showLastColumn="0" showRowStripes="1" showColumnStripes="0"/>
</table>
</file>

<file path=xl/tables/table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00000000-000C-0000-FFFF-FFFF33000000}" name="T_04_11_18" displayName="T_04_11_18" ref="A1:I57" totalsRowShown="0" dataDxfId="302">
  <autoFilter ref="A1:I57" xr:uid="{00000000-0009-0000-0100-000034000000}">
    <filterColumn colId="2">
      <filters>
        <filter val="Blocked"/>
        <filter val="In Progress"/>
        <filter val="To Do"/>
      </filters>
    </filterColumn>
  </autoFilter>
  <sortState ref="A2:I57">
    <sortCondition ref="G2:G57"/>
    <sortCondition ref="A2:A57"/>
  </sortState>
  <tableColumns count="9">
    <tableColumn id="10" xr3:uid="{00000000-0010-0000-3300-00000A000000}" name="ID" dataDxfId="301">
      <calculatedColumnFormula>MID(B2,8,3)</calculatedColumnFormula>
    </tableColumn>
    <tableColumn id="1" xr3:uid="{00000000-0010-0000-3300-000001000000}" name="Issue key" dataDxfId="300"/>
    <tableColumn id="3" xr3:uid="{00000000-0010-0000-3300-000003000000}" name="Status" dataDxfId="299"/>
    <tableColumn id="4" xr3:uid="{00000000-0010-0000-3300-000004000000}" name="Summary" dataDxfId="298"/>
    <tableColumn id="5" xr3:uid="{00000000-0010-0000-3300-000005000000}" name="Story Points" dataDxfId="297"/>
    <tableColumn id="6" xr3:uid="{00000000-0010-0000-3300-000006000000}" name="Assignee" dataDxfId="296"/>
    <tableColumn id="7" xr3:uid="{00000000-0010-0000-3300-000007000000}" name="Project" dataDxfId="295">
      <calculatedColumnFormula>MID(B2,4,1)</calculatedColumnFormula>
    </tableColumn>
    <tableColumn id="8" xr3:uid="{00000000-0010-0000-3300-000008000000}" name="Added After" dataDxfId="294"/>
    <tableColumn id="9" xr3:uid="{00000000-0010-0000-3300-000009000000}" name="Prj Cmpt" dataDxfId="293" dataCellStyle="Normal"/>
  </tableColumns>
  <tableStyleInfo name="TableStyleLight1" showFirstColumn="0" showLastColumn="0" showRowStripes="1" showColumnStripes="0"/>
</table>
</file>

<file path=xl/tables/table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00000000-000C-0000-FFFF-FFFF34000000}" name="Table21926334054" displayName="Table21926334054" ref="N9:R11" totalsRowShown="0">
  <autoFilter ref="N9:R11" xr:uid="{00000000-0009-0000-0100-000035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3400-000001000000}" name="Team"/>
    <tableColumn id="2" xr3:uid="{00000000-0010-0000-3400-000002000000}" name="Commit"/>
    <tableColumn id="3" xr3:uid="{00000000-0010-0000-3400-000003000000}" name="Added"/>
    <tableColumn id="5" xr3:uid="{00000000-0010-0000-3400-000005000000}" name="Blocked" dataDxfId="292">
      <calculatedColumnFormula>IFERROR(AD10,0)</calculatedColumnFormula>
    </tableColumn>
    <tableColumn id="4" xr3:uid="{00000000-0010-0000-3400-000004000000}" name="Total Story Points" dataDxfId="291">
      <calculatedColumnFormula>+IF(ISERR(P10),0,P10)+IF(ISERR(O10),0,O10)</calculatedColumnFormula>
    </tableColumn>
  </tableColumns>
  <tableStyleInfo name="TableStyleMedium3" showFirstColumn="1" showLastColumn="0" showRowStripes="1" showColumnStripes="0"/>
</table>
</file>

<file path=xl/tables/table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00000000-000C-0000-FFFF-FFFF35000000}" name="Table32027344155" displayName="Table32027344155" ref="N13:R15" totalsRowShown="0">
  <autoFilter ref="N13:R15" xr:uid="{00000000-0009-0000-0100-000036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3500-000001000000}" name="Done"/>
    <tableColumn id="2" xr3:uid="{00000000-0010-0000-3500-000002000000}" name="Committed Done"/>
    <tableColumn id="3" xr3:uid="{00000000-0010-0000-3500-000003000000}" name="Added Done"/>
    <tableColumn id="5" xr3:uid="{00000000-0010-0000-3500-000005000000}" name=" "/>
    <tableColumn id="4" xr3:uid="{00000000-0010-0000-3500-000004000000}" name="Total Done" dataDxfId="290">
      <calculatedColumnFormula>+IF(ISERR(P14),0,P14)+IF(ISERR(O14),0,O14)</calculatedColumnFormula>
    </tableColumn>
  </tableColumns>
  <tableStyleInfo name="TableStyleMedium6" showFirstColumn="1" showLastColumn="0" showRowStripes="1" showColumnStripes="0"/>
</table>
</file>

<file path=xl/tables/table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00000000-000C-0000-FFFF-FFFF36000000}" name="Table42128354256" displayName="Table42128354256" ref="N17:R19" totalsRowShown="0" dataDxfId="289" dataCellStyle="Percent">
  <autoFilter ref="N17:R19" xr:uid="{00000000-0009-0000-0100-000037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3600-000001000000}" name="Done"/>
    <tableColumn id="2" xr3:uid="{00000000-0010-0000-3600-000002000000}" name="Total Done / Committed" dataDxfId="288" dataCellStyle="Percent">
      <calculatedColumnFormula>+R14/O10</calculatedColumnFormula>
    </tableColumn>
    <tableColumn id="3" xr3:uid="{00000000-0010-0000-3600-000003000000}" name="Total Done / Overall" dataDxfId="287" dataCellStyle="Percent">
      <calculatedColumnFormula>+R14/R10</calculatedColumnFormula>
    </tableColumn>
    <tableColumn id="5" xr3:uid="{00000000-0010-0000-3600-000005000000}" name="Committed Done" dataDxfId="286" dataCellStyle="Percent">
      <calculatedColumnFormula>+IF(ISERR(O14),0,O14)/IF(ISERR(O10),1,O10)</calculatedColumnFormula>
    </tableColumn>
    <tableColumn id="4" xr3:uid="{00000000-0010-0000-3600-000004000000}" name="Added Done" dataDxfId="285" dataCellStyle="Percent">
      <calculatedColumnFormula>+IF(ISERR(P14),0,P14)/IF(ISERR(P10),1,P10)</calculatedColumnFormula>
    </tableColumn>
  </tableColumns>
  <tableStyleInfo name="TableStyleMedium6" showFirstColumn="1" showLastColumn="0" showRowStripes="1" showColumnStripes="0"/>
</table>
</file>

<file path=xl/tables/table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00000000-000C-0000-FFFF-FFFF37000000}" name="Table72229364357" displayName="Table72229364357" ref="N21:R23" totalsRowShown="0">
  <autoFilter ref="N21:R23" xr:uid="{00000000-0009-0000-0100-000038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3700-000001000000}" name="Prjtd"/>
    <tableColumn id="2" xr3:uid="{00000000-0010-0000-3700-000002000000}" name="Committed Done" dataDxfId="284">
      <calculatedColumnFormula>GETPIVOTDATA("Added After",$N$32,"Project","A","Added After","Y")</calculatedColumnFormula>
    </tableColumn>
    <tableColumn id="3" xr3:uid="{00000000-0010-0000-3700-000003000000}" name="Added Done" dataDxfId="283">
      <calculatedColumnFormula>GETPIVOTDATA("Added After",$N$32,"Project","A","Added After","N")</calculatedColumnFormula>
    </tableColumn>
    <tableColumn id="5" xr3:uid="{00000000-0010-0000-3700-000005000000}" name="Commit Not Done" dataDxfId="282">
      <calculatedColumnFormula>+O10-IF(ISERR(Q10),0,Q10)-Table72229364357[[#This Row],[Committed Done]]</calculatedColumnFormula>
    </tableColumn>
    <tableColumn id="4" xr3:uid="{00000000-0010-0000-3700-000004000000}" name="Prj Story Points" dataDxfId="281">
      <calculatedColumnFormula>+IF(ISERR(P22),0,P22)+IF(ISERR(O22),0,O22)</calculatedColumnFormula>
    </tableColumn>
  </tableColumns>
  <tableStyleInfo name="TableStyleMedium21" showFirstColumn="0" showLastColumn="0" showRowStripes="1" showColumnStripes="0"/>
</table>
</file>

<file path=xl/tables/table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00000000-000C-0000-FFFF-FFFF38000000}" name="Table82330374458" displayName="Table82330374458" ref="N25:R27" totalsRowShown="0" dataDxfId="280" dataCellStyle="Percent">
  <autoFilter ref="N25:R27" xr:uid="{00000000-0009-0000-0100-000039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3800-000001000000}" name="Prjtd"/>
    <tableColumn id="2" xr3:uid="{00000000-0010-0000-3800-000002000000}" name="Total Done / Committed" dataDxfId="279" dataCellStyle="Percent">
      <calculatedColumnFormula>IF(ISERR(R22),0,R22)/IF(ISERR(O10), 1,O10)</calculatedColumnFormula>
    </tableColumn>
    <tableColumn id="3" xr3:uid="{00000000-0010-0000-3800-000003000000}" name="Total Done / Overall" dataDxfId="278" dataCellStyle="Percent">
      <calculatedColumnFormula>IF(ISERR(R22),0,R22)/IF(ISERR(R10),1,R10)</calculatedColumnFormula>
    </tableColumn>
    <tableColumn id="5" xr3:uid="{00000000-0010-0000-3800-000005000000}" name="Committed Done" dataDxfId="277" dataCellStyle="Percent">
      <calculatedColumnFormula>+IF(ISERR(O22),0,O22)/IF(ISERR(O10),1,O10)</calculatedColumnFormula>
    </tableColumn>
    <tableColumn id="4" xr3:uid="{00000000-0010-0000-3800-000004000000}" name="Prj Added Done" dataDxfId="276" dataCellStyle="Percent">
      <calculatedColumnFormula>+IF(ISERR(P22),0,P22)/IF(ISERR(P10),1,P10)</calculatedColumnFormula>
    </tableColumn>
  </tableColumns>
  <tableStyleInfo name="TableStyleMedium21" showFirstColumn="0" showLastColumn="0" showRowStripes="1" showColumnStripes="0"/>
</table>
</file>

<file path=xl/tables/table1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00000000-000C-0000-FFFF-FFFF39000000}" name="Table92431384559" displayName="Table92431384559" ref="N1:W4" totalsRowShown="0">
  <autoFilter ref="N1:W4" xr:uid="{00000000-0009-0000-0100-00003A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00000000-0010-0000-3900-000001000000}" name="Team"/>
    <tableColumn id="2" xr3:uid="{00000000-0010-0000-3900-000002000000}" name="Committed" dataDxfId="275">
      <calculatedColumnFormula>+O10-Table92431384559[[#This Row],[Blocked]]</calculatedColumnFormula>
    </tableColumn>
    <tableColumn id="3" xr3:uid="{00000000-0010-0000-3900-000003000000}" name="Added">
      <calculatedColumnFormula>IF(ISERR(P10),0,P10)</calculatedColumnFormula>
    </tableColumn>
    <tableColumn id="4" xr3:uid="{00000000-0010-0000-3900-000004000000}" name="Blocked" dataDxfId="274">
      <calculatedColumnFormula>IF(ISERR(Q10),0,Q10)</calculatedColumnFormula>
    </tableColumn>
    <tableColumn id="5" xr3:uid="{00000000-0010-0000-3900-000005000000}" name="Completed" dataDxfId="273">
      <calculatedColumnFormula>+IF(ISERR(R14),0,R14)</calculatedColumnFormula>
    </tableColumn>
    <tableColumn id="6" xr3:uid="{00000000-0010-0000-3900-000006000000}" name="Completion V _x000a_Committed" dataDxfId="272" dataCellStyle="Percent">
      <calculatedColumnFormula>Table92431384559[[#This Row],[Completed]]/Table92431384559[[#This Row],[Committed]]</calculatedColumnFormula>
    </tableColumn>
    <tableColumn id="7" xr3:uid="{00000000-0010-0000-3900-000007000000}" name="Overall _x000a_Completion" dataCellStyle="Percent">
      <calculatedColumnFormula>Table92431384559[[#This Row],[Completed]]/(Table92431384559[[#This Row],[Added]]+Table92431384559[[#This Row],[Committed]])</calculatedColumnFormula>
    </tableColumn>
    <tableColumn id="8" xr3:uid="{00000000-0010-0000-3900-000008000000}" name=" "/>
    <tableColumn id="9" xr3:uid="{00000000-0010-0000-3900-000009000000}" name="Committed _x000a_Completed" dataDxfId="271" dataCellStyle="Percent">
      <calculatedColumnFormula>IF(ISERR(O14),0,O14) &amp; "  (" &amp;TEXT(IF(ISERR(O14),0,O14)/Table92431384559[[#This Row],[Committed]],"#%") &amp; ")"</calculatedColumnFormula>
    </tableColumn>
    <tableColumn id="10" xr3:uid="{00000000-0010-0000-3900-00000A000000}" name="Added _x000a_Completed" dataDxfId="270">
      <calculatedColumnFormula>+IF(ISERR(P14),0,P14) &amp; " (" &amp; TEXT(R18, "#%") &amp; ")"</calculatedColumnFormula>
    </tableColumn>
  </tableColumns>
  <tableStyleInfo name="TableStyleMedium16 2" showFirstColumn="0" showLastColumn="0" showRowStripes="1" showColumnStripes="0"/>
</table>
</file>

<file path=xl/tables/table1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3A000000}" name="T_02_12_18253239" displayName="T_02_12_18253239" ref="A1:I50" totalsRowShown="0" dataDxfId="263">
  <autoFilter ref="A1:I50" xr:uid="{00000000-0009-0000-0100-000026000000}"/>
  <sortState ref="A2:I50">
    <sortCondition descending="1" ref="G2:G50"/>
    <sortCondition ref="A2:A50"/>
  </sortState>
  <tableColumns count="9">
    <tableColumn id="10" xr3:uid="{00000000-0010-0000-3A00-00000A000000}" name="ID" dataDxfId="262">
      <calculatedColumnFormula>MID(B2,8,3)</calculatedColumnFormula>
    </tableColumn>
    <tableColumn id="1" xr3:uid="{00000000-0010-0000-3A00-000001000000}" name="Issue key" dataDxfId="261"/>
    <tableColumn id="3" xr3:uid="{00000000-0010-0000-3A00-000003000000}" name="Status" dataDxfId="260"/>
    <tableColumn id="4" xr3:uid="{00000000-0010-0000-3A00-000004000000}" name="Summary" dataDxfId="259"/>
    <tableColumn id="5" xr3:uid="{00000000-0010-0000-3A00-000005000000}" name="Story Points" dataDxfId="258"/>
    <tableColumn id="6" xr3:uid="{00000000-0010-0000-3A00-000006000000}" name="Assignee" dataDxfId="257"/>
    <tableColumn id="7" xr3:uid="{00000000-0010-0000-3A00-000007000000}" name="Project" dataDxfId="256">
      <calculatedColumnFormula>MID(B2,4,1)</calculatedColumnFormula>
    </tableColumn>
    <tableColumn id="8" xr3:uid="{00000000-0010-0000-3A00-000008000000}" name="Added After" dataDxfId="255"/>
    <tableColumn id="9" xr3:uid="{00000000-0010-0000-3A00-000009000000}" name="Prj Cmpt" dataDxfId="254" dataCellStyle="Normal"/>
  </tableColumns>
  <tableStyleInfo name="TableStyleLight1" showFirstColumn="0" showLastColumn="0" showRowStripes="1" showColumnStripes="0"/>
</table>
</file>

<file path=xl/tables/table1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3B000000}" name="Table219263340" displayName="Table219263340" ref="N9:R11" totalsRowShown="0">
  <autoFilter ref="N9:R11" xr:uid="{00000000-0009-0000-0100-000027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3B00-000001000000}" name="Team"/>
    <tableColumn id="2" xr3:uid="{00000000-0010-0000-3B00-000002000000}" name="Commit"/>
    <tableColumn id="3" xr3:uid="{00000000-0010-0000-3B00-000003000000}" name="Added"/>
    <tableColumn id="5" xr3:uid="{00000000-0010-0000-3B00-000005000000}" name="Blocked" dataDxfId="253">
      <calculatedColumnFormula>GETPIVOTDATA("Story Points2",$K$7,"Status","Blocked","Project","U")</calculatedColumnFormula>
    </tableColumn>
    <tableColumn id="4" xr3:uid="{00000000-0010-0000-3B00-000004000000}" name="Total Story Points" dataDxfId="252">
      <calculatedColumnFormula>+IF(ISERR(P10),0,P10)+IF(ISERR(O10),0,O10)</calculatedColumnFormula>
    </tableColumn>
  </tableColumns>
  <tableStyleInfo name="TableStyleMedium3" showFirstColumn="1" showLastColumn="0" showRowStripes="1" showColumnStripes="0"/>
</table>
</file>

<file path=xl/tables/table1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3C000000}" name="Table320273441" displayName="Table320273441" ref="N13:R15" totalsRowShown="0">
  <autoFilter ref="N13:R15" xr:uid="{00000000-0009-0000-0100-000028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3C00-000001000000}" name="Done"/>
    <tableColumn id="2" xr3:uid="{00000000-0010-0000-3C00-000002000000}" name="Committed Done"/>
    <tableColumn id="3" xr3:uid="{00000000-0010-0000-3C00-000003000000}" name="Added Done"/>
    <tableColumn id="5" xr3:uid="{00000000-0010-0000-3C00-000005000000}" name=" "/>
    <tableColumn id="4" xr3:uid="{00000000-0010-0000-3C00-000004000000}" name="Total Done" dataDxfId="251">
      <calculatedColumnFormula>+IF(ISERR(P14),0,P14)+IF(ISERR(O14),0,O14)</calculatedColumnFormula>
    </tableColumn>
  </tableColumns>
  <tableStyleInfo name="TableStyleMedium6" showFirstColumn="1" showLastColumn="0" showRowStripes="1" showColumnStripes="0"/>
</table>
</file>

<file path=xl/tables/table1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3D000000}" name="Table421283542" displayName="Table421283542" ref="N17:R19" totalsRowShown="0" dataDxfId="250" dataCellStyle="Percent">
  <autoFilter ref="N17:R19" xr:uid="{00000000-0009-0000-0100-000029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3D00-000001000000}" name="Done"/>
    <tableColumn id="2" xr3:uid="{00000000-0010-0000-3D00-000002000000}" name="Total Done / Committed" dataDxfId="249" dataCellStyle="Percent">
      <calculatedColumnFormula>+R14/O10</calculatedColumnFormula>
    </tableColumn>
    <tableColumn id="3" xr3:uid="{00000000-0010-0000-3D00-000003000000}" name="Total Done / Overall" dataDxfId="248" dataCellStyle="Percent">
      <calculatedColumnFormula>+R14/R10</calculatedColumnFormula>
    </tableColumn>
    <tableColumn id="5" xr3:uid="{00000000-0010-0000-3D00-000005000000}" name="Committed Done" dataDxfId="247" dataCellStyle="Percent">
      <calculatedColumnFormula>+IF(ISERR(O14),0,O14)/IF(ISERR(O10),1,O10)</calculatedColumnFormula>
    </tableColumn>
    <tableColumn id="4" xr3:uid="{00000000-0010-0000-3D00-000004000000}" name="Added Done" dataDxfId="246" dataCellStyle="Percent">
      <calculatedColumnFormula>+IF(ISERR(P14),0,P14)/IF(ISERR(P10),1,P10)</calculatedColumnFormula>
    </tableColumn>
  </tableColumns>
  <tableStyleInfo name="TableStyleMedium6" showFirstColumn="1" showLastColumn="0" showRowStripes="1" showColumnStripes="0"/>
</table>
</file>

<file path=xl/tables/table1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0000000-000C-0000-FFFF-FFFF3E000000}" name="Table722293643" displayName="Table722293643" ref="N21:R23" totalsRowShown="0">
  <autoFilter ref="N21:R23" xr:uid="{00000000-0009-0000-0100-00002A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3E00-000001000000}" name="Prjtd"/>
    <tableColumn id="2" xr3:uid="{00000000-0010-0000-3E00-000002000000}" name="Committed Done" dataDxfId="245">
      <calculatedColumnFormula>GETPIVOTDATA("Added After",$N$32,"Project","A","Added After","Y")</calculatedColumnFormula>
    </tableColumn>
    <tableColumn id="3" xr3:uid="{00000000-0010-0000-3E00-000003000000}" name="Added Done" dataDxfId="244">
      <calculatedColumnFormula>GETPIVOTDATA("Added After",$N$32,"Project","A","Added After","N")</calculatedColumnFormula>
    </tableColumn>
    <tableColumn id="5" xr3:uid="{00000000-0010-0000-3E00-000005000000}" name="Commit Not Done" dataDxfId="243">
      <calculatedColumnFormula>+O10-IF(ISERR(Q10),0,Q10)-Table722293643[[#This Row],[Committed Done]]</calculatedColumnFormula>
    </tableColumn>
    <tableColumn id="4" xr3:uid="{00000000-0010-0000-3E00-000004000000}" name="Prj Story Points" dataDxfId="242">
      <calculatedColumnFormula>+IF(ISERR(P22),0,P22)+IF(ISERR(O22),0,O22)</calculatedColumnFormula>
    </tableColumn>
  </tableColumns>
  <tableStyleInfo name="TableStyleMedium21" showFirstColumn="0" showLastColumn="0" showRowStripes="1" showColumnStripes="0"/>
</table>
</file>

<file path=xl/tables/table1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0000000-000C-0000-FFFF-FFFF3F000000}" name="Table823303744" displayName="Table823303744" ref="N25:R27" totalsRowShown="0" dataDxfId="241" dataCellStyle="Percent">
  <autoFilter ref="N25:R27" xr:uid="{00000000-0009-0000-0100-00002B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3F00-000001000000}" name="Prjtd"/>
    <tableColumn id="2" xr3:uid="{00000000-0010-0000-3F00-000002000000}" name="Total Done / Committed" dataDxfId="240" dataCellStyle="Percent">
      <calculatedColumnFormula>IF(ISERR(R22),0,R22)/IF(ISERR(O10), 1,O10)</calculatedColumnFormula>
    </tableColumn>
    <tableColumn id="3" xr3:uid="{00000000-0010-0000-3F00-000003000000}" name="Total Done / Overall" dataDxfId="239" dataCellStyle="Percent">
      <calculatedColumnFormula>IF(ISERR(R22),0,R22)/IF(ISERR(R10),1,R10)</calculatedColumnFormula>
    </tableColumn>
    <tableColumn id="5" xr3:uid="{00000000-0010-0000-3F00-000005000000}" name="Committed Done" dataDxfId="238" dataCellStyle="Percent">
      <calculatedColumnFormula>+IF(ISERR(O22),0,O22)/IF(ISERR(O10),1,O10)</calculatedColumnFormula>
    </tableColumn>
    <tableColumn id="4" xr3:uid="{00000000-0010-0000-3F00-000004000000}" name="Prj Added Done" dataDxfId="237" dataCellStyle="Percent">
      <calculatedColumnFormula>+IF(ISERR(P22),0,P22)/IF(ISERR(P10),1,P10)</calculatedColumnFormula>
    </tableColumn>
  </tableColumns>
  <tableStyleInfo name="TableStyleMedium21" showFirstColumn="0" showLastColumn="0" showRowStripes="1" showColumnStripes="0"/>
</table>
</file>

<file path=xl/tables/table1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40000000}" name="Table924313845" displayName="Table924313845" ref="N1:W4" totalsRowShown="0">
  <autoFilter ref="N1:W4" xr:uid="{00000000-0009-0000-0100-00002C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00000000-0010-0000-4000-000001000000}" name="Team"/>
    <tableColumn id="2" xr3:uid="{00000000-0010-0000-4000-000002000000}" name="Committed" dataDxfId="236">
      <calculatedColumnFormula>+O10-Table924313845[[#This Row],[Blocked]]</calculatedColumnFormula>
    </tableColumn>
    <tableColumn id="3" xr3:uid="{00000000-0010-0000-4000-000003000000}" name="Added">
      <calculatedColumnFormula>IF(ISERR(P10),0,P10)</calculatedColumnFormula>
    </tableColumn>
    <tableColumn id="4" xr3:uid="{00000000-0010-0000-4000-000004000000}" name="Blocked" dataDxfId="235">
      <calculatedColumnFormula>IF(ISERR(Q10),0,Q10)</calculatedColumnFormula>
    </tableColumn>
    <tableColumn id="5" xr3:uid="{00000000-0010-0000-4000-000005000000}" name="Completed" dataDxfId="234">
      <calculatedColumnFormula>+IF(ISERR(R14),0,R14)</calculatedColumnFormula>
    </tableColumn>
    <tableColumn id="6" xr3:uid="{00000000-0010-0000-4000-000006000000}" name="Completion V _x000a_Committed" dataDxfId="233" dataCellStyle="Percent">
      <calculatedColumnFormula>Table924313845[[#This Row],[Completed]]/Table924313845[[#This Row],[Committed]]</calculatedColumnFormula>
    </tableColumn>
    <tableColumn id="7" xr3:uid="{00000000-0010-0000-4000-000007000000}" name="Overall _x000a_Completion" dataCellStyle="Percent">
      <calculatedColumnFormula>Table924313845[[#This Row],[Completed]]/(Table924313845[[#This Row],[Added]]+Table924313845[[#This Row],[Committed]])</calculatedColumnFormula>
    </tableColumn>
    <tableColumn id="8" xr3:uid="{00000000-0010-0000-4000-000008000000}" name=" "/>
    <tableColumn id="9" xr3:uid="{00000000-0010-0000-4000-000009000000}" name="Committed _x000a_Completed" dataDxfId="232" dataCellStyle="Percent">
      <calculatedColumnFormula>IF(ISERR(O14),0,O14) &amp; "  (" &amp;TEXT(IF(ISERR(O14),0,O14)/Table924313845[[#This Row],[Committed]],"#%") &amp; ")"</calculatedColumnFormula>
    </tableColumn>
    <tableColumn id="10" xr3:uid="{00000000-0010-0000-4000-00000A000000}" name="Added _x000a_Completed" dataDxfId="231">
      <calculatedColumnFormula>+IF(ISERR(P14),0,P14) &amp; " (" &amp; TEXT(R18, "#%") &amp; ")"</calculatedColumnFormula>
    </tableColumn>
  </tableColumns>
  <tableStyleInfo name="TableStyleMedium16 2" showFirstColumn="0" showLastColumn="0" showRowStripes="1" showColumnStripes="0"/>
</table>
</file>

<file path=xl/tables/table1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41000000}" name="T_02_12_182532" displayName="T_02_12_182532" ref="A1:I46" totalsRowShown="0" dataDxfId="226">
  <autoFilter ref="A1:I46" xr:uid="{00000000-0009-0000-0100-00001F000000}"/>
  <sortState ref="A2:I46">
    <sortCondition descending="1" ref="G2:G38"/>
    <sortCondition ref="A2:A38"/>
  </sortState>
  <tableColumns count="9">
    <tableColumn id="10" xr3:uid="{00000000-0010-0000-4100-00000A000000}" name="ID" dataDxfId="225">
      <calculatedColumnFormula>MID(B2,8,3)</calculatedColumnFormula>
    </tableColumn>
    <tableColumn id="1" xr3:uid="{00000000-0010-0000-4100-000001000000}" name="Issue key" dataDxfId="224"/>
    <tableColumn id="3" xr3:uid="{00000000-0010-0000-4100-000003000000}" name="Status" dataDxfId="223"/>
    <tableColumn id="4" xr3:uid="{00000000-0010-0000-4100-000004000000}" name="Summary" dataDxfId="222"/>
    <tableColumn id="5" xr3:uid="{00000000-0010-0000-4100-000005000000}" name="Story Points" dataDxfId="221"/>
    <tableColumn id="6" xr3:uid="{00000000-0010-0000-4100-000006000000}" name="Assignee" dataDxfId="220"/>
    <tableColumn id="7" xr3:uid="{00000000-0010-0000-4100-000007000000}" name="Project" dataDxfId="219">
      <calculatedColumnFormula>MID(B2,4,1)</calculatedColumnFormula>
    </tableColumn>
    <tableColumn id="8" xr3:uid="{00000000-0010-0000-4100-000008000000}" name="Added After" dataDxfId="218"/>
    <tableColumn id="9" xr3:uid="{00000000-0010-0000-4100-000009000000}" name="Prj Cmpt" dataDxfId="217" dataCellStyle="Normal"/>
  </tableColumns>
  <tableStyleInfo name="TableStyleLight1" showFirstColumn="0" showLastColumn="0" showRowStripes="1" showColumnStripes="0"/>
</table>
</file>

<file path=xl/tables/table1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42000000}" name="Table2192633" displayName="Table2192633" ref="N9:R11" totalsRowShown="0">
  <autoFilter ref="N9:R11" xr:uid="{00000000-0009-0000-0100-000020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4200-000001000000}" name="Team"/>
    <tableColumn id="2" xr3:uid="{00000000-0010-0000-4200-000002000000}" name="Commit"/>
    <tableColumn id="3" xr3:uid="{00000000-0010-0000-4200-000003000000}" name="Added"/>
    <tableColumn id="5" xr3:uid="{00000000-0010-0000-4200-000005000000}" name="Blocked" dataDxfId="216">
      <calculatedColumnFormula>GETPIVOTDATA("Story Points2",$K$7,"Status","Blocked","Project","U")</calculatedColumnFormula>
    </tableColumn>
    <tableColumn id="4" xr3:uid="{00000000-0010-0000-4200-000004000000}" name="Total Story Points" dataDxfId="215">
      <calculatedColumnFormula>+IF(ISERR(P10),0,P10)+IF(ISERR(O10),0,O10)</calculatedColumnFormula>
    </tableColumn>
  </tableColumns>
  <tableStyleInfo name="TableStyleMedium3" showFirstColumn="1" showLastColumn="0" showRowStripes="1" showColumnStripes="0"/>
</table>
</file>

<file path=xl/tables/table1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43000000}" name="Table3202734" displayName="Table3202734" ref="N13:R15" totalsRowShown="0">
  <autoFilter ref="N13:R15" xr:uid="{00000000-0009-0000-0100-000021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4300-000001000000}" name="Done"/>
    <tableColumn id="2" xr3:uid="{00000000-0010-0000-4300-000002000000}" name="Committed Done"/>
    <tableColumn id="3" xr3:uid="{00000000-0010-0000-4300-000003000000}" name="Added Done"/>
    <tableColumn id="5" xr3:uid="{00000000-0010-0000-4300-000005000000}" name=" "/>
    <tableColumn id="4" xr3:uid="{00000000-0010-0000-4300-000004000000}" name="Total Done" dataDxfId="214">
      <calculatedColumnFormula>+IF(ISERR(P14),0,P14)+IF(ISERR(O14),0,O14)</calculatedColumnFormula>
    </tableColumn>
  </tableColumns>
  <tableStyleInfo name="TableStyleMedium6" showFirstColumn="1" showLastColumn="0" showRowStripes="1" showColumnStripes="0"/>
</table>
</file>

<file path=xl/tables/table1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44000000}" name="Table4212835" displayName="Table4212835" ref="N17:R19" totalsRowShown="0" dataDxfId="213" dataCellStyle="Percent">
  <autoFilter ref="N17:R19" xr:uid="{00000000-0009-0000-0100-000022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4400-000001000000}" name="Done"/>
    <tableColumn id="2" xr3:uid="{00000000-0010-0000-4400-000002000000}" name="Total Done / Committed" dataDxfId="212" dataCellStyle="Percent">
      <calculatedColumnFormula>+R14/O10</calculatedColumnFormula>
    </tableColumn>
    <tableColumn id="3" xr3:uid="{00000000-0010-0000-4400-000003000000}" name="Total Done / Overall" dataDxfId="211" dataCellStyle="Percent">
      <calculatedColumnFormula>+R14/R10</calculatedColumnFormula>
    </tableColumn>
    <tableColumn id="5" xr3:uid="{00000000-0010-0000-4400-000005000000}" name="Committed Done" dataDxfId="210" dataCellStyle="Percent">
      <calculatedColumnFormula>+IF(ISERR(O14),0,O14)/IF(ISERR(O10),1,O10)</calculatedColumnFormula>
    </tableColumn>
    <tableColumn id="4" xr3:uid="{00000000-0010-0000-4400-000004000000}" name="Added Done" dataDxfId="209" dataCellStyle="Percent">
      <calculatedColumnFormula>+IF(ISERR(P14),0,P14)/IF(ISERR(P10),1,P10)</calculatedColumnFormula>
    </tableColumn>
  </tableColumns>
  <tableStyleInfo name="TableStyleMedium6" showFirstColumn="1" showLastColumn="0" showRowStripes="1" showColumnStripes="0"/>
</table>
</file>

<file path=xl/tables/table1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45000000}" name="Table7222936" displayName="Table7222936" ref="N21:R23" totalsRowShown="0">
  <autoFilter ref="N21:R23" xr:uid="{00000000-0009-0000-0100-000023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4500-000001000000}" name="Prjtd"/>
    <tableColumn id="2" xr3:uid="{00000000-0010-0000-4500-000002000000}" name="Committed Done" dataDxfId="208">
      <calculatedColumnFormula>GETPIVOTDATA("Added After",$N$32,"Project","A","Added After","Y")</calculatedColumnFormula>
    </tableColumn>
    <tableColumn id="3" xr3:uid="{00000000-0010-0000-4500-000003000000}" name="Added Done" dataDxfId="207">
      <calculatedColumnFormula>GETPIVOTDATA("Added After",$N$32,"Project","A","Added After","N")</calculatedColumnFormula>
    </tableColumn>
    <tableColumn id="5" xr3:uid="{00000000-0010-0000-4500-000005000000}" name="Commit Not Done" dataDxfId="206">
      <calculatedColumnFormula>+O10-IF(ISERR(Q10),0,Q10)-Table7222936[[#This Row],[Committed Done]]</calculatedColumnFormula>
    </tableColumn>
    <tableColumn id="4" xr3:uid="{00000000-0010-0000-4500-000004000000}" name="Prj Story Points" dataDxfId="205">
      <calculatedColumnFormula>+IF(ISERR(P22),0,P22)+IF(ISERR(O22),0,O22)</calculatedColumnFormula>
    </tableColumn>
  </tableColumns>
  <tableStyleInfo name="TableStyleMedium21" showFirstColumn="0" showLastColumn="0" showRowStripes="1" showColumnStripes="0"/>
</table>
</file>

<file path=xl/tables/table1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46000000}" name="Table8233037" displayName="Table8233037" ref="N25:R27" totalsRowShown="0" dataDxfId="204" dataCellStyle="Percent">
  <autoFilter ref="N25:R27" xr:uid="{00000000-0009-0000-0100-000024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4600-000001000000}" name="Prjtd"/>
    <tableColumn id="2" xr3:uid="{00000000-0010-0000-4600-000002000000}" name="Total Done / Committed" dataDxfId="203" dataCellStyle="Percent">
      <calculatedColumnFormula>IF(ISERR(R22),0,R22)/IF(ISERR(O10), 1,O10)</calculatedColumnFormula>
    </tableColumn>
    <tableColumn id="3" xr3:uid="{00000000-0010-0000-4600-000003000000}" name="Total Done / Overall" dataDxfId="202" dataCellStyle="Percent">
      <calculatedColumnFormula>IF(ISERR(R22),0,R22)/IF(ISERR(R10),1,R10)</calculatedColumnFormula>
    </tableColumn>
    <tableColumn id="5" xr3:uid="{00000000-0010-0000-4600-000005000000}" name="Committed Done" dataDxfId="201" dataCellStyle="Percent">
      <calculatedColumnFormula>+IF(ISERR(O22),0,O22)/IF(ISERR(O10),1,O10)</calculatedColumnFormula>
    </tableColumn>
    <tableColumn id="4" xr3:uid="{00000000-0010-0000-4600-000004000000}" name="Prj Added Done" dataDxfId="200" dataCellStyle="Percent">
      <calculatedColumnFormula>+IF(ISERR(P22),0,P22)/IF(ISERR(P10),1,P10)</calculatedColumnFormula>
    </tableColumn>
  </tableColumns>
  <tableStyleInfo name="TableStyleMedium21" showFirstColumn="0" showLastColumn="0" showRowStripes="1" showColumnStripes="0"/>
</table>
</file>

<file path=xl/tables/table1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47000000}" name="Table9243138" displayName="Table9243138" ref="N1:W4" totalsRowShown="0">
  <autoFilter ref="N1:W4" xr:uid="{00000000-0009-0000-0100-00002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00000000-0010-0000-4700-000001000000}" name="Team"/>
    <tableColumn id="2" xr3:uid="{00000000-0010-0000-4700-000002000000}" name="Committed" dataDxfId="199">
      <calculatedColumnFormula>+O10-Table9243138[[#This Row],[Blocked]]</calculatedColumnFormula>
    </tableColumn>
    <tableColumn id="3" xr3:uid="{00000000-0010-0000-4700-000003000000}" name="Added">
      <calculatedColumnFormula>IF(ISERR(P10),0,P10)</calculatedColumnFormula>
    </tableColumn>
    <tableColumn id="4" xr3:uid="{00000000-0010-0000-4700-000004000000}" name="Blocked" dataDxfId="198">
      <calculatedColumnFormula>IF(ISERR(Q10),0,Q10)</calculatedColumnFormula>
    </tableColumn>
    <tableColumn id="5" xr3:uid="{00000000-0010-0000-4700-000005000000}" name="Completed" dataDxfId="197">
      <calculatedColumnFormula>+IF(ISERR(R14),0,R14)</calculatedColumnFormula>
    </tableColumn>
    <tableColumn id="6" xr3:uid="{00000000-0010-0000-4700-000006000000}" name="Completion V _x000a_Committed" dataCellStyle="Percent">
      <calculatedColumnFormula>Table9243138[[#This Row],[Completed]]/Table9243138[[#This Row],[Committed]]</calculatedColumnFormula>
    </tableColumn>
    <tableColumn id="7" xr3:uid="{00000000-0010-0000-4700-000007000000}" name="Overall _x000a_Completion" dataCellStyle="Percent">
      <calculatedColumnFormula>Table9243138[[#This Row],[Completed]]/(Table9243138[[#This Row],[Added]]+Table9243138[[#This Row],[Committed]])</calculatedColumnFormula>
    </tableColumn>
    <tableColumn id="8" xr3:uid="{00000000-0010-0000-4700-000008000000}" name=" "/>
    <tableColumn id="9" xr3:uid="{00000000-0010-0000-4700-000009000000}" name="Committed _x000a_Completed" dataDxfId="196" dataCellStyle="Percent">
      <calculatedColumnFormula>IF(ISERR(O14),0,O14) &amp; "  (" &amp;TEXT(IF(ISERR(O14),0,O14)/Table9243138[[#This Row],[Committed]],"#%") &amp; ")"</calculatedColumnFormula>
    </tableColumn>
    <tableColumn id="10" xr3:uid="{00000000-0010-0000-4700-00000A000000}" name="Added _x000a_Completed" dataDxfId="195">
      <calculatedColumnFormula>+IF(ISERR(P14),0,P14) &amp; " (" &amp; TEXT(R18, "#%") &amp; ")"</calculatedColumnFormula>
    </tableColumn>
  </tableColumns>
  <tableStyleInfo name="TableStyleMedium16 2" showFirstColumn="0" showLastColumn="0" showRowStripes="1" showColumnStripes="0"/>
</table>
</file>

<file path=xl/tables/table1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48000000}" name="T_02_12_1825" displayName="T_02_12_1825" ref="A1:J41" totalsRowShown="0" dataDxfId="192">
  <autoFilter ref="A1:J41" xr:uid="{00000000-0009-0000-0100-000018000000}"/>
  <sortState ref="A2:J41">
    <sortCondition descending="1" ref="G2:G39"/>
    <sortCondition ref="A2:A39"/>
  </sortState>
  <tableColumns count="10">
    <tableColumn id="10" xr3:uid="{00000000-0010-0000-4800-00000A000000}" name="ID" dataDxfId="191">
      <calculatedColumnFormula>MID(B2,8,3)</calculatedColumnFormula>
    </tableColumn>
    <tableColumn id="1" xr3:uid="{00000000-0010-0000-4800-000001000000}" name="Issue key" dataDxfId="190"/>
    <tableColumn id="3" xr3:uid="{00000000-0010-0000-4800-000003000000}" name="Status" dataDxfId="189"/>
    <tableColumn id="4" xr3:uid="{00000000-0010-0000-4800-000004000000}" name="Summary" dataDxfId="188"/>
    <tableColumn id="5" xr3:uid="{00000000-0010-0000-4800-000005000000}" name="Story Points" dataDxfId="187"/>
    <tableColumn id="6" xr3:uid="{00000000-0010-0000-4800-000006000000}" name="Assignee" dataDxfId="186"/>
    <tableColumn id="7" xr3:uid="{00000000-0010-0000-4800-000007000000}" name="Project" dataDxfId="185">
      <calculatedColumnFormula>MID(B2,4,1)</calculatedColumnFormula>
    </tableColumn>
    <tableColumn id="8" xr3:uid="{00000000-0010-0000-4800-000008000000}" name="Added After" dataDxfId="184"/>
    <tableColumn id="9" xr3:uid="{00000000-0010-0000-4800-000009000000}" name="Prj Cmpt" dataDxfId="183" dataCellStyle="Normal"/>
    <tableColumn id="2" xr3:uid="{00000000-0010-0000-4800-000002000000}" name=" " dataDxfId="182">
      <calculatedColumnFormula>IF(C2="Done", IF(I2&lt;&gt;"Y", "ERR",""),"")</calculatedColumnFormula>
    </tableColumn>
  </tableColumns>
  <tableStyleInfo name="TableStyleLight1" showFirstColumn="0" showLastColumn="0" showRowStripes="1" showColumnStripes="0"/>
</table>
</file>

<file path=xl/tables/table1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49000000}" name="Table21926" displayName="Table21926" ref="O9:S11" totalsRowShown="0">
  <autoFilter ref="O9:S11" xr:uid="{00000000-0009-0000-0100-000019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4900-000001000000}" name="Team"/>
    <tableColumn id="2" xr3:uid="{00000000-0010-0000-4900-000002000000}" name="Commit"/>
    <tableColumn id="3" xr3:uid="{00000000-0010-0000-4900-000003000000}" name="Added"/>
    <tableColumn id="5" xr3:uid="{00000000-0010-0000-4900-000005000000}" name="Blocked" dataDxfId="181">
      <calculatedColumnFormula>GETPIVOTDATA("Story Points2",$L$7,"Status","Blocked","Project","U")</calculatedColumnFormula>
    </tableColumn>
    <tableColumn id="4" xr3:uid="{00000000-0010-0000-4900-000004000000}" name="Total Story Points" dataDxfId="180">
      <calculatedColumnFormula>+IF(ISERR(Q10),0,Q10)+IF(ISERR(P10),0,P10)</calculatedColumnFormula>
    </tableColumn>
  </tableColumns>
  <tableStyleInfo name="TableStyleMedium3" showFirstColumn="1" showLastColumn="0" showRowStripes="1" showColumnStripes="0"/>
</table>
</file>

<file path=xl/tables/table1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4A000000}" name="Table32027" displayName="Table32027" ref="O13:S15" totalsRowShown="0">
  <autoFilter ref="O13:S15" xr:uid="{00000000-0009-0000-0100-00001A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4A00-000001000000}" name="Done"/>
    <tableColumn id="2" xr3:uid="{00000000-0010-0000-4A00-000002000000}" name="Committed Done"/>
    <tableColumn id="3" xr3:uid="{00000000-0010-0000-4A00-000003000000}" name="Added Done"/>
    <tableColumn id="5" xr3:uid="{00000000-0010-0000-4A00-000005000000}" name=" "/>
    <tableColumn id="4" xr3:uid="{00000000-0010-0000-4A00-000004000000}" name="Total Done" dataDxfId="179">
      <calculatedColumnFormula>+IF(ISERR(Q14),0,Q14)+IF(ISERR(P14),0,P14)</calculatedColumnFormula>
    </tableColumn>
  </tableColumns>
  <tableStyleInfo name="TableStyleMedium6" showFirstColumn="1" showLastColumn="0" showRowStripes="1" showColumnStripes="0"/>
</table>
</file>

<file path=xl/tables/table1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4B000000}" name="Table42128" displayName="Table42128" ref="O17:S19" totalsRowShown="0" dataDxfId="178" dataCellStyle="Percent">
  <autoFilter ref="O17:S19" xr:uid="{00000000-0009-0000-0100-00001B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4B00-000001000000}" name="Done"/>
    <tableColumn id="2" xr3:uid="{00000000-0010-0000-4B00-000002000000}" name="Total Done / Committed" dataDxfId="177" dataCellStyle="Percent">
      <calculatedColumnFormula>+S14/P10</calculatedColumnFormula>
    </tableColumn>
    <tableColumn id="3" xr3:uid="{00000000-0010-0000-4B00-000003000000}" name="Total Done / Overall" dataDxfId="176" dataCellStyle="Percent">
      <calculatedColumnFormula>+S14/S10</calculatedColumnFormula>
    </tableColumn>
    <tableColumn id="5" xr3:uid="{00000000-0010-0000-4B00-000005000000}" name="Committed Done" dataDxfId="175" dataCellStyle="Percent">
      <calculatedColumnFormula>+IF(ISERR(P14),0,P14)/IF(ISERR(P10),1,P10)</calculatedColumnFormula>
    </tableColumn>
    <tableColumn id="4" xr3:uid="{00000000-0010-0000-4B00-000004000000}" name="Added Done" dataDxfId="174" dataCellStyle="Percent">
      <calculatedColumnFormula>+IF(ISERR(Q14),0,Q14)/IF(ISERR(Q10),1,Q10)</calculatedColumnFormula>
    </tableColumn>
  </tableColumns>
  <tableStyleInfo name="TableStyleMedium6" showFirstColumn="1" showLastColumn="0" showRowStripes="1" showColumnStripes="0"/>
</table>
</file>

<file path=xl/tables/table1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4C000000}" name="Table72229" displayName="Table72229" ref="O21:S23" totalsRowShown="0">
  <autoFilter ref="O21:S23" xr:uid="{00000000-0009-0000-0100-00001C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4C00-000001000000}" name="Prjtd"/>
    <tableColumn id="2" xr3:uid="{00000000-0010-0000-4C00-000002000000}" name="Committed Done" dataDxfId="173">
      <calculatedColumnFormula>GETPIVOTDATA("Added After",$O$32,"Project","A","Added After","Y")</calculatedColumnFormula>
    </tableColumn>
    <tableColumn id="3" xr3:uid="{00000000-0010-0000-4C00-000003000000}" name="Added Done" dataDxfId="172">
      <calculatedColumnFormula>GETPIVOTDATA("Added After",$O$32,"Project","A","Added After","N")</calculatedColumnFormula>
    </tableColumn>
    <tableColumn id="5" xr3:uid="{00000000-0010-0000-4C00-000005000000}" name="Commit Not Done" dataDxfId="171"/>
    <tableColumn id="4" xr3:uid="{00000000-0010-0000-4C00-000004000000}" name="Prj Story Points" dataDxfId="170">
      <calculatedColumnFormula>+IF(ISERR(Q22),0,Q22)+IF(ISERR(P22),0,P22)</calculatedColumnFormula>
    </tableColumn>
  </tableColumns>
  <tableStyleInfo name="TableStyleMedium21" showFirstColumn="0" showLastColumn="0" showRowStripes="1" showColumnStripes="0"/>
</table>
</file>

<file path=xl/tables/table1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4D000000}" name="Table82330" displayName="Table82330" ref="O25:S27" totalsRowShown="0" dataDxfId="169" dataCellStyle="Percent">
  <autoFilter ref="O25:S27" xr:uid="{00000000-0009-0000-0100-00001D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4D00-000001000000}" name="Prjtd"/>
    <tableColumn id="2" xr3:uid="{00000000-0010-0000-4D00-000002000000}" name="Total Done / Committed" dataDxfId="168" dataCellStyle="Percent">
      <calculatedColumnFormula>IF(ISERR(S22),0,S22)/IF(ISERR(P10), 1,P10)</calculatedColumnFormula>
    </tableColumn>
    <tableColumn id="3" xr3:uid="{00000000-0010-0000-4D00-000003000000}" name="Total Done / Overall" dataDxfId="167" dataCellStyle="Percent">
      <calculatedColumnFormula>IF(ISERR(S22),0,S22)/IF(ISERR(S10),1,S10)</calculatedColumnFormula>
    </tableColumn>
    <tableColumn id="5" xr3:uid="{00000000-0010-0000-4D00-000005000000}" name="Committed Done" dataDxfId="166" dataCellStyle="Percent">
      <calculatedColumnFormula>+IF(ISERR(P22),0,P22)/IF(ISERR(P10),1,P10)</calculatedColumnFormula>
    </tableColumn>
    <tableColumn id="4" xr3:uid="{00000000-0010-0000-4D00-000004000000}" name="Prj Added Done" dataDxfId="165" dataCellStyle="Percent">
      <calculatedColumnFormula>+IF(ISERR(Q22),0,Q22)/IF(ISERR(Q10),1,Q10)</calculatedColumnFormula>
    </tableColumn>
  </tableColumns>
  <tableStyleInfo name="TableStyleMedium21" showFirstColumn="0" showLastColumn="0" showRowStripes="1" showColumnStripes="0"/>
</table>
</file>

<file path=xl/tables/table1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4E000000}" name="Table92431" displayName="Table92431" ref="O1:X4" totalsRowShown="0">
  <autoFilter ref="O1:X4" xr:uid="{00000000-0009-0000-0100-00001E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00000000-0010-0000-4E00-000001000000}" name="Team"/>
    <tableColumn id="2" xr3:uid="{00000000-0010-0000-4E00-000002000000}" name="Committed" dataDxfId="164">
      <calculatedColumnFormula>+P10-Table92431[[#This Row],[Blocked]]</calculatedColumnFormula>
    </tableColumn>
    <tableColumn id="3" xr3:uid="{00000000-0010-0000-4E00-000003000000}" name="Added">
      <calculatedColumnFormula>IF(ISERR(Q10),0,Q10)</calculatedColumnFormula>
    </tableColumn>
    <tableColumn id="4" xr3:uid="{00000000-0010-0000-4E00-000004000000}" name="Blocked" dataDxfId="163">
      <calculatedColumnFormula>IF(ISERR(R10),0,R10)</calculatedColumnFormula>
    </tableColumn>
    <tableColumn id="5" xr3:uid="{00000000-0010-0000-4E00-000005000000}" name="Completed" dataDxfId="162">
      <calculatedColumnFormula>+IF(ISERR(S14),0,S14)</calculatedColumnFormula>
    </tableColumn>
    <tableColumn id="6" xr3:uid="{00000000-0010-0000-4E00-000006000000}" name="Completion V _x000a_Committed" dataCellStyle="Percent">
      <calculatedColumnFormula>Table92431[[#This Row],[Completed]]/Table92431[[#This Row],[Committed]]</calculatedColumnFormula>
    </tableColumn>
    <tableColumn id="7" xr3:uid="{00000000-0010-0000-4E00-000007000000}" name="Overall _x000a_Completion" dataCellStyle="Percent">
      <calculatedColumnFormula>Table92431[[#This Row],[Completed]]/(Table92431[[#This Row],[Added]]+Table92431[[#This Row],[Committed]])</calculatedColumnFormula>
    </tableColumn>
    <tableColumn id="8" xr3:uid="{00000000-0010-0000-4E00-000008000000}" name=" "/>
    <tableColumn id="9" xr3:uid="{00000000-0010-0000-4E00-000009000000}" name="Committed _x000a_Completed" dataDxfId="161" dataCellStyle="Percent">
      <calculatedColumnFormula>IF(ISERR(P14),0,P14) &amp; "  (" &amp;TEXT(IF(ISERR(P14),0,P14)/Table92431[[#This Row],[Committed]],"#%") &amp; ")"</calculatedColumnFormula>
    </tableColumn>
    <tableColumn id="10" xr3:uid="{00000000-0010-0000-4E00-00000A000000}" name="Added _x000a_Completed" dataDxfId="160">
      <calculatedColumnFormula>+IF(ISERR(Q14),0,Q14) &amp; " (" &amp; TEXT(S18, "#%") &amp; ")"</calculatedColumnFormula>
    </tableColumn>
  </tableColumns>
  <tableStyleInfo name="TableStyleMedium16 2" showFirstColumn="0" showLastColumn="0" showRowStripes="1" showColumnStripes="0"/>
</table>
</file>

<file path=xl/tables/table1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4F000000}" name="T_02_12_18" displayName="T_02_12_18" ref="A1:J40" totalsRowShown="0" dataDxfId="157">
  <autoFilter ref="A1:J40" xr:uid="{00000000-0009-0000-0100-000011000000}"/>
  <sortState ref="A2:J37">
    <sortCondition ref="G2:G37"/>
    <sortCondition ref="A2:A37"/>
  </sortState>
  <tableColumns count="10">
    <tableColumn id="10" xr3:uid="{00000000-0010-0000-4F00-00000A000000}" name="ID" dataDxfId="156">
      <calculatedColumnFormula>MID(B2,8,3)</calculatedColumnFormula>
    </tableColumn>
    <tableColumn id="1" xr3:uid="{00000000-0010-0000-4F00-000001000000}" name="Issue key" dataDxfId="155"/>
    <tableColumn id="3" xr3:uid="{00000000-0010-0000-4F00-000003000000}" name="Status" dataDxfId="154"/>
    <tableColumn id="4" xr3:uid="{00000000-0010-0000-4F00-000004000000}" name="Summary" dataDxfId="153"/>
    <tableColumn id="5" xr3:uid="{00000000-0010-0000-4F00-000005000000}" name="Story Points" dataDxfId="152"/>
    <tableColumn id="6" xr3:uid="{00000000-0010-0000-4F00-000006000000}" name="Assignee" dataDxfId="151"/>
    <tableColumn id="7" xr3:uid="{00000000-0010-0000-4F00-000007000000}" name="Project" dataDxfId="150">
      <calculatedColumnFormula>MID(B2,4,1)</calculatedColumnFormula>
    </tableColumn>
    <tableColumn id="8" xr3:uid="{00000000-0010-0000-4F00-000008000000}" name="Added After" dataDxfId="149"/>
    <tableColumn id="9" xr3:uid="{00000000-0010-0000-4F00-000009000000}" name="Prj Cmpt" dataDxfId="148" dataCellStyle="Normal"/>
    <tableColumn id="2" xr3:uid="{00000000-0010-0000-4F00-000002000000}" name=" " dataDxfId="147">
      <calculatedColumnFormula>IF(C2="Done", IF(I2&lt;&gt;"Y", "ERR",""),"")</calculatedColumnFormula>
    </tableColumn>
  </tableColumns>
  <tableStyleInfo name="TableStyleLight1" showFirstColumn="0" showLastColumn="0" showRowStripes="1" showColumnStripes="0"/>
</table>
</file>

<file path=xl/tables/table1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50000000}" name="Table219" displayName="Table219" ref="O9:S11" totalsRowShown="0">
  <autoFilter ref="O9:S11" xr:uid="{00000000-0009-0000-0100-000012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5000-000001000000}" name="Team"/>
    <tableColumn id="2" xr3:uid="{00000000-0010-0000-5000-000002000000}" name="Commit"/>
    <tableColumn id="3" xr3:uid="{00000000-0010-0000-5000-000003000000}" name="Added"/>
    <tableColumn id="5" xr3:uid="{00000000-0010-0000-5000-000005000000}" name="Blocked" dataDxfId="146">
      <calculatedColumnFormula>GETPIVOTDATA("Story Points2",$L$7,"Status","Blocked","Project","U")</calculatedColumnFormula>
    </tableColumn>
    <tableColumn id="4" xr3:uid="{00000000-0010-0000-5000-000004000000}" name="Total Story Points" dataDxfId="145">
      <calculatedColumnFormula>+IF(ISERR(Q10),0,Q10)+IF(ISERR(P10),0,P10)</calculatedColumnFormula>
    </tableColumn>
  </tableColumns>
  <tableStyleInfo name="TableStyleMedium3" showFirstColumn="1" showLastColumn="0" showRowStripes="1" showColumnStripes="0"/>
</table>
</file>

<file path=xl/tables/table1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51000000}" name="Table320" displayName="Table320" ref="O13:S15" totalsRowShown="0">
  <autoFilter ref="O13:S15" xr:uid="{00000000-0009-0000-0100-000013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5100-000001000000}" name="Done"/>
    <tableColumn id="2" xr3:uid="{00000000-0010-0000-5100-000002000000}" name="Committed Done"/>
    <tableColumn id="3" xr3:uid="{00000000-0010-0000-5100-000003000000}" name="Added Done"/>
    <tableColumn id="5" xr3:uid="{00000000-0010-0000-5100-000005000000}" name=" "/>
    <tableColumn id="4" xr3:uid="{00000000-0010-0000-5100-000004000000}" name="Total Done" dataDxfId="144">
      <calculatedColumnFormula>+IF(ISERR(Q14),0,Q14)+IF(ISERR(P14),0,P14)</calculatedColumnFormula>
    </tableColumn>
  </tableColumns>
  <tableStyleInfo name="TableStyleMedium6" showFirstColumn="1" showLastColumn="0" showRowStripes="1" showColumnStripes="0"/>
</table>
</file>

<file path=xl/tables/table1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52000000}" name="Table421" displayName="Table421" ref="O17:S19" totalsRowShown="0" dataDxfId="143" dataCellStyle="Percent">
  <autoFilter ref="O17:S19" xr:uid="{00000000-0009-0000-0100-000014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5200-000001000000}" name="Done"/>
    <tableColumn id="2" xr3:uid="{00000000-0010-0000-5200-000002000000}" name="Total Done / Committed" dataDxfId="142" dataCellStyle="Percent">
      <calculatedColumnFormula>+S14/P10</calculatedColumnFormula>
    </tableColumn>
    <tableColumn id="3" xr3:uid="{00000000-0010-0000-5200-000003000000}" name="Total Done / Overall" dataDxfId="141" dataCellStyle="Percent">
      <calculatedColumnFormula>+S14/S10</calculatedColumnFormula>
    </tableColumn>
    <tableColumn id="5" xr3:uid="{00000000-0010-0000-5200-000005000000}" name="Committed Done" dataDxfId="140" dataCellStyle="Percent">
      <calculatedColumnFormula>+IF(ISERR(P14),0,P14)/IF(ISERR(P10),1,P10)</calculatedColumnFormula>
    </tableColumn>
    <tableColumn id="4" xr3:uid="{00000000-0010-0000-5200-000004000000}" name="Added Done" dataDxfId="139" dataCellStyle="Percent">
      <calculatedColumnFormula>+IF(ISERR(Q14),0,Q14)/IF(ISERR(Q10),1,Q10)</calculatedColumnFormula>
    </tableColumn>
  </tableColumns>
  <tableStyleInfo name="TableStyleMedium6" showFirstColumn="1" showLastColumn="0" showRowStripes="1" showColumnStripes="0"/>
</table>
</file>

<file path=xl/tables/table1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53000000}" name="Table722" displayName="Table722" ref="O21:S23" totalsRowShown="0">
  <autoFilter ref="O21:S23" xr:uid="{00000000-0009-0000-0100-000015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5300-000001000000}" name="Prjtd"/>
    <tableColumn id="2" xr3:uid="{00000000-0010-0000-5300-000002000000}" name="Committed Done" dataDxfId="138">
      <calculatedColumnFormula>GETPIVOTDATA("Added After",$L$38,"Project","A","Added After","Y")</calculatedColumnFormula>
    </tableColumn>
    <tableColumn id="3" xr3:uid="{00000000-0010-0000-5300-000003000000}" name="Added Done" dataDxfId="137">
      <calculatedColumnFormula>GETPIVOTDATA("Added After",$L$38,"Project","A","Added After","N")</calculatedColumnFormula>
    </tableColumn>
    <tableColumn id="5" xr3:uid="{00000000-0010-0000-5300-000005000000}" name="Commit Not Done" dataDxfId="136"/>
    <tableColumn id="4" xr3:uid="{00000000-0010-0000-5300-000004000000}" name="Prj Story Points" dataDxfId="135">
      <calculatedColumnFormula>+IF(ISERR(Q22),0,Q22)+IF(ISERR(P22),0,P22)</calculatedColumnFormula>
    </tableColumn>
  </tableColumns>
  <tableStyleInfo name="TableStyleMedium21" showFirstColumn="0" showLastColumn="0" showRowStripes="1" showColumnStripes="0"/>
</table>
</file>

<file path=xl/tables/table1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54000000}" name="Table823" displayName="Table823" ref="O25:S27" totalsRowShown="0" dataDxfId="134" dataCellStyle="Percent">
  <autoFilter ref="O25:S27" xr:uid="{00000000-0009-0000-0100-000016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5400-000001000000}" name="Prjtd"/>
    <tableColumn id="2" xr3:uid="{00000000-0010-0000-5400-000002000000}" name="Total Done / Committed" dataDxfId="133" dataCellStyle="Percent">
      <calculatedColumnFormula>IF(ISERR(S22),0,S22)/IF(ISERR(P10), 1,P10)</calculatedColumnFormula>
    </tableColumn>
    <tableColumn id="3" xr3:uid="{00000000-0010-0000-5400-000003000000}" name="Total Done / Overall" dataDxfId="132" dataCellStyle="Percent">
      <calculatedColumnFormula>IF(ISERR(S22),0,S22)/IF(ISERR(S10),1,S10)</calculatedColumnFormula>
    </tableColumn>
    <tableColumn id="5" xr3:uid="{00000000-0010-0000-5400-000005000000}" name="Committed Done" dataDxfId="131" dataCellStyle="Percent">
      <calculatedColumnFormula>+IF(ISERR(P22),0,P22)/IF(ISERR(P10),1,P10)</calculatedColumnFormula>
    </tableColumn>
    <tableColumn id="4" xr3:uid="{00000000-0010-0000-5400-000004000000}" name="Prj Added Done" dataDxfId="130" dataCellStyle="Percent">
      <calculatedColumnFormula>+IF(ISERR(Q22),0,Q22)/IF(ISERR(Q10),1,Q10)</calculatedColumnFormula>
    </tableColumn>
  </tableColumns>
  <tableStyleInfo name="TableStyleMedium21" showFirstColumn="0" showLastColumn="0" showRowStripes="1" showColumnStripes="0"/>
</table>
</file>

<file path=xl/tables/table1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55000000}" name="Table924" displayName="Table924" ref="O1:X4" totalsRowShown="0">
  <autoFilter ref="O1:X4" xr:uid="{00000000-0009-0000-0100-000017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00000000-0010-0000-5500-000001000000}" name="Team"/>
    <tableColumn id="2" xr3:uid="{00000000-0010-0000-5500-000002000000}" name="Committed" dataDxfId="129">
      <calculatedColumnFormula>+P10-Table924[[#This Row],[Blocked]]</calculatedColumnFormula>
    </tableColumn>
    <tableColumn id="3" xr3:uid="{00000000-0010-0000-5500-000003000000}" name="Added">
      <calculatedColumnFormula>IF(ISERR(Q10),0,Q10)</calculatedColumnFormula>
    </tableColumn>
    <tableColumn id="4" xr3:uid="{00000000-0010-0000-5500-000004000000}" name="Blocked" dataDxfId="128">
      <calculatedColumnFormula>IF(ISERR(R10),0,R10)</calculatedColumnFormula>
    </tableColumn>
    <tableColumn id="5" xr3:uid="{00000000-0010-0000-5500-000005000000}" name="Completed" dataDxfId="127">
      <calculatedColumnFormula>+IF(ISERR(S14),0,S14)</calculatedColumnFormula>
    </tableColumn>
    <tableColumn id="6" xr3:uid="{00000000-0010-0000-5500-000006000000}" name="Completion V _x000a_Committed" dataCellStyle="Percent">
      <calculatedColumnFormula>Table924[[#This Row],[Completed]]/Table924[[#This Row],[Committed]]</calculatedColumnFormula>
    </tableColumn>
    <tableColumn id="7" xr3:uid="{00000000-0010-0000-5500-000007000000}" name="Overall _x000a_Completion" dataCellStyle="Percent">
      <calculatedColumnFormula>Table924[[#This Row],[Completed]]/(Table924[[#This Row],[Added]]+Table924[[#This Row],[Committed]])</calculatedColumnFormula>
    </tableColumn>
    <tableColumn id="8" xr3:uid="{00000000-0010-0000-5500-000008000000}" name=" "/>
    <tableColumn id="9" xr3:uid="{00000000-0010-0000-5500-000009000000}" name="Committed _x000a_Completed" dataDxfId="126" dataCellStyle="Percent">
      <calculatedColumnFormula>IF(ISERR(P14),0,P14) &amp; "  (" &amp;TEXT(IF(ISERR(P14),0,P14)/Table924[[#This Row],[Committed]],"#%") &amp; ")"</calculatedColumnFormula>
    </tableColumn>
    <tableColumn id="10" xr3:uid="{00000000-0010-0000-5500-00000A000000}" name="Added _x000a_Completed" dataDxfId="125">
      <calculatedColumnFormula>+IF(ISERR(Q14),0,Q14) &amp; " (" &amp; TEXT(S18, "#%") &amp; ")"</calculatedColumnFormula>
    </tableColumn>
  </tableColumns>
  <tableStyleInfo name="TableStyleMedium16 2" showFirstColumn="0" showLastColumn="0" showRowStripes="1" showColumnStripes="0"/>
</table>
</file>

<file path=xl/tables/table1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56000000}" name="Table1" displayName="Table1" ref="A1:J35" totalsRowShown="0" dataDxfId="122">
  <autoFilter ref="A1:J35" xr:uid="{00000000-0009-0000-0100-000003000000}"/>
  <sortState ref="A2:J34">
    <sortCondition ref="G2:G34"/>
    <sortCondition ref="A2:A34"/>
  </sortState>
  <tableColumns count="10">
    <tableColumn id="10" xr3:uid="{00000000-0010-0000-5600-00000A000000}" name="ID" dataDxfId="121">
      <calculatedColumnFormula>MID(B2,8,3)</calculatedColumnFormula>
    </tableColumn>
    <tableColumn id="1" xr3:uid="{00000000-0010-0000-5600-000001000000}" name="Issue key" dataDxfId="120"/>
    <tableColumn id="3" xr3:uid="{00000000-0010-0000-5600-000003000000}" name="Status" dataDxfId="119"/>
    <tableColumn id="4" xr3:uid="{00000000-0010-0000-5600-000004000000}" name="Summary" dataDxfId="118"/>
    <tableColumn id="5" xr3:uid="{00000000-0010-0000-5600-000005000000}" name="Story Points" dataDxfId="117"/>
    <tableColumn id="6" xr3:uid="{00000000-0010-0000-5600-000006000000}" name="Assignee" dataDxfId="116"/>
    <tableColumn id="7" xr3:uid="{00000000-0010-0000-5600-000007000000}" name="Project" dataDxfId="115">
      <calculatedColumnFormula>MID(B2,4,1)</calculatedColumnFormula>
    </tableColumn>
    <tableColumn id="8" xr3:uid="{00000000-0010-0000-5600-000008000000}" name="Added After" dataDxfId="114"/>
    <tableColumn id="9" xr3:uid="{00000000-0010-0000-5600-000009000000}" name="Prj Cmpt" dataDxfId="113"/>
    <tableColumn id="2" xr3:uid="{00000000-0010-0000-5600-000002000000}" name=" " dataDxfId="112">
      <calculatedColumnFormula>IF(C2="Done", IF(I2&lt;&gt;"Y", "ERR",""),"")</calculatedColumnFormula>
    </tableColumn>
  </tableColumns>
  <tableStyleInfo name="TableStyleLight1" showFirstColumn="0" showLastColumn="0" showRowStripes="1" showColumnStripes="0"/>
</table>
</file>

<file path=xl/tables/table1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57000000}" name="Table2" displayName="Table2" ref="O8:S10" totalsRowShown="0">
  <autoFilter ref="O8:S10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5700-000001000000}" name="Team"/>
    <tableColumn id="2" xr3:uid="{00000000-0010-0000-5700-000002000000}" name="Commit"/>
    <tableColumn id="3" xr3:uid="{00000000-0010-0000-5700-000003000000}" name="Added"/>
    <tableColumn id="5" xr3:uid="{00000000-0010-0000-5700-000005000000}" name="Blocked" dataDxfId="111">
      <calculatedColumnFormula>GETPIVOTDATA("Story Points2",$L$7,"Status","Blocked","Project","U")</calculatedColumnFormula>
    </tableColumn>
    <tableColumn id="4" xr3:uid="{00000000-0010-0000-5700-000004000000}" name="Total Story Points" dataDxfId="110">
      <calculatedColumnFormula>+IF(ISERR(Q9),0,Q9)+IF(ISERR(P9),0,P9)</calculatedColumnFormula>
    </tableColumn>
  </tableColumns>
  <tableStyleInfo name="TableStyleMedium3" showFirstColumn="1" showLastColumn="0" showRowStripes="1" showColumnStripes="0"/>
</table>
</file>

<file path=xl/tables/table1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58000000}" name="Table3" displayName="Table3" ref="O12:S14" totalsRowShown="0">
  <autoFilter ref="O12:S14" xr:uid="{00000000-0009-0000-0100-000005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5800-000001000000}" name="Done"/>
    <tableColumn id="2" xr3:uid="{00000000-0010-0000-5800-000002000000}" name="Committed Done"/>
    <tableColumn id="3" xr3:uid="{00000000-0010-0000-5800-000003000000}" name="Added Done"/>
    <tableColumn id="5" xr3:uid="{00000000-0010-0000-5800-000005000000}" name=" "/>
    <tableColumn id="4" xr3:uid="{00000000-0010-0000-5800-000004000000}" name="Total Done" dataDxfId="109">
      <calculatedColumnFormula>+IF(ISERR(Q13),0,Q13)+IF(ISERR(P13),0,P13)</calculatedColumnFormula>
    </tableColumn>
  </tableColumns>
  <tableStyleInfo name="TableStyleMedium6" showFirstColumn="1" showLastColumn="0" showRowStripes="1" showColumnStripes="0"/>
</table>
</file>

<file path=xl/tables/table1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59000000}" name="Table4" displayName="Table4" ref="O16:S18" totalsRowShown="0" dataDxfId="108" dataCellStyle="Percent">
  <autoFilter ref="O16:S18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5900-000001000000}" name="Done"/>
    <tableColumn id="2" xr3:uid="{00000000-0010-0000-5900-000002000000}" name="Total Done / Committed" dataDxfId="107" dataCellStyle="Percent">
      <calculatedColumnFormula>+S13/P9</calculatedColumnFormula>
    </tableColumn>
    <tableColumn id="3" xr3:uid="{00000000-0010-0000-5900-000003000000}" name="Total Done / Overall" dataDxfId="106" dataCellStyle="Percent">
      <calculatedColumnFormula>+S13/S9</calculatedColumnFormula>
    </tableColumn>
    <tableColumn id="5" xr3:uid="{00000000-0010-0000-5900-000005000000}" name="Committed Done" dataDxfId="105" dataCellStyle="Percent">
      <calculatedColumnFormula>+IF(ISERR(P13),0,P13)/IF(ISERR(P9),1,P9)</calculatedColumnFormula>
    </tableColumn>
    <tableColumn id="4" xr3:uid="{00000000-0010-0000-5900-000004000000}" name="Added Done" dataDxfId="104" dataCellStyle="Percent">
      <calculatedColumnFormula>+IF(ISERR(Q13),0,Q13)/IF(ISERR(Q9),1,Q9)</calculatedColumnFormula>
    </tableColumn>
  </tableColumns>
  <tableStyleInfo name="TableStyleMedium6" showFirstColumn="1" showLastColumn="0" showRowStripes="1" showColumnStripes="0"/>
</table>
</file>

<file path=xl/tables/table1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5A000000}" name="Table7" displayName="Table7" ref="O20:S22" totalsRowShown="0">
  <autoFilter ref="O20:S22" xr:uid="{00000000-0009-0000-0100-000007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5A00-000001000000}" name="Prjtd"/>
    <tableColumn id="2" xr3:uid="{00000000-0010-0000-5A00-000002000000}" name="Committed Done" dataDxfId="103">
      <calculatedColumnFormula>GETPIVOTDATA("Added After",$L$38,"Project","A","Added After","Y")</calculatedColumnFormula>
    </tableColumn>
    <tableColumn id="3" xr3:uid="{00000000-0010-0000-5A00-000003000000}" name="Added Done" dataDxfId="102">
      <calculatedColumnFormula>GETPIVOTDATA("Added After",$L$38,"Project","A","Added After","N")</calculatedColumnFormula>
    </tableColumn>
    <tableColumn id="5" xr3:uid="{00000000-0010-0000-5A00-000005000000}" name="Commit Not Done" dataDxfId="101"/>
    <tableColumn id="4" xr3:uid="{00000000-0010-0000-5A00-000004000000}" name="Prj Story Points" dataDxfId="100">
      <calculatedColumnFormula>+IF(ISERR(Q21),0,Q21)+IF(ISERR(P21),0,P21)</calculatedColumnFormula>
    </tableColumn>
  </tableColumns>
  <tableStyleInfo name="TableStyleMedium21" showFirstColumn="0" showLastColumn="0" showRowStripes="1" showColumnStripes="0"/>
</table>
</file>

<file path=xl/tables/table1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5B000000}" name="Table8" displayName="Table8" ref="O24:S26" totalsRowShown="0" dataDxfId="99" dataCellStyle="Percent">
  <autoFilter ref="O24:S26" xr:uid="{00000000-0009-0000-0100-000008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5B00-000001000000}" name="Prjtd"/>
    <tableColumn id="2" xr3:uid="{00000000-0010-0000-5B00-000002000000}" name="Total Done / Committed" dataDxfId="98" dataCellStyle="Percent">
      <calculatedColumnFormula>IF(ISERR(S21),0,S21)/IF(ISERR(P9), 1,P9)</calculatedColumnFormula>
    </tableColumn>
    <tableColumn id="3" xr3:uid="{00000000-0010-0000-5B00-000003000000}" name="Total Done / Overall" dataDxfId="97" dataCellStyle="Percent">
      <calculatedColumnFormula>IF(ISERR(S21),0,S21)/IF(ISERR(S9),1,S9)</calculatedColumnFormula>
    </tableColumn>
    <tableColumn id="5" xr3:uid="{00000000-0010-0000-5B00-000005000000}" name="Committed Done" dataDxfId="96" dataCellStyle="Percent">
      <calculatedColumnFormula>+IF(ISERR(P21),0,P21)/IF(ISERR(P9),1,P9)</calculatedColumnFormula>
    </tableColumn>
    <tableColumn id="4" xr3:uid="{00000000-0010-0000-5B00-000004000000}" name="Prj Added Done" dataDxfId="95" dataCellStyle="Percent">
      <calculatedColumnFormula>+IF(ISERR(Q21),0,Q21)/IF(ISERR(Q9),1,Q9)</calculatedColumnFormula>
    </tableColumn>
  </tableColumns>
  <tableStyleInfo name="TableStyleMedium21" showFirstColumn="0" showLastColumn="0" showRowStripes="1" showColumnStripes="0"/>
</table>
</file>

<file path=xl/tables/table1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5C000000}" name="Table9" displayName="Table9" ref="O1:X3" totalsRowShown="0">
  <autoFilter ref="O1:X3" xr:uid="{00000000-0009-0000-0100-000009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00000000-0010-0000-5C00-000001000000}" name="Team"/>
    <tableColumn id="2" xr3:uid="{00000000-0010-0000-5C00-000002000000}" name="Committed" dataDxfId="94">
      <calculatedColumnFormula>+P9-Table9[[#This Row],[Blocked]]</calculatedColumnFormula>
    </tableColumn>
    <tableColumn id="3" xr3:uid="{00000000-0010-0000-5C00-000003000000}" name="Added">
      <calculatedColumnFormula>IF(ISERR(Q9),0,Q9)</calculatedColumnFormula>
    </tableColumn>
    <tableColumn id="4" xr3:uid="{00000000-0010-0000-5C00-000004000000}" name="Blocked" dataDxfId="93">
      <calculatedColumnFormula>IF(ISERR(R9),0,R9)</calculatedColumnFormula>
    </tableColumn>
    <tableColumn id="5" xr3:uid="{00000000-0010-0000-5C00-000005000000}" name="Completed" dataDxfId="92">
      <calculatedColumnFormula>+IF(ISERR(S13),0,S13)</calculatedColumnFormula>
    </tableColumn>
    <tableColumn id="6" xr3:uid="{00000000-0010-0000-5C00-000006000000}" name="Completion V _x000a_Committed" dataCellStyle="Percent">
      <calculatedColumnFormula>Table9[[#This Row],[Completed]]/Table9[[#This Row],[Committed]]</calculatedColumnFormula>
    </tableColumn>
    <tableColumn id="7" xr3:uid="{00000000-0010-0000-5C00-000007000000}" name="Overall _x000a_Completion" dataCellStyle="Percent">
      <calculatedColumnFormula>Table9[[#This Row],[Completed]]/(Table9[[#This Row],[Added]]+Table9[[#This Row],[Committed]])</calculatedColumnFormula>
    </tableColumn>
    <tableColumn id="8" xr3:uid="{00000000-0010-0000-5C00-000008000000}" name=" "/>
    <tableColumn id="9" xr3:uid="{00000000-0010-0000-5C00-000009000000}" name="Committed _x000a_Completed" dataDxfId="91" dataCellStyle="Percent">
      <calculatedColumnFormula>IF(ISERR(P13),0,P13) &amp; "  (" &amp;TEXT(IF(ISERR(P13),0,P13)/Table9[[#This Row],[Committed]],"#%") &amp; ")"</calculatedColumnFormula>
    </tableColumn>
    <tableColumn id="10" xr3:uid="{00000000-0010-0000-5C00-00000A000000}" name="Added _x000a_Completed" dataDxfId="90">
      <calculatedColumnFormula>+IF(ISERR(Q13),0,Q13) &amp; " (" &amp; TEXT(S17, "#%") &amp; ")"</calculatedColumnFormula>
    </tableColumn>
  </tableColumns>
  <tableStyleInfo name="TableStyleMedium16 2" showFirstColumn="0" showLastColumn="0" showRowStripes="1" showColumnStripes="0"/>
</table>
</file>

<file path=xl/tables/table1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5D000000}" name="Table111" displayName="Table111" ref="A1:I34" totalsRowShown="0" dataDxfId="89">
  <autoFilter ref="A1:I34" xr:uid="{00000000-0009-0000-0100-00000A000000}"/>
  <sortState ref="A2:I34">
    <sortCondition ref="A1:A34"/>
  </sortState>
  <tableColumns count="9">
    <tableColumn id="1" xr3:uid="{00000000-0010-0000-5D00-000001000000}" name="Issue key" dataDxfId="88"/>
    <tableColumn id="3" xr3:uid="{00000000-0010-0000-5D00-000003000000}" name="Status" dataDxfId="87"/>
    <tableColumn id="4" xr3:uid="{00000000-0010-0000-5D00-000004000000}" name="Summary" dataDxfId="86"/>
    <tableColumn id="5" xr3:uid="{00000000-0010-0000-5D00-000005000000}" name="Story Points" dataDxfId="85"/>
    <tableColumn id="6" xr3:uid="{00000000-0010-0000-5D00-000006000000}" name="Assignee" dataDxfId="84"/>
    <tableColumn id="7" xr3:uid="{00000000-0010-0000-5D00-000007000000}" name="Project" dataDxfId="83">
      <calculatedColumnFormula>MID(A2,4,1)</calculatedColumnFormula>
    </tableColumn>
    <tableColumn id="8" xr3:uid="{00000000-0010-0000-5D00-000008000000}" name="Added After" dataDxfId="82"/>
    <tableColumn id="9" xr3:uid="{00000000-0010-0000-5D00-000009000000}" name="Prj Cmpt" dataDxfId="81"/>
    <tableColumn id="2" xr3:uid="{00000000-0010-0000-5D00-000002000000}" name=" " dataDxfId="80">
      <calculatedColumnFormula>IF(B2="Done", IF(H2&lt;&gt;"Y", "ERR",""),"")</calculatedColumnFormula>
    </tableColumn>
  </tableColumns>
  <tableStyleInfo name="TableStyleLight1" showFirstColumn="0" showLastColumn="0" showRowStripes="1" showColumnStripes="0"/>
</table>
</file>

<file path=xl/tables/table1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5E000000}" name="Table212" displayName="Table212" ref="N12:R14" totalsRowShown="0">
  <autoFilter ref="N12:R14" xr:uid="{00000000-0009-0000-0100-00000B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5E00-000001000000}" name="Team"/>
    <tableColumn id="2" xr3:uid="{00000000-0010-0000-5E00-000002000000}" name="Commit"/>
    <tableColumn id="3" xr3:uid="{00000000-0010-0000-5E00-000003000000}" name="Added"/>
    <tableColumn id="5" xr3:uid="{00000000-0010-0000-5E00-000005000000}" name="Blocked" dataDxfId="79">
      <calculatedColumnFormula>GETPIVOTDATA("Story Points2",$K$11,"Status","Blocked","Project","U")</calculatedColumnFormula>
    </tableColumn>
    <tableColumn id="4" xr3:uid="{00000000-0010-0000-5E00-000004000000}" name="Total Story Points" dataDxfId="78">
      <calculatedColumnFormula>+IF(ISERR(P13),0,P13)+IF(ISERR(O13),0,O13)</calculatedColumnFormula>
    </tableColumn>
  </tableColumns>
  <tableStyleInfo name="TableStyleMedium3" showFirstColumn="1" showLastColumn="0" showRowStripes="1" showColumnStripes="0"/>
</table>
</file>

<file path=xl/tables/table1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5F000000}" name="Table313" displayName="Table313" ref="N16:R18" totalsRowShown="0">
  <autoFilter ref="N16:R18" xr:uid="{00000000-0009-0000-0100-00000C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5F00-000001000000}" name="Done"/>
    <tableColumn id="2" xr3:uid="{00000000-0010-0000-5F00-000002000000}" name="Committed Done"/>
    <tableColumn id="3" xr3:uid="{00000000-0010-0000-5F00-000003000000}" name="Added Done"/>
    <tableColumn id="5" xr3:uid="{00000000-0010-0000-5F00-000005000000}" name=" "/>
    <tableColumn id="4" xr3:uid="{00000000-0010-0000-5F00-000004000000}" name="Total Done" dataDxfId="77">
      <calculatedColumnFormula>+IF(ISERR(P17),0,P17)+IF(ISERR(O17),0,O17)</calculatedColumnFormula>
    </tableColumn>
  </tableColumns>
  <tableStyleInfo name="TableStyleMedium6" showFirstColumn="1" showLastColumn="0" showRowStripes="1" showColumnStripes="0"/>
</table>
</file>

<file path=xl/tables/table1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60000000}" name="Table414" displayName="Table414" ref="N20:R22" totalsRowShown="0" dataDxfId="76" dataCellStyle="Percent">
  <autoFilter ref="N20:R22" xr:uid="{00000000-0009-0000-0100-00000D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6000-000001000000}" name="Done"/>
    <tableColumn id="2" xr3:uid="{00000000-0010-0000-6000-000002000000}" name="Total Done / Committed" dataDxfId="75" dataCellStyle="Percent">
      <calculatedColumnFormula>+R17/O13</calculatedColumnFormula>
    </tableColumn>
    <tableColumn id="3" xr3:uid="{00000000-0010-0000-6000-000003000000}" name="Total Done / Overall" dataDxfId="74" dataCellStyle="Percent">
      <calculatedColumnFormula>+IF(ISERR(R17),0,R17)/IF(ISERR(R13),1,R13)</calculatedColumnFormula>
    </tableColumn>
    <tableColumn id="5" xr3:uid="{00000000-0010-0000-6000-000005000000}" name="Committed Done" dataDxfId="73" dataCellStyle="Percent">
      <calculatedColumnFormula>+IF(ISERR(O17),0,O17)/IF(ISERR(O13),1,O13)</calculatedColumnFormula>
    </tableColumn>
    <tableColumn id="4" xr3:uid="{00000000-0010-0000-6000-000004000000}" name="Added Done" dataDxfId="72" dataCellStyle="Percent">
      <calculatedColumnFormula>+IF(ISERR(P17),0,P17)/IF(ISERR(P13),1,P13)</calculatedColumnFormula>
    </tableColumn>
  </tableColumns>
  <tableStyleInfo name="TableStyleMedium6" showFirstColumn="1" showLastColumn="0" showRowStripes="1" showColumnStripes="0"/>
</table>
</file>

<file path=xl/tables/table1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61000000}" name="Table715" displayName="Table715" ref="N24:R26" totalsRowShown="0">
  <autoFilter ref="N24:R26" xr:uid="{00000000-0009-0000-0100-00000E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6100-000001000000}" name="Prjtd"/>
    <tableColumn id="2" xr3:uid="{00000000-0010-0000-6100-000002000000}" name="Committed Done" dataDxfId="71">
      <calculatedColumnFormula>GETPIVOTDATA("Added After",$K$42,"Project","A","Added After","Y")</calculatedColumnFormula>
    </tableColumn>
    <tableColumn id="3" xr3:uid="{00000000-0010-0000-6100-000003000000}" name="Added Done" dataDxfId="70">
      <calculatedColumnFormula>GETPIVOTDATA("Added After",$K$42,"Project","A","Added After","N")</calculatedColumnFormula>
    </tableColumn>
    <tableColumn id="5" xr3:uid="{00000000-0010-0000-6100-000005000000}" name=" " dataDxfId="69"/>
    <tableColumn id="4" xr3:uid="{00000000-0010-0000-6100-000004000000}" name="Prj Story Points" dataDxfId="68">
      <calculatedColumnFormula>+IF(ISERR(P25),0,P25)+IF(ISERR(O25),0,O25)</calculatedColumnFormula>
    </tableColumn>
  </tableColumns>
  <tableStyleInfo name="TableStyleMedium21" showFirstColumn="0" showLastColumn="0" showRowStripes="1" showColumnStripes="0"/>
</table>
</file>

<file path=xl/tables/table1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62000000}" name="Table816" displayName="Table816" ref="N28:R30" totalsRowShown="0" dataDxfId="67" dataCellStyle="Percent">
  <autoFilter ref="N28:R30" xr:uid="{00000000-0009-0000-0100-00000F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6200-000001000000}" name="Prjtd"/>
    <tableColumn id="2" xr3:uid="{00000000-0010-0000-6200-000002000000}" name="Total Done / Committed" dataDxfId="66" dataCellStyle="Percent">
      <calculatedColumnFormula>IF(ISERR(R25),0,R25)/IF(ISERR(O13), 1,O13)</calculatedColumnFormula>
    </tableColumn>
    <tableColumn id="3" xr3:uid="{00000000-0010-0000-6200-000003000000}" name="Total Done / Overall" dataDxfId="65" dataCellStyle="Percent">
      <calculatedColumnFormula>IF(ISERR(R25),0,R25)/IF(ISERR(R13),1,R13)</calculatedColumnFormula>
    </tableColumn>
    <tableColumn id="5" xr3:uid="{00000000-0010-0000-6200-000005000000}" name="Committed Done" dataDxfId="64" dataCellStyle="Percent">
      <calculatedColumnFormula>+IF(ISERR(O25),0,O25)/IF(ISERR(O13),1,O13)</calculatedColumnFormula>
    </tableColumn>
    <tableColumn id="4" xr3:uid="{00000000-0010-0000-6200-000004000000}" name="Prj Added Done" dataDxfId="63" dataCellStyle="Percent">
      <calculatedColumnFormula>+IF(ISERR(P25),0,P25)/IF(ISERR(P13),1,P13)</calculatedColumnFormula>
    </tableColumn>
  </tableColumns>
  <tableStyleInfo name="TableStyleMedium21" showFirstColumn="0" showLastColumn="0" showRowStripes="1" showColumnStripes="0"/>
</table>
</file>

<file path=xl/tables/table1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63000000}" name="Table917" displayName="Table917" ref="N1:W3" totalsRowShown="0">
  <autoFilter ref="N1:W3" xr:uid="{00000000-0009-0000-0100-000010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00000000-0010-0000-6300-000001000000}" name="Team"/>
    <tableColumn id="2" xr3:uid="{00000000-0010-0000-6300-000002000000}" name="Committed" dataDxfId="62">
      <calculatedColumnFormula>+O13-Table917[[#This Row],[Blocked]]</calculatedColumnFormula>
    </tableColumn>
    <tableColumn id="3" xr3:uid="{00000000-0010-0000-6300-000003000000}" name="Added">
      <calculatedColumnFormula>IF(ISERR(P13),0,P13)</calculatedColumnFormula>
    </tableColumn>
    <tableColumn id="4" xr3:uid="{00000000-0010-0000-6300-000004000000}" name="Blocked" dataDxfId="61">
      <calculatedColumnFormula>IF(ISERR(Q13),0,Q13)</calculatedColumnFormula>
    </tableColumn>
    <tableColumn id="5" xr3:uid="{00000000-0010-0000-6300-000005000000}" name="Completed" dataDxfId="60">
      <calculatedColumnFormula>+IF(ISERR(R17),0,R17)</calculatedColumnFormula>
    </tableColumn>
    <tableColumn id="6" xr3:uid="{00000000-0010-0000-6300-000006000000}" name="Completion V _x000a_Committed" dataCellStyle="Percent">
      <calculatedColumnFormula>Table917[[#This Row],[Completed]]/Table917[[#This Row],[Committed]]</calculatedColumnFormula>
    </tableColumn>
    <tableColumn id="7" xr3:uid="{00000000-0010-0000-6300-000007000000}" name="Overall _x000a_Completion" dataCellStyle="Percent">
      <calculatedColumnFormula>Table917[[#This Row],[Completed]]/(Table917[[#This Row],[Added]]+Table917[[#This Row],[Committed]])</calculatedColumnFormula>
    </tableColumn>
    <tableColumn id="8" xr3:uid="{00000000-0010-0000-6300-000008000000}" name=" "/>
    <tableColumn id="9" xr3:uid="{00000000-0010-0000-6300-000009000000}" name="Committed _x000a_Completed" dataDxfId="59" dataCellStyle="Percent">
      <calculatedColumnFormula>IF(ISERR(O17),0,O17) &amp; "  (" &amp;TEXT(IF(ISERR(O17),0,O17)/Table917[[#This Row],[Committed]],"#%") &amp; ")"</calculatedColumnFormula>
    </tableColumn>
    <tableColumn id="10" xr3:uid="{00000000-0010-0000-6300-00000A000000}" name="Added _x000a_Completed" dataDxfId="58">
      <calculatedColumnFormula>+IF(ISERR(P17),0,P17) &amp; " (" &amp; TEXT(R21, "#%") &amp; ")"</calculatedColumnFormula>
    </tableColumn>
  </tableColumns>
  <tableStyleInfo name="TableStyleMedium16 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table" Target="../tables/table7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3.vml"/><Relationship Id="rId12" Type="http://schemas.openxmlformats.org/officeDocument/2006/relationships/table" Target="../tables/table6.xml"/><Relationship Id="rId17" Type="http://schemas.openxmlformats.org/officeDocument/2006/relationships/comments" Target="../comments3.xml"/><Relationship Id="rId2" Type="http://schemas.openxmlformats.org/officeDocument/2006/relationships/pivotTable" Target="../pivotTables/pivotTable2.xml"/><Relationship Id="rId16" Type="http://schemas.openxmlformats.org/officeDocument/2006/relationships/table" Target="../tables/table10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4.xml"/><Relationship Id="rId11" Type="http://schemas.openxmlformats.org/officeDocument/2006/relationships/table" Target="../tables/table5.xml"/><Relationship Id="rId5" Type="http://schemas.openxmlformats.org/officeDocument/2006/relationships/printerSettings" Target="../printerSettings/printerSettings3.bin"/><Relationship Id="rId15" Type="http://schemas.openxmlformats.org/officeDocument/2006/relationships/table" Target="../tables/table9.xml"/><Relationship Id="rId10" Type="http://schemas.openxmlformats.org/officeDocument/2006/relationships/table" Target="../tables/table4.xml"/><Relationship Id="rId4" Type="http://schemas.openxmlformats.org/officeDocument/2006/relationships/pivotTable" Target="../pivotTables/pivotTable4.xml"/><Relationship Id="rId9" Type="http://schemas.openxmlformats.org/officeDocument/2006/relationships/table" Target="../tables/table3.xml"/><Relationship Id="rId14" Type="http://schemas.openxmlformats.org/officeDocument/2006/relationships/table" Target="../tables/table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13" Type="http://schemas.openxmlformats.org/officeDocument/2006/relationships/table" Target="../tables/table15.xml"/><Relationship Id="rId3" Type="http://schemas.openxmlformats.org/officeDocument/2006/relationships/pivotTable" Target="../pivotTables/pivotTable7.xml"/><Relationship Id="rId7" Type="http://schemas.openxmlformats.org/officeDocument/2006/relationships/vmlDrawing" Target="../drawings/vmlDrawing4.vml"/><Relationship Id="rId12" Type="http://schemas.openxmlformats.org/officeDocument/2006/relationships/table" Target="../tables/table14.xml"/><Relationship Id="rId2" Type="http://schemas.openxmlformats.org/officeDocument/2006/relationships/pivotTable" Target="../pivotTables/pivotTable6.xml"/><Relationship Id="rId16" Type="http://schemas.openxmlformats.org/officeDocument/2006/relationships/table" Target="../tables/table18.xml"/><Relationship Id="rId1" Type="http://schemas.openxmlformats.org/officeDocument/2006/relationships/pivotTable" Target="../pivotTables/pivotTable5.xml"/><Relationship Id="rId6" Type="http://schemas.openxmlformats.org/officeDocument/2006/relationships/drawing" Target="../drawings/drawing5.xml"/><Relationship Id="rId11" Type="http://schemas.openxmlformats.org/officeDocument/2006/relationships/table" Target="../tables/table13.xml"/><Relationship Id="rId5" Type="http://schemas.openxmlformats.org/officeDocument/2006/relationships/printerSettings" Target="../printerSettings/printerSettings4.bin"/><Relationship Id="rId15" Type="http://schemas.openxmlformats.org/officeDocument/2006/relationships/table" Target="../tables/table17.xml"/><Relationship Id="rId10" Type="http://schemas.openxmlformats.org/officeDocument/2006/relationships/table" Target="../tables/table12.xml"/><Relationship Id="rId4" Type="http://schemas.openxmlformats.org/officeDocument/2006/relationships/pivotTable" Target="../pivotTables/pivotTable8.xml"/><Relationship Id="rId9" Type="http://schemas.openxmlformats.org/officeDocument/2006/relationships/table" Target="../tables/table11.xml"/><Relationship Id="rId14" Type="http://schemas.openxmlformats.org/officeDocument/2006/relationships/table" Target="../tables/table1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table" Target="../tables/table23.xml"/><Relationship Id="rId3" Type="http://schemas.openxmlformats.org/officeDocument/2006/relationships/pivotTable" Target="../pivotTables/pivotTable11.xml"/><Relationship Id="rId7" Type="http://schemas.openxmlformats.org/officeDocument/2006/relationships/vmlDrawing" Target="../drawings/vmlDrawing5.vml"/><Relationship Id="rId12" Type="http://schemas.openxmlformats.org/officeDocument/2006/relationships/table" Target="../tables/table22.xml"/><Relationship Id="rId2" Type="http://schemas.openxmlformats.org/officeDocument/2006/relationships/pivotTable" Target="../pivotTables/pivotTable10.xml"/><Relationship Id="rId16" Type="http://schemas.openxmlformats.org/officeDocument/2006/relationships/table" Target="../tables/table26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6.xml"/><Relationship Id="rId11" Type="http://schemas.openxmlformats.org/officeDocument/2006/relationships/table" Target="../tables/table21.xml"/><Relationship Id="rId5" Type="http://schemas.openxmlformats.org/officeDocument/2006/relationships/printerSettings" Target="../printerSettings/printerSettings5.bin"/><Relationship Id="rId15" Type="http://schemas.openxmlformats.org/officeDocument/2006/relationships/table" Target="../tables/table25.xml"/><Relationship Id="rId10" Type="http://schemas.openxmlformats.org/officeDocument/2006/relationships/table" Target="../tables/table20.xml"/><Relationship Id="rId4" Type="http://schemas.openxmlformats.org/officeDocument/2006/relationships/pivotTable" Target="../pivotTables/pivotTable12.xml"/><Relationship Id="rId9" Type="http://schemas.openxmlformats.org/officeDocument/2006/relationships/table" Target="../tables/table19.xml"/><Relationship Id="rId14" Type="http://schemas.openxmlformats.org/officeDocument/2006/relationships/table" Target="../tables/table2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table" Target="../tables/table31.xml"/><Relationship Id="rId3" Type="http://schemas.openxmlformats.org/officeDocument/2006/relationships/pivotTable" Target="../pivotTables/pivotTable15.xml"/><Relationship Id="rId7" Type="http://schemas.openxmlformats.org/officeDocument/2006/relationships/vmlDrawing" Target="../drawings/vmlDrawing6.vml"/><Relationship Id="rId12" Type="http://schemas.openxmlformats.org/officeDocument/2006/relationships/table" Target="../tables/table30.xml"/><Relationship Id="rId2" Type="http://schemas.openxmlformats.org/officeDocument/2006/relationships/pivotTable" Target="../pivotTables/pivotTable14.xml"/><Relationship Id="rId16" Type="http://schemas.openxmlformats.org/officeDocument/2006/relationships/table" Target="../tables/table34.xml"/><Relationship Id="rId1" Type="http://schemas.openxmlformats.org/officeDocument/2006/relationships/pivotTable" Target="../pivotTables/pivotTable13.xml"/><Relationship Id="rId6" Type="http://schemas.openxmlformats.org/officeDocument/2006/relationships/drawing" Target="../drawings/drawing7.xml"/><Relationship Id="rId11" Type="http://schemas.openxmlformats.org/officeDocument/2006/relationships/table" Target="../tables/table29.xml"/><Relationship Id="rId5" Type="http://schemas.openxmlformats.org/officeDocument/2006/relationships/printerSettings" Target="../printerSettings/printerSettings6.bin"/><Relationship Id="rId15" Type="http://schemas.openxmlformats.org/officeDocument/2006/relationships/table" Target="../tables/table33.xml"/><Relationship Id="rId10" Type="http://schemas.openxmlformats.org/officeDocument/2006/relationships/table" Target="../tables/table28.xml"/><Relationship Id="rId4" Type="http://schemas.openxmlformats.org/officeDocument/2006/relationships/pivotTable" Target="../pivotTables/pivotTable16.xml"/><Relationship Id="rId9" Type="http://schemas.openxmlformats.org/officeDocument/2006/relationships/table" Target="../tables/table27.xml"/><Relationship Id="rId14" Type="http://schemas.openxmlformats.org/officeDocument/2006/relationships/table" Target="../tables/table3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table" Target="../tables/table39.xml"/><Relationship Id="rId3" Type="http://schemas.openxmlformats.org/officeDocument/2006/relationships/pivotTable" Target="../pivotTables/pivotTable19.xml"/><Relationship Id="rId7" Type="http://schemas.openxmlformats.org/officeDocument/2006/relationships/vmlDrawing" Target="../drawings/vmlDrawing7.vml"/><Relationship Id="rId12" Type="http://schemas.openxmlformats.org/officeDocument/2006/relationships/table" Target="../tables/table38.xml"/><Relationship Id="rId2" Type="http://schemas.openxmlformats.org/officeDocument/2006/relationships/pivotTable" Target="../pivotTables/pivotTable18.xml"/><Relationship Id="rId16" Type="http://schemas.openxmlformats.org/officeDocument/2006/relationships/table" Target="../tables/table42.xml"/><Relationship Id="rId1" Type="http://schemas.openxmlformats.org/officeDocument/2006/relationships/pivotTable" Target="../pivotTables/pivotTable17.xml"/><Relationship Id="rId6" Type="http://schemas.openxmlformats.org/officeDocument/2006/relationships/drawing" Target="../drawings/drawing8.xml"/><Relationship Id="rId11" Type="http://schemas.openxmlformats.org/officeDocument/2006/relationships/table" Target="../tables/table37.xml"/><Relationship Id="rId5" Type="http://schemas.openxmlformats.org/officeDocument/2006/relationships/printerSettings" Target="../printerSettings/printerSettings7.bin"/><Relationship Id="rId15" Type="http://schemas.openxmlformats.org/officeDocument/2006/relationships/table" Target="../tables/table41.xml"/><Relationship Id="rId10" Type="http://schemas.openxmlformats.org/officeDocument/2006/relationships/table" Target="../tables/table36.xml"/><Relationship Id="rId4" Type="http://schemas.openxmlformats.org/officeDocument/2006/relationships/pivotTable" Target="../pivotTables/pivotTable20.xml"/><Relationship Id="rId9" Type="http://schemas.openxmlformats.org/officeDocument/2006/relationships/table" Target="../tables/table35.xml"/><Relationship Id="rId14" Type="http://schemas.openxmlformats.org/officeDocument/2006/relationships/table" Target="../tables/table40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13" Type="http://schemas.openxmlformats.org/officeDocument/2006/relationships/table" Target="../tables/table47.xml"/><Relationship Id="rId3" Type="http://schemas.openxmlformats.org/officeDocument/2006/relationships/pivotTable" Target="../pivotTables/pivotTable23.xml"/><Relationship Id="rId7" Type="http://schemas.openxmlformats.org/officeDocument/2006/relationships/vmlDrawing" Target="../drawings/vmlDrawing8.vml"/><Relationship Id="rId12" Type="http://schemas.openxmlformats.org/officeDocument/2006/relationships/table" Target="../tables/table46.xml"/><Relationship Id="rId2" Type="http://schemas.openxmlformats.org/officeDocument/2006/relationships/pivotTable" Target="../pivotTables/pivotTable22.xml"/><Relationship Id="rId16" Type="http://schemas.openxmlformats.org/officeDocument/2006/relationships/table" Target="../tables/table50.xml"/><Relationship Id="rId1" Type="http://schemas.openxmlformats.org/officeDocument/2006/relationships/pivotTable" Target="../pivotTables/pivotTable21.xml"/><Relationship Id="rId6" Type="http://schemas.openxmlformats.org/officeDocument/2006/relationships/drawing" Target="../drawings/drawing9.xml"/><Relationship Id="rId11" Type="http://schemas.openxmlformats.org/officeDocument/2006/relationships/table" Target="../tables/table45.xml"/><Relationship Id="rId5" Type="http://schemas.openxmlformats.org/officeDocument/2006/relationships/printerSettings" Target="../printerSettings/printerSettings8.bin"/><Relationship Id="rId15" Type="http://schemas.openxmlformats.org/officeDocument/2006/relationships/table" Target="../tables/table49.xml"/><Relationship Id="rId10" Type="http://schemas.openxmlformats.org/officeDocument/2006/relationships/table" Target="../tables/table44.xml"/><Relationship Id="rId4" Type="http://schemas.openxmlformats.org/officeDocument/2006/relationships/pivotTable" Target="../pivotTables/pivotTable24.xml"/><Relationship Id="rId9" Type="http://schemas.openxmlformats.org/officeDocument/2006/relationships/table" Target="../tables/table43.xml"/><Relationship Id="rId14" Type="http://schemas.openxmlformats.org/officeDocument/2006/relationships/table" Target="../tables/table4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13" Type="http://schemas.openxmlformats.org/officeDocument/2006/relationships/table" Target="../tables/table55.xml"/><Relationship Id="rId3" Type="http://schemas.openxmlformats.org/officeDocument/2006/relationships/pivotTable" Target="../pivotTables/pivotTable27.xml"/><Relationship Id="rId7" Type="http://schemas.openxmlformats.org/officeDocument/2006/relationships/vmlDrawing" Target="../drawings/vmlDrawing9.vml"/><Relationship Id="rId12" Type="http://schemas.openxmlformats.org/officeDocument/2006/relationships/table" Target="../tables/table54.xml"/><Relationship Id="rId2" Type="http://schemas.openxmlformats.org/officeDocument/2006/relationships/pivotTable" Target="../pivotTables/pivotTable26.xml"/><Relationship Id="rId16" Type="http://schemas.openxmlformats.org/officeDocument/2006/relationships/table" Target="../tables/table58.xml"/><Relationship Id="rId1" Type="http://schemas.openxmlformats.org/officeDocument/2006/relationships/pivotTable" Target="../pivotTables/pivotTable25.xml"/><Relationship Id="rId6" Type="http://schemas.openxmlformats.org/officeDocument/2006/relationships/drawing" Target="../drawings/drawing10.xml"/><Relationship Id="rId11" Type="http://schemas.openxmlformats.org/officeDocument/2006/relationships/table" Target="../tables/table53.xml"/><Relationship Id="rId5" Type="http://schemas.openxmlformats.org/officeDocument/2006/relationships/printerSettings" Target="../printerSettings/printerSettings9.bin"/><Relationship Id="rId15" Type="http://schemas.openxmlformats.org/officeDocument/2006/relationships/table" Target="../tables/table57.xml"/><Relationship Id="rId10" Type="http://schemas.openxmlformats.org/officeDocument/2006/relationships/table" Target="../tables/table52.xml"/><Relationship Id="rId4" Type="http://schemas.openxmlformats.org/officeDocument/2006/relationships/pivotTable" Target="../pivotTables/pivotTable28.xml"/><Relationship Id="rId9" Type="http://schemas.openxmlformats.org/officeDocument/2006/relationships/table" Target="../tables/table51.xml"/><Relationship Id="rId14" Type="http://schemas.openxmlformats.org/officeDocument/2006/relationships/table" Target="../tables/table5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13" Type="http://schemas.openxmlformats.org/officeDocument/2006/relationships/table" Target="../tables/table63.xml"/><Relationship Id="rId3" Type="http://schemas.openxmlformats.org/officeDocument/2006/relationships/pivotTable" Target="../pivotTables/pivotTable31.xml"/><Relationship Id="rId7" Type="http://schemas.openxmlformats.org/officeDocument/2006/relationships/vmlDrawing" Target="../drawings/vmlDrawing10.vml"/><Relationship Id="rId12" Type="http://schemas.openxmlformats.org/officeDocument/2006/relationships/table" Target="../tables/table62.xml"/><Relationship Id="rId2" Type="http://schemas.openxmlformats.org/officeDocument/2006/relationships/pivotTable" Target="../pivotTables/pivotTable30.xml"/><Relationship Id="rId1" Type="http://schemas.openxmlformats.org/officeDocument/2006/relationships/pivotTable" Target="../pivotTables/pivotTable29.xml"/><Relationship Id="rId6" Type="http://schemas.openxmlformats.org/officeDocument/2006/relationships/drawing" Target="../drawings/drawing11.xml"/><Relationship Id="rId11" Type="http://schemas.openxmlformats.org/officeDocument/2006/relationships/table" Target="../tables/table61.xml"/><Relationship Id="rId5" Type="http://schemas.openxmlformats.org/officeDocument/2006/relationships/printerSettings" Target="../printerSettings/printerSettings10.bin"/><Relationship Id="rId15" Type="http://schemas.openxmlformats.org/officeDocument/2006/relationships/table" Target="../tables/table65.xml"/><Relationship Id="rId10" Type="http://schemas.openxmlformats.org/officeDocument/2006/relationships/table" Target="../tables/table60.xml"/><Relationship Id="rId4" Type="http://schemas.openxmlformats.org/officeDocument/2006/relationships/pivotTable" Target="../pivotTables/pivotTable32.xml"/><Relationship Id="rId9" Type="http://schemas.openxmlformats.org/officeDocument/2006/relationships/table" Target="../tables/table59.xml"/><Relationship Id="rId14" Type="http://schemas.openxmlformats.org/officeDocument/2006/relationships/table" Target="../tables/table64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13" Type="http://schemas.openxmlformats.org/officeDocument/2006/relationships/table" Target="../tables/table70.xml"/><Relationship Id="rId3" Type="http://schemas.openxmlformats.org/officeDocument/2006/relationships/pivotTable" Target="../pivotTables/pivotTable35.xml"/><Relationship Id="rId7" Type="http://schemas.openxmlformats.org/officeDocument/2006/relationships/vmlDrawing" Target="../drawings/vmlDrawing11.vml"/><Relationship Id="rId12" Type="http://schemas.openxmlformats.org/officeDocument/2006/relationships/table" Target="../tables/table69.xml"/><Relationship Id="rId2" Type="http://schemas.openxmlformats.org/officeDocument/2006/relationships/pivotTable" Target="../pivotTables/pivotTable34.xml"/><Relationship Id="rId1" Type="http://schemas.openxmlformats.org/officeDocument/2006/relationships/pivotTable" Target="../pivotTables/pivotTable33.xml"/><Relationship Id="rId6" Type="http://schemas.openxmlformats.org/officeDocument/2006/relationships/drawing" Target="../drawings/drawing12.xml"/><Relationship Id="rId11" Type="http://schemas.openxmlformats.org/officeDocument/2006/relationships/table" Target="../tables/table68.xml"/><Relationship Id="rId5" Type="http://schemas.openxmlformats.org/officeDocument/2006/relationships/printerSettings" Target="../printerSettings/printerSettings11.bin"/><Relationship Id="rId15" Type="http://schemas.openxmlformats.org/officeDocument/2006/relationships/table" Target="../tables/table72.xml"/><Relationship Id="rId10" Type="http://schemas.openxmlformats.org/officeDocument/2006/relationships/table" Target="../tables/table67.xml"/><Relationship Id="rId4" Type="http://schemas.openxmlformats.org/officeDocument/2006/relationships/pivotTable" Target="../pivotTables/pivotTable36.xml"/><Relationship Id="rId9" Type="http://schemas.openxmlformats.org/officeDocument/2006/relationships/table" Target="../tables/table66.xml"/><Relationship Id="rId14" Type="http://schemas.openxmlformats.org/officeDocument/2006/relationships/table" Target="../tables/table71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13" Type="http://schemas.openxmlformats.org/officeDocument/2006/relationships/table" Target="../tables/table77.xml"/><Relationship Id="rId3" Type="http://schemas.openxmlformats.org/officeDocument/2006/relationships/pivotTable" Target="../pivotTables/pivotTable39.xml"/><Relationship Id="rId7" Type="http://schemas.openxmlformats.org/officeDocument/2006/relationships/vmlDrawing" Target="../drawings/vmlDrawing12.vml"/><Relationship Id="rId12" Type="http://schemas.openxmlformats.org/officeDocument/2006/relationships/table" Target="../tables/table76.xml"/><Relationship Id="rId2" Type="http://schemas.openxmlformats.org/officeDocument/2006/relationships/pivotTable" Target="../pivotTables/pivotTable38.xml"/><Relationship Id="rId1" Type="http://schemas.openxmlformats.org/officeDocument/2006/relationships/pivotTable" Target="../pivotTables/pivotTable37.xml"/><Relationship Id="rId6" Type="http://schemas.openxmlformats.org/officeDocument/2006/relationships/drawing" Target="../drawings/drawing13.xml"/><Relationship Id="rId11" Type="http://schemas.openxmlformats.org/officeDocument/2006/relationships/table" Target="../tables/table75.xml"/><Relationship Id="rId5" Type="http://schemas.openxmlformats.org/officeDocument/2006/relationships/printerSettings" Target="../printerSettings/printerSettings12.bin"/><Relationship Id="rId15" Type="http://schemas.openxmlformats.org/officeDocument/2006/relationships/table" Target="../tables/table79.xml"/><Relationship Id="rId10" Type="http://schemas.openxmlformats.org/officeDocument/2006/relationships/table" Target="../tables/table74.xml"/><Relationship Id="rId4" Type="http://schemas.openxmlformats.org/officeDocument/2006/relationships/pivotTable" Target="../pivotTables/pivotTable40.xml"/><Relationship Id="rId9" Type="http://schemas.openxmlformats.org/officeDocument/2006/relationships/table" Target="../tables/table73.xml"/><Relationship Id="rId14" Type="http://schemas.openxmlformats.org/officeDocument/2006/relationships/table" Target="../tables/table7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13" Type="http://schemas.openxmlformats.org/officeDocument/2006/relationships/table" Target="../tables/table84.xml"/><Relationship Id="rId3" Type="http://schemas.openxmlformats.org/officeDocument/2006/relationships/pivotTable" Target="../pivotTables/pivotTable43.xml"/><Relationship Id="rId7" Type="http://schemas.openxmlformats.org/officeDocument/2006/relationships/vmlDrawing" Target="../drawings/vmlDrawing13.vml"/><Relationship Id="rId12" Type="http://schemas.openxmlformats.org/officeDocument/2006/relationships/table" Target="../tables/table83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drawing" Target="../drawings/drawing14.xml"/><Relationship Id="rId11" Type="http://schemas.openxmlformats.org/officeDocument/2006/relationships/table" Target="../tables/table82.xml"/><Relationship Id="rId5" Type="http://schemas.openxmlformats.org/officeDocument/2006/relationships/printerSettings" Target="../printerSettings/printerSettings13.bin"/><Relationship Id="rId15" Type="http://schemas.openxmlformats.org/officeDocument/2006/relationships/table" Target="../tables/table86.xml"/><Relationship Id="rId10" Type="http://schemas.openxmlformats.org/officeDocument/2006/relationships/table" Target="../tables/table81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80.xml"/><Relationship Id="rId14" Type="http://schemas.openxmlformats.org/officeDocument/2006/relationships/table" Target="../tables/table85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13" Type="http://schemas.openxmlformats.org/officeDocument/2006/relationships/table" Target="../tables/table91.xml"/><Relationship Id="rId3" Type="http://schemas.openxmlformats.org/officeDocument/2006/relationships/pivotTable" Target="../pivotTables/pivotTable47.xml"/><Relationship Id="rId7" Type="http://schemas.openxmlformats.org/officeDocument/2006/relationships/vmlDrawing" Target="../drawings/vmlDrawing14.vml"/><Relationship Id="rId12" Type="http://schemas.openxmlformats.org/officeDocument/2006/relationships/table" Target="../tables/table90.xml"/><Relationship Id="rId2" Type="http://schemas.openxmlformats.org/officeDocument/2006/relationships/pivotTable" Target="../pivotTables/pivotTable46.xml"/><Relationship Id="rId1" Type="http://schemas.openxmlformats.org/officeDocument/2006/relationships/pivotTable" Target="../pivotTables/pivotTable45.xml"/><Relationship Id="rId6" Type="http://schemas.openxmlformats.org/officeDocument/2006/relationships/drawing" Target="../drawings/drawing15.xml"/><Relationship Id="rId11" Type="http://schemas.openxmlformats.org/officeDocument/2006/relationships/table" Target="../tables/table89.xml"/><Relationship Id="rId5" Type="http://schemas.openxmlformats.org/officeDocument/2006/relationships/printerSettings" Target="../printerSettings/printerSettings14.bin"/><Relationship Id="rId15" Type="http://schemas.openxmlformats.org/officeDocument/2006/relationships/table" Target="../tables/table93.xml"/><Relationship Id="rId10" Type="http://schemas.openxmlformats.org/officeDocument/2006/relationships/table" Target="../tables/table88.xml"/><Relationship Id="rId4" Type="http://schemas.openxmlformats.org/officeDocument/2006/relationships/pivotTable" Target="../pivotTables/pivotTable48.xml"/><Relationship Id="rId9" Type="http://schemas.openxmlformats.org/officeDocument/2006/relationships/table" Target="../tables/table87.xml"/><Relationship Id="rId14" Type="http://schemas.openxmlformats.org/officeDocument/2006/relationships/table" Target="../tables/table92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13" Type="http://schemas.openxmlformats.org/officeDocument/2006/relationships/table" Target="../tables/table98.xml"/><Relationship Id="rId3" Type="http://schemas.openxmlformats.org/officeDocument/2006/relationships/pivotTable" Target="../pivotTables/pivotTable51.xml"/><Relationship Id="rId7" Type="http://schemas.openxmlformats.org/officeDocument/2006/relationships/vmlDrawing" Target="../drawings/vmlDrawing15.vml"/><Relationship Id="rId12" Type="http://schemas.openxmlformats.org/officeDocument/2006/relationships/table" Target="../tables/table97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6" Type="http://schemas.openxmlformats.org/officeDocument/2006/relationships/drawing" Target="../drawings/drawing16.xml"/><Relationship Id="rId11" Type="http://schemas.openxmlformats.org/officeDocument/2006/relationships/table" Target="../tables/table96.xml"/><Relationship Id="rId5" Type="http://schemas.openxmlformats.org/officeDocument/2006/relationships/printerSettings" Target="../printerSettings/printerSettings15.bin"/><Relationship Id="rId15" Type="http://schemas.openxmlformats.org/officeDocument/2006/relationships/table" Target="../tables/table100.xml"/><Relationship Id="rId10" Type="http://schemas.openxmlformats.org/officeDocument/2006/relationships/table" Target="../tables/table95.xml"/><Relationship Id="rId4" Type="http://schemas.openxmlformats.org/officeDocument/2006/relationships/pivotTable" Target="../pivotTables/pivotTable52.xml"/><Relationship Id="rId9" Type="http://schemas.openxmlformats.org/officeDocument/2006/relationships/table" Target="../tables/table94.xml"/><Relationship Id="rId14" Type="http://schemas.openxmlformats.org/officeDocument/2006/relationships/table" Target="../tables/table99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1.xml"/><Relationship Id="rId13" Type="http://schemas.openxmlformats.org/officeDocument/2006/relationships/table" Target="../tables/table106.xml"/><Relationship Id="rId3" Type="http://schemas.openxmlformats.org/officeDocument/2006/relationships/pivotTable" Target="../pivotTables/pivotTable55.xml"/><Relationship Id="rId7" Type="http://schemas.openxmlformats.org/officeDocument/2006/relationships/ctrlProp" Target="../ctrlProps/ctrlProp20.xml"/><Relationship Id="rId12" Type="http://schemas.openxmlformats.org/officeDocument/2006/relationships/table" Target="../tables/table105.xml"/><Relationship Id="rId2" Type="http://schemas.openxmlformats.org/officeDocument/2006/relationships/pivotTable" Target="../pivotTables/pivotTable54.xml"/><Relationship Id="rId1" Type="http://schemas.openxmlformats.org/officeDocument/2006/relationships/pivotTable" Target="../pivotTables/pivotTable53.xml"/><Relationship Id="rId6" Type="http://schemas.openxmlformats.org/officeDocument/2006/relationships/vmlDrawing" Target="../drawings/vmlDrawing16.vml"/><Relationship Id="rId11" Type="http://schemas.openxmlformats.org/officeDocument/2006/relationships/table" Target="../tables/table104.xml"/><Relationship Id="rId5" Type="http://schemas.openxmlformats.org/officeDocument/2006/relationships/drawing" Target="../drawings/drawing17.xml"/><Relationship Id="rId10" Type="http://schemas.openxmlformats.org/officeDocument/2006/relationships/table" Target="../tables/table103.xml"/><Relationship Id="rId4" Type="http://schemas.openxmlformats.org/officeDocument/2006/relationships/printerSettings" Target="../printerSettings/printerSettings16.bin"/><Relationship Id="rId9" Type="http://schemas.openxmlformats.org/officeDocument/2006/relationships/table" Target="../tables/table102.xml"/><Relationship Id="rId14" Type="http://schemas.openxmlformats.org/officeDocument/2006/relationships/table" Target="../tables/table107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8.xml"/><Relationship Id="rId13" Type="http://schemas.openxmlformats.org/officeDocument/2006/relationships/table" Target="../tables/table113.xml"/><Relationship Id="rId3" Type="http://schemas.openxmlformats.org/officeDocument/2006/relationships/pivotTable" Target="../pivotTables/pivotTable58.xml"/><Relationship Id="rId7" Type="http://schemas.openxmlformats.org/officeDocument/2006/relationships/ctrlProp" Target="../ctrlProps/ctrlProp21.xml"/><Relationship Id="rId12" Type="http://schemas.openxmlformats.org/officeDocument/2006/relationships/table" Target="../tables/table112.xml"/><Relationship Id="rId2" Type="http://schemas.openxmlformats.org/officeDocument/2006/relationships/pivotTable" Target="../pivotTables/pivotTable57.xml"/><Relationship Id="rId1" Type="http://schemas.openxmlformats.org/officeDocument/2006/relationships/pivotTable" Target="../pivotTables/pivotTable56.xml"/><Relationship Id="rId6" Type="http://schemas.openxmlformats.org/officeDocument/2006/relationships/vmlDrawing" Target="../drawings/vmlDrawing17.vml"/><Relationship Id="rId11" Type="http://schemas.openxmlformats.org/officeDocument/2006/relationships/table" Target="../tables/table111.xml"/><Relationship Id="rId5" Type="http://schemas.openxmlformats.org/officeDocument/2006/relationships/drawing" Target="../drawings/drawing18.xml"/><Relationship Id="rId10" Type="http://schemas.openxmlformats.org/officeDocument/2006/relationships/table" Target="../tables/table110.xml"/><Relationship Id="rId4" Type="http://schemas.openxmlformats.org/officeDocument/2006/relationships/printerSettings" Target="../printerSettings/printerSettings17.bin"/><Relationship Id="rId9" Type="http://schemas.openxmlformats.org/officeDocument/2006/relationships/table" Target="../tables/table109.xml"/><Relationship Id="rId14" Type="http://schemas.openxmlformats.org/officeDocument/2006/relationships/table" Target="../tables/table114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5.xml"/><Relationship Id="rId13" Type="http://schemas.openxmlformats.org/officeDocument/2006/relationships/table" Target="../tables/table120.xml"/><Relationship Id="rId3" Type="http://schemas.openxmlformats.org/officeDocument/2006/relationships/pivotTable" Target="../pivotTables/pivotTable61.xml"/><Relationship Id="rId7" Type="http://schemas.openxmlformats.org/officeDocument/2006/relationships/ctrlProp" Target="../ctrlProps/ctrlProp22.xml"/><Relationship Id="rId12" Type="http://schemas.openxmlformats.org/officeDocument/2006/relationships/table" Target="../tables/table119.xml"/><Relationship Id="rId2" Type="http://schemas.openxmlformats.org/officeDocument/2006/relationships/pivotTable" Target="../pivotTables/pivotTable60.xml"/><Relationship Id="rId1" Type="http://schemas.openxmlformats.org/officeDocument/2006/relationships/pivotTable" Target="../pivotTables/pivotTable59.xml"/><Relationship Id="rId6" Type="http://schemas.openxmlformats.org/officeDocument/2006/relationships/vmlDrawing" Target="../drawings/vmlDrawing18.vml"/><Relationship Id="rId11" Type="http://schemas.openxmlformats.org/officeDocument/2006/relationships/table" Target="../tables/table118.xml"/><Relationship Id="rId5" Type="http://schemas.openxmlformats.org/officeDocument/2006/relationships/drawing" Target="../drawings/drawing19.xml"/><Relationship Id="rId10" Type="http://schemas.openxmlformats.org/officeDocument/2006/relationships/table" Target="../tables/table117.xml"/><Relationship Id="rId4" Type="http://schemas.openxmlformats.org/officeDocument/2006/relationships/printerSettings" Target="../printerSettings/printerSettings18.bin"/><Relationship Id="rId9" Type="http://schemas.openxmlformats.org/officeDocument/2006/relationships/table" Target="../tables/table116.xml"/><Relationship Id="rId14" Type="http://schemas.openxmlformats.org/officeDocument/2006/relationships/table" Target="../tables/table121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2.xml"/><Relationship Id="rId13" Type="http://schemas.openxmlformats.org/officeDocument/2006/relationships/table" Target="../tables/table127.xml"/><Relationship Id="rId3" Type="http://schemas.openxmlformats.org/officeDocument/2006/relationships/pivotTable" Target="../pivotTables/pivotTable64.xml"/><Relationship Id="rId7" Type="http://schemas.openxmlformats.org/officeDocument/2006/relationships/ctrlProp" Target="../ctrlProps/ctrlProp23.xml"/><Relationship Id="rId12" Type="http://schemas.openxmlformats.org/officeDocument/2006/relationships/table" Target="../tables/table126.xml"/><Relationship Id="rId2" Type="http://schemas.openxmlformats.org/officeDocument/2006/relationships/pivotTable" Target="../pivotTables/pivotTable63.xml"/><Relationship Id="rId1" Type="http://schemas.openxmlformats.org/officeDocument/2006/relationships/pivotTable" Target="../pivotTables/pivotTable62.xml"/><Relationship Id="rId6" Type="http://schemas.openxmlformats.org/officeDocument/2006/relationships/vmlDrawing" Target="../drawings/vmlDrawing19.vml"/><Relationship Id="rId11" Type="http://schemas.openxmlformats.org/officeDocument/2006/relationships/table" Target="../tables/table125.xml"/><Relationship Id="rId5" Type="http://schemas.openxmlformats.org/officeDocument/2006/relationships/drawing" Target="../drawings/drawing20.xml"/><Relationship Id="rId10" Type="http://schemas.openxmlformats.org/officeDocument/2006/relationships/table" Target="../tables/table124.xml"/><Relationship Id="rId4" Type="http://schemas.openxmlformats.org/officeDocument/2006/relationships/printerSettings" Target="../printerSettings/printerSettings19.bin"/><Relationship Id="rId9" Type="http://schemas.openxmlformats.org/officeDocument/2006/relationships/table" Target="../tables/table123.xml"/><Relationship Id="rId14" Type="http://schemas.openxmlformats.org/officeDocument/2006/relationships/table" Target="../tables/table128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9.xml"/><Relationship Id="rId13" Type="http://schemas.openxmlformats.org/officeDocument/2006/relationships/table" Target="../tables/table134.xml"/><Relationship Id="rId3" Type="http://schemas.openxmlformats.org/officeDocument/2006/relationships/pivotTable" Target="../pivotTables/pivotTable67.xml"/><Relationship Id="rId7" Type="http://schemas.openxmlformats.org/officeDocument/2006/relationships/ctrlProp" Target="../ctrlProps/ctrlProp24.xml"/><Relationship Id="rId12" Type="http://schemas.openxmlformats.org/officeDocument/2006/relationships/table" Target="../tables/table133.xml"/><Relationship Id="rId2" Type="http://schemas.openxmlformats.org/officeDocument/2006/relationships/pivotTable" Target="../pivotTables/pivotTable66.xml"/><Relationship Id="rId1" Type="http://schemas.openxmlformats.org/officeDocument/2006/relationships/pivotTable" Target="../pivotTables/pivotTable65.xml"/><Relationship Id="rId6" Type="http://schemas.openxmlformats.org/officeDocument/2006/relationships/vmlDrawing" Target="../drawings/vmlDrawing20.vml"/><Relationship Id="rId11" Type="http://schemas.openxmlformats.org/officeDocument/2006/relationships/table" Target="../tables/table132.xml"/><Relationship Id="rId5" Type="http://schemas.openxmlformats.org/officeDocument/2006/relationships/drawing" Target="../drawings/drawing21.xml"/><Relationship Id="rId10" Type="http://schemas.openxmlformats.org/officeDocument/2006/relationships/table" Target="../tables/table131.xml"/><Relationship Id="rId4" Type="http://schemas.openxmlformats.org/officeDocument/2006/relationships/printerSettings" Target="../printerSettings/printerSettings20.bin"/><Relationship Id="rId9" Type="http://schemas.openxmlformats.org/officeDocument/2006/relationships/table" Target="../tables/table130.xml"/><Relationship Id="rId14" Type="http://schemas.openxmlformats.org/officeDocument/2006/relationships/table" Target="../tables/table135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6.xml"/><Relationship Id="rId13" Type="http://schemas.openxmlformats.org/officeDocument/2006/relationships/table" Target="../tables/table141.xml"/><Relationship Id="rId3" Type="http://schemas.openxmlformats.org/officeDocument/2006/relationships/pivotTable" Target="../pivotTables/pivotTable70.xml"/><Relationship Id="rId7" Type="http://schemas.openxmlformats.org/officeDocument/2006/relationships/ctrlProp" Target="../ctrlProps/ctrlProp25.xml"/><Relationship Id="rId12" Type="http://schemas.openxmlformats.org/officeDocument/2006/relationships/table" Target="../tables/table140.xml"/><Relationship Id="rId2" Type="http://schemas.openxmlformats.org/officeDocument/2006/relationships/pivotTable" Target="../pivotTables/pivotTable69.xml"/><Relationship Id="rId1" Type="http://schemas.openxmlformats.org/officeDocument/2006/relationships/pivotTable" Target="../pivotTables/pivotTable68.xml"/><Relationship Id="rId6" Type="http://schemas.openxmlformats.org/officeDocument/2006/relationships/vmlDrawing" Target="../drawings/vmlDrawing21.vml"/><Relationship Id="rId11" Type="http://schemas.openxmlformats.org/officeDocument/2006/relationships/table" Target="../tables/table139.xml"/><Relationship Id="rId5" Type="http://schemas.openxmlformats.org/officeDocument/2006/relationships/drawing" Target="../drawings/drawing22.xml"/><Relationship Id="rId10" Type="http://schemas.openxmlformats.org/officeDocument/2006/relationships/table" Target="../tables/table138.xml"/><Relationship Id="rId4" Type="http://schemas.openxmlformats.org/officeDocument/2006/relationships/printerSettings" Target="../printerSettings/printerSettings21.bin"/><Relationship Id="rId9" Type="http://schemas.openxmlformats.org/officeDocument/2006/relationships/table" Target="../tables/table137.xml"/><Relationship Id="rId14" Type="http://schemas.openxmlformats.org/officeDocument/2006/relationships/table" Target="../tables/table14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FCCB1-DEDB-46A6-A742-9322AA8F91D4}">
  <dimension ref="A1:I11"/>
  <sheetViews>
    <sheetView workbookViewId="0">
      <selection activeCell="A8" sqref="A8:I11"/>
    </sheetView>
  </sheetViews>
  <sheetFormatPr defaultRowHeight="15" x14ac:dyDescent="0.25"/>
  <cols>
    <col min="1" max="1" width="10.140625" style="160" bestFit="1" customWidth="1"/>
    <col min="2" max="2" width="9.140625" style="160"/>
    <col min="3" max="7" width="9.7109375" style="160" bestFit="1" customWidth="1"/>
    <col min="8" max="8" width="1.42578125" style="160" customWidth="1"/>
    <col min="9" max="16384" width="9.140625" style="160"/>
  </cols>
  <sheetData>
    <row r="1" spans="1:9" x14ac:dyDescent="0.25">
      <c r="A1" s="160" t="s">
        <v>1441</v>
      </c>
    </row>
    <row r="2" spans="1:9" x14ac:dyDescent="0.25">
      <c r="A2" s="160" t="s">
        <v>133</v>
      </c>
      <c r="B2" s="178">
        <v>43284</v>
      </c>
      <c r="C2" s="178">
        <f>B2+14</f>
        <v>43298</v>
      </c>
      <c r="D2" s="178">
        <f>C2+14</f>
        <v>43312</v>
      </c>
      <c r="E2" s="178">
        <f>D2+14</f>
        <v>43326</v>
      </c>
      <c r="F2" s="178">
        <f>E2+14</f>
        <v>43340</v>
      </c>
      <c r="G2" s="178">
        <v>43354</v>
      </c>
    </row>
    <row r="3" spans="1:9" x14ac:dyDescent="0.25">
      <c r="A3" s="160" t="s">
        <v>2</v>
      </c>
      <c r="B3" s="64">
        <v>0</v>
      </c>
      <c r="C3" s="64">
        <v>2.3800000000000002E-2</v>
      </c>
      <c r="D3" s="177">
        <v>0.124</v>
      </c>
      <c r="E3" s="64">
        <v>5.5599999999999997E-2</v>
      </c>
      <c r="F3" s="177">
        <v>0.2</v>
      </c>
      <c r="G3" s="177">
        <v>0.30230000000000001</v>
      </c>
      <c r="I3" s="176">
        <f>AVERAGE(B3:G3)</f>
        <v>0.11761666666666666</v>
      </c>
    </row>
    <row r="4" spans="1:9" x14ac:dyDescent="0.25">
      <c r="A4" s="160" t="s">
        <v>137</v>
      </c>
      <c r="B4" s="64">
        <v>9.7600000000000006E-2</v>
      </c>
      <c r="C4" s="64">
        <v>0.15790000000000001</v>
      </c>
      <c r="D4" s="64">
        <v>0.13900000000000001</v>
      </c>
      <c r="E4" s="64">
        <v>0.15379999999999999</v>
      </c>
      <c r="F4" s="177">
        <v>0.25</v>
      </c>
      <c r="G4" s="177">
        <v>0.40429999999999999</v>
      </c>
      <c r="I4" s="176">
        <f>AVERAGE(B4:G4)</f>
        <v>0.20043333333333332</v>
      </c>
    </row>
    <row r="5" spans="1:9" x14ac:dyDescent="0.25">
      <c r="A5" s="160" t="s">
        <v>1436</v>
      </c>
      <c r="B5" s="64">
        <v>4.4900000000000002E-2</v>
      </c>
      <c r="C5" s="64">
        <v>0.10100000000000001</v>
      </c>
      <c r="D5" s="64">
        <v>0.1019</v>
      </c>
      <c r="E5" s="64">
        <v>0.11360000000000001</v>
      </c>
      <c r="F5" s="64">
        <v>0.14099999999999999</v>
      </c>
      <c r="G5" s="177">
        <v>0.35560000000000003</v>
      </c>
      <c r="I5" s="176">
        <f>AVERAGE(B5:G5)</f>
        <v>0.14300000000000002</v>
      </c>
    </row>
    <row r="7" spans="1:9" x14ac:dyDescent="0.25">
      <c r="A7" s="160" t="s">
        <v>1440</v>
      </c>
    </row>
    <row r="8" spans="1:9" x14ac:dyDescent="0.25">
      <c r="A8" s="160" t="s">
        <v>133</v>
      </c>
      <c r="B8" s="178">
        <v>43284</v>
      </c>
      <c r="C8" s="178">
        <f>B8+14</f>
        <v>43298</v>
      </c>
      <c r="D8" s="178">
        <f>C8+14</f>
        <v>43312</v>
      </c>
      <c r="E8" s="178">
        <f>D8+14</f>
        <v>43326</v>
      </c>
      <c r="F8" s="178">
        <f>E8+14</f>
        <v>43340</v>
      </c>
      <c r="G8" s="178">
        <f>F8+14</f>
        <v>43354</v>
      </c>
      <c r="I8" s="160" t="s">
        <v>1439</v>
      </c>
    </row>
    <row r="9" spans="1:9" x14ac:dyDescent="0.25">
      <c r="A9" s="160" t="s">
        <v>2</v>
      </c>
      <c r="B9" s="64">
        <v>0</v>
      </c>
      <c r="C9" s="64">
        <v>2.4400000000000002E-2</v>
      </c>
      <c r="D9" s="64">
        <v>8.4699999999999998E-2</v>
      </c>
      <c r="E9" s="64">
        <v>5.8799999999999998E-2</v>
      </c>
      <c r="F9" s="64">
        <v>7.5999999999999998E-2</v>
      </c>
      <c r="G9" s="177">
        <v>0.43330000000000002</v>
      </c>
      <c r="I9" s="176">
        <f>AVERAGE(B9:G9)</f>
        <v>0.11286666666666667</v>
      </c>
    </row>
    <row r="10" spans="1:9" x14ac:dyDescent="0.25">
      <c r="A10" s="160" t="s">
        <v>137</v>
      </c>
      <c r="B10" s="64">
        <v>0.1081</v>
      </c>
      <c r="C10" s="64">
        <v>0.1875</v>
      </c>
      <c r="D10" s="64">
        <v>9.2600000000000002E-2</v>
      </c>
      <c r="E10" s="64">
        <v>0.18179999999999999</v>
      </c>
      <c r="F10" s="64">
        <v>8.3000000000000004E-2</v>
      </c>
      <c r="G10" s="177">
        <v>0.67859999999999998</v>
      </c>
      <c r="I10" s="176">
        <f>AVERAGE(B10:G10)</f>
        <v>0.22193333333333332</v>
      </c>
    </row>
    <row r="11" spans="1:9" x14ac:dyDescent="0.25">
      <c r="A11" s="160" t="s">
        <v>1436</v>
      </c>
      <c r="B11" s="64">
        <v>4.7100000000000003E-2</v>
      </c>
      <c r="C11" s="64">
        <v>0.11247</v>
      </c>
      <c r="D11" s="64">
        <v>0.1134</v>
      </c>
      <c r="E11" s="64">
        <v>0.12820000000000001</v>
      </c>
      <c r="F11" s="64">
        <v>0.16420000000000001</v>
      </c>
      <c r="G11" s="177">
        <v>0.55169999999999997</v>
      </c>
      <c r="I11" s="176">
        <f>AVERAGE(B11:G11)</f>
        <v>0.18617833333333333</v>
      </c>
    </row>
  </sheetData>
  <conditionalFormatting sqref="B9:G9">
    <cfRule type="expression" dxfId="992" priority="3">
      <formula>B9&gt;$I9</formula>
    </cfRule>
  </conditionalFormatting>
  <conditionalFormatting sqref="B10:G11">
    <cfRule type="expression" dxfId="991" priority="2">
      <formula>B10&gt;$I10</formula>
    </cfRule>
  </conditionalFormatting>
  <conditionalFormatting sqref="B3:G5">
    <cfRule type="expression" dxfId="990" priority="1">
      <formula>B3&gt;$I3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36"/>
  <sheetViews>
    <sheetView zoomScale="90" zoomScaleNormal="90" workbookViewId="0">
      <selection activeCell="C28" sqref="C28"/>
    </sheetView>
  </sheetViews>
  <sheetFormatPr defaultRowHeight="15" x14ac:dyDescent="0.25"/>
  <cols>
    <col min="2" max="2" width="9.7109375" customWidth="1"/>
    <col min="3" max="4" width="9.140625" customWidth="1"/>
    <col min="5" max="5" width="10" customWidth="1"/>
    <col min="6" max="6" width="11.42578125" customWidth="1"/>
    <col min="7" max="7" width="10" customWidth="1"/>
    <col min="8" max="8" width="10.28515625" customWidth="1"/>
    <col min="9" max="9" width="11" customWidth="1"/>
    <col min="10" max="28" width="9.140625" customWidth="1"/>
  </cols>
  <sheetData>
    <row r="1" spans="1:39" ht="16.5" thickTop="1" thickBot="1" x14ac:dyDescent="0.3">
      <c r="F1" s="169" t="s">
        <v>13</v>
      </c>
      <c r="G1" s="170"/>
      <c r="H1" s="171"/>
      <c r="I1" s="167"/>
      <c r="J1" s="167"/>
      <c r="K1" s="167"/>
      <c r="L1" s="168"/>
      <c r="M1" s="168"/>
      <c r="N1" s="168"/>
      <c r="O1" s="168"/>
      <c r="P1" s="168"/>
      <c r="Q1" s="168"/>
      <c r="R1" s="168"/>
      <c r="S1" s="168"/>
      <c r="T1" s="168"/>
      <c r="U1" s="167"/>
      <c r="V1" s="167"/>
      <c r="W1" s="167"/>
      <c r="X1" s="167"/>
      <c r="Y1" s="167"/>
      <c r="Z1" s="167"/>
      <c r="AA1" s="167"/>
      <c r="AB1" s="167"/>
    </row>
    <row r="2" spans="1:39" ht="15" customHeight="1" thickBot="1" x14ac:dyDescent="0.3">
      <c r="A2" s="160"/>
      <c r="B2" s="160"/>
      <c r="C2" s="179" t="s">
        <v>10</v>
      </c>
      <c r="D2" s="180"/>
      <c r="E2" s="181"/>
      <c r="F2" s="188" t="s">
        <v>0</v>
      </c>
      <c r="G2" s="189"/>
      <c r="H2" s="189"/>
      <c r="I2" s="189"/>
      <c r="J2" s="189"/>
      <c r="K2" s="189"/>
      <c r="L2" s="189"/>
      <c r="M2" s="189"/>
      <c r="N2" s="189"/>
      <c r="O2" s="189"/>
      <c r="P2" s="189"/>
      <c r="Q2" s="189"/>
      <c r="R2" s="189"/>
      <c r="S2" s="189"/>
      <c r="T2" s="189"/>
      <c r="U2" s="189"/>
      <c r="V2" s="189"/>
      <c r="W2" s="189"/>
      <c r="X2" s="189"/>
      <c r="Y2" s="189"/>
      <c r="Z2" s="189"/>
      <c r="AA2" s="189"/>
      <c r="AB2" s="189"/>
    </row>
    <row r="3" spans="1:39" ht="15.75" thickBot="1" x14ac:dyDescent="0.3">
      <c r="A3" s="160"/>
      <c r="B3" s="5"/>
      <c r="C3" s="55" t="str">
        <f>Entirety_Label</f>
        <v>Beginning</v>
      </c>
      <c r="D3" s="56" t="str">
        <f>Last3Period_Label</f>
        <v>Last 3</v>
      </c>
      <c r="E3" s="57" t="str">
        <f>Last6Period_Label</f>
        <v>Last 6</v>
      </c>
      <c r="F3" s="74" t="s">
        <v>146</v>
      </c>
      <c r="G3" s="75" t="s">
        <v>147</v>
      </c>
      <c r="H3" s="75" t="s">
        <v>55</v>
      </c>
      <c r="I3" s="75" t="s">
        <v>51</v>
      </c>
      <c r="J3" s="89" t="s">
        <v>52</v>
      </c>
      <c r="K3" s="89" t="s">
        <v>53</v>
      </c>
      <c r="L3" s="89" t="s">
        <v>54</v>
      </c>
      <c r="M3" s="93" t="s">
        <v>238</v>
      </c>
      <c r="N3" s="89" t="s">
        <v>312</v>
      </c>
      <c r="O3" s="113" t="s">
        <v>372</v>
      </c>
      <c r="P3" s="89" t="s">
        <v>534</v>
      </c>
      <c r="Q3" s="118" t="s">
        <v>551</v>
      </c>
      <c r="R3" s="130" t="s">
        <v>806</v>
      </c>
      <c r="S3" s="130" t="s">
        <v>807</v>
      </c>
      <c r="T3" s="130" t="s">
        <v>808</v>
      </c>
      <c r="U3" s="89" t="s">
        <v>876</v>
      </c>
      <c r="V3" s="89" t="s">
        <v>949</v>
      </c>
      <c r="W3" s="89" t="s">
        <v>1044</v>
      </c>
      <c r="X3" s="89" t="s">
        <v>1109</v>
      </c>
      <c r="Y3" s="89" t="s">
        <v>1110</v>
      </c>
      <c r="Z3" s="89" t="s">
        <v>1250</v>
      </c>
      <c r="AA3" s="89" t="s">
        <v>1251</v>
      </c>
      <c r="AB3" s="163" t="s">
        <v>1374</v>
      </c>
      <c r="AC3" s="89" t="s">
        <v>1375</v>
      </c>
      <c r="AF3" s="13"/>
      <c r="AG3" s="32"/>
      <c r="AH3" s="32"/>
      <c r="AI3" s="32"/>
      <c r="AJ3" s="32"/>
      <c r="AK3" s="32"/>
      <c r="AL3" s="13"/>
      <c r="AM3" s="13"/>
    </row>
    <row r="4" spans="1:39" s="3" customFormat="1" ht="12.6" customHeight="1" thickTop="1" thickBot="1" x14ac:dyDescent="0.3">
      <c r="A4" s="3" t="s">
        <v>14</v>
      </c>
      <c r="B4" s="6" t="s">
        <v>1</v>
      </c>
      <c r="C4" s="7">
        <f>C12</f>
        <v>86.173913043478265</v>
      </c>
      <c r="D4" s="4">
        <f>C17</f>
        <v>72</v>
      </c>
      <c r="E4" s="4">
        <f>C22</f>
        <v>77</v>
      </c>
      <c r="F4" s="58">
        <f>SUM(F5:F6)</f>
        <v>105</v>
      </c>
      <c r="G4" s="59">
        <f>SUM(G5:G6)</f>
        <v>77</v>
      </c>
      <c r="H4" s="59">
        <f>SUM(H5:H6)</f>
        <v>88</v>
      </c>
      <c r="I4" s="60">
        <f>SUM(I5:I6)</f>
        <v>72</v>
      </c>
      <c r="J4" s="60">
        <f t="shared" ref="J4" si="0">SUM(J5:J6)</f>
        <v>77</v>
      </c>
      <c r="K4" s="60">
        <f t="shared" ref="K4" si="1">SUM(K5:K6)</f>
        <v>91</v>
      </c>
      <c r="L4" s="60">
        <f t="shared" ref="L4:AC4" si="2">SUM(L5:L6)</f>
        <v>120</v>
      </c>
      <c r="M4" s="60">
        <f t="shared" si="2"/>
        <v>78</v>
      </c>
      <c r="N4" s="60">
        <f t="shared" si="2"/>
        <v>110</v>
      </c>
      <c r="O4" s="60">
        <f t="shared" si="2"/>
        <v>103</v>
      </c>
      <c r="P4" s="60">
        <f t="shared" si="2"/>
        <v>107</v>
      </c>
      <c r="Q4" s="60">
        <f t="shared" si="2"/>
        <v>95</v>
      </c>
      <c r="R4" s="60">
        <f t="shared" si="2"/>
        <v>104</v>
      </c>
      <c r="S4" s="60">
        <f t="shared" si="2"/>
        <v>57</v>
      </c>
      <c r="T4" s="60">
        <f t="shared" si="2"/>
        <v>85</v>
      </c>
      <c r="U4" s="60">
        <f t="shared" si="2"/>
        <v>64</v>
      </c>
      <c r="V4" s="60">
        <f t="shared" si="2"/>
        <v>87</v>
      </c>
      <c r="W4" s="60">
        <f t="shared" si="2"/>
        <v>89</v>
      </c>
      <c r="X4" s="60">
        <f t="shared" si="2"/>
        <v>81</v>
      </c>
      <c r="Y4" s="60">
        <f t="shared" si="2"/>
        <v>76</v>
      </c>
      <c r="Z4" s="60">
        <f t="shared" si="2"/>
        <v>86</v>
      </c>
      <c r="AA4" s="60">
        <f t="shared" si="2"/>
        <v>72</v>
      </c>
      <c r="AB4" s="60">
        <f t="shared" si="2"/>
        <v>58</v>
      </c>
      <c r="AC4" s="60">
        <f t="shared" si="2"/>
        <v>72</v>
      </c>
      <c r="AF4" s="36"/>
      <c r="AG4" s="32"/>
      <c r="AH4" s="32"/>
      <c r="AI4" s="32"/>
      <c r="AJ4" s="32"/>
      <c r="AK4" s="32"/>
      <c r="AL4" s="36"/>
      <c r="AM4" s="36"/>
    </row>
    <row r="5" spans="1:39" s="3" customFormat="1" ht="12.75" thickBot="1" x14ac:dyDescent="0.3">
      <c r="B5" s="6" t="s">
        <v>2</v>
      </c>
      <c r="C5" s="7">
        <f>C13</f>
        <v>39.739130434782609</v>
      </c>
      <c r="D5" s="4">
        <f>C18</f>
        <v>32</v>
      </c>
      <c r="E5" s="4">
        <f>C23</f>
        <v>35.833333333333336</v>
      </c>
      <c r="F5" s="145">
        <v>33</v>
      </c>
      <c r="G5" s="135">
        <v>37</v>
      </c>
      <c r="H5" s="135">
        <v>39</v>
      </c>
      <c r="I5" s="136">
        <v>26</v>
      </c>
      <c r="J5" s="146">
        <v>23</v>
      </c>
      <c r="K5" s="146">
        <v>48</v>
      </c>
      <c r="L5" s="146">
        <v>48</v>
      </c>
      <c r="M5" s="147">
        <v>34</v>
      </c>
      <c r="N5" s="146">
        <v>51</v>
      </c>
      <c r="O5" s="148">
        <v>49</v>
      </c>
      <c r="P5" s="146">
        <v>52</v>
      </c>
      <c r="Q5" s="149">
        <v>55</v>
      </c>
      <c r="R5" s="150">
        <v>66</v>
      </c>
      <c r="S5" s="150">
        <v>21</v>
      </c>
      <c r="T5" s="150">
        <v>44</v>
      </c>
      <c r="U5" s="62">
        <v>32</v>
      </c>
      <c r="V5" s="62">
        <v>41</v>
      </c>
      <c r="W5" s="62">
        <v>44</v>
      </c>
      <c r="X5" s="62">
        <v>45</v>
      </c>
      <c r="Y5" s="62">
        <v>30</v>
      </c>
      <c r="Z5" s="62">
        <v>36</v>
      </c>
      <c r="AA5" s="62">
        <v>26</v>
      </c>
      <c r="AB5" s="161">
        <v>34</v>
      </c>
      <c r="AC5" s="62">
        <v>38</v>
      </c>
      <c r="AF5" s="36"/>
      <c r="AG5" s="36"/>
      <c r="AH5" s="36"/>
      <c r="AI5" s="36"/>
      <c r="AJ5" s="36"/>
      <c r="AK5" s="36"/>
      <c r="AL5" s="36"/>
      <c r="AM5" s="36"/>
    </row>
    <row r="6" spans="1:39" s="3" customFormat="1" ht="12.75" thickBot="1" x14ac:dyDescent="0.3">
      <c r="B6" s="30" t="s">
        <v>3</v>
      </c>
      <c r="C6" s="8">
        <f>C14</f>
        <v>46.434782608695649</v>
      </c>
      <c r="D6" s="9">
        <f>C19</f>
        <v>40</v>
      </c>
      <c r="E6" s="9">
        <f>C24</f>
        <v>41.166666666666664</v>
      </c>
      <c r="F6" s="151">
        <v>72</v>
      </c>
      <c r="G6" s="140">
        <v>40</v>
      </c>
      <c r="H6" s="141">
        <v>49</v>
      </c>
      <c r="I6" s="142">
        <v>46</v>
      </c>
      <c r="J6" s="152">
        <v>54</v>
      </c>
      <c r="K6" s="152">
        <v>43</v>
      </c>
      <c r="L6" s="152">
        <v>72</v>
      </c>
      <c r="M6" s="153">
        <v>44</v>
      </c>
      <c r="N6" s="152">
        <v>59</v>
      </c>
      <c r="O6" s="154">
        <v>54</v>
      </c>
      <c r="P6" s="152">
        <v>55</v>
      </c>
      <c r="Q6" s="155">
        <v>40</v>
      </c>
      <c r="R6" s="156">
        <v>38</v>
      </c>
      <c r="S6" s="156">
        <v>36</v>
      </c>
      <c r="T6" s="156">
        <v>41</v>
      </c>
      <c r="U6" s="63">
        <v>32</v>
      </c>
      <c r="V6" s="63">
        <v>46</v>
      </c>
      <c r="W6" s="63">
        <v>45</v>
      </c>
      <c r="X6" s="63">
        <v>36</v>
      </c>
      <c r="Y6" s="63">
        <v>46</v>
      </c>
      <c r="Z6" s="63">
        <v>50</v>
      </c>
      <c r="AA6" s="63">
        <v>46</v>
      </c>
      <c r="AB6" s="162">
        <v>24</v>
      </c>
      <c r="AC6" s="63">
        <v>34</v>
      </c>
      <c r="AF6" s="36"/>
      <c r="AG6" s="36"/>
      <c r="AH6" s="36"/>
      <c r="AI6" s="36"/>
      <c r="AJ6" s="36"/>
      <c r="AK6" s="36"/>
      <c r="AL6" s="36"/>
      <c r="AM6" s="36"/>
    </row>
    <row r="7" spans="1:39" ht="15.75" thickBot="1" x14ac:dyDescent="0.3">
      <c r="B7" s="2"/>
      <c r="C7" s="182" t="s">
        <v>15</v>
      </c>
      <c r="D7" s="183"/>
      <c r="E7" s="184"/>
      <c r="F7" t="s">
        <v>11</v>
      </c>
    </row>
    <row r="8" spans="1:39" x14ac:dyDescent="0.25">
      <c r="B8" s="2"/>
      <c r="C8" s="2"/>
    </row>
    <row r="9" spans="1:39" ht="14.45" customHeight="1" x14ac:dyDescent="0.25"/>
    <row r="10" spans="1:39" ht="15.75" thickBot="1" x14ac:dyDescent="0.3"/>
    <row r="11" spans="1:39" ht="15.75" thickTop="1" x14ac:dyDescent="0.25">
      <c r="B11" s="28" t="s">
        <v>24</v>
      </c>
      <c r="C11" s="14" t="s">
        <v>5</v>
      </c>
      <c r="D11" s="14" t="s">
        <v>6</v>
      </c>
      <c r="E11" s="15" t="s">
        <v>4</v>
      </c>
      <c r="F11" s="15" t="s">
        <v>7</v>
      </c>
      <c r="G11" s="15"/>
      <c r="H11" s="15"/>
      <c r="I11" s="16"/>
    </row>
    <row r="12" spans="1:39" x14ac:dyDescent="0.25">
      <c r="B12" s="17" t="s">
        <v>1</v>
      </c>
      <c r="C12" s="10">
        <f>AVERAGE(Overall_Overall)</f>
        <v>86.173913043478265</v>
      </c>
      <c r="D12" s="10">
        <f>MEDIAN(Overall_Overall)</f>
        <v>86</v>
      </c>
      <c r="E12" s="11">
        <f>_xlfn.STDEV.P(Overall_Overall)</f>
        <v>16.311244918002036</v>
      </c>
      <c r="F12" s="12">
        <f>E12/SQRT(COUNT(Overall_Overall))</f>
        <v>3.4011296766186332</v>
      </c>
      <c r="G12" s="13"/>
      <c r="H12" s="13"/>
      <c r="I12" s="18"/>
    </row>
    <row r="13" spans="1:39" x14ac:dyDescent="0.25">
      <c r="A13" s="31"/>
      <c r="B13" s="17" t="s">
        <v>2</v>
      </c>
      <c r="C13" s="10">
        <f>AVERAGE(Overall_AIX)</f>
        <v>39.739130434782609</v>
      </c>
      <c r="D13" s="10">
        <f>MEDIAN(Overall_AIX)</f>
        <v>39</v>
      </c>
      <c r="E13" s="11">
        <f>_xlfn.STDEV.P(Overall_AIX)</f>
        <v>11.002835173379268</v>
      </c>
      <c r="F13" s="12">
        <f>E13/SQRT(COUNT(Overall_AIX))</f>
        <v>2.2942497291437509</v>
      </c>
      <c r="G13" s="13"/>
      <c r="H13" s="13"/>
      <c r="I13" s="18"/>
    </row>
    <row r="14" spans="1:39" x14ac:dyDescent="0.25">
      <c r="A14" s="31"/>
      <c r="B14" s="17" t="s">
        <v>3</v>
      </c>
      <c r="C14" s="10">
        <f>AVERAGE(Overall_LINUX)</f>
        <v>46.434782608695649</v>
      </c>
      <c r="D14" s="10">
        <f>MEDIAN(Overall_LINUX)</f>
        <v>46</v>
      </c>
      <c r="E14" s="11">
        <f>_xlfn.STDEV.P(Overall_LINUX)</f>
        <v>11.044676415660808</v>
      </c>
      <c r="F14" s="12">
        <f>E14/SQRT(COUNT(Overall_LINUX))</f>
        <v>2.3029742312615062</v>
      </c>
      <c r="G14" s="13"/>
      <c r="H14" s="13"/>
      <c r="I14" s="18"/>
      <c r="J14" s="1"/>
    </row>
    <row r="15" spans="1:39" x14ac:dyDescent="0.25">
      <c r="A15" s="31"/>
      <c r="B15" s="23"/>
      <c r="C15" s="24"/>
      <c r="D15" s="24"/>
      <c r="E15" s="25"/>
      <c r="F15" s="26"/>
      <c r="G15" s="26"/>
      <c r="H15" s="26"/>
      <c r="I15" s="27"/>
    </row>
    <row r="16" spans="1:39" x14ac:dyDescent="0.25">
      <c r="A16" s="31"/>
      <c r="B16" s="29" t="str">
        <f xml:space="preserve"> "Last " &amp; COUNT(Period_3_AIX)</f>
        <v>Last 3</v>
      </c>
      <c r="C16" s="12" t="s">
        <v>5</v>
      </c>
      <c r="D16" s="12" t="s">
        <v>6</v>
      </c>
      <c r="E16" s="13" t="s">
        <v>4</v>
      </c>
      <c r="F16" s="13" t="s">
        <v>8</v>
      </c>
      <c r="G16" s="13" t="s">
        <v>9</v>
      </c>
      <c r="H16" s="13" t="s">
        <v>12</v>
      </c>
      <c r="I16" s="18"/>
      <c r="M16">
        <f>COUNT(Period_6_OverAll)</f>
        <v>6</v>
      </c>
    </row>
    <row r="17" spans="1:16" x14ac:dyDescent="0.25">
      <c r="B17" s="17" t="s">
        <v>1</v>
      </c>
      <c r="C17" s="10">
        <f>AVERAGE(Period_3_Overall)</f>
        <v>72</v>
      </c>
      <c r="D17" s="10">
        <f>MEDIAN(Period_3_Overall)</f>
        <v>72</v>
      </c>
      <c r="E17" s="11">
        <f>_xlfn.STDEV.P(Period_3_Overall)</f>
        <v>11.430952132988164</v>
      </c>
      <c r="F17" s="12">
        <f t="shared" ref="F17:F19" si="3">ROUNDDOWN(D17-E17,0)</f>
        <v>60</v>
      </c>
      <c r="G17" s="12">
        <f>ROUNDUP(D17+E17,0)</f>
        <v>84</v>
      </c>
      <c r="H17" s="65">
        <f>(1-E17/D17)</f>
        <v>0.84123677593071999</v>
      </c>
      <c r="I17" s="18" t="str">
        <f>IF(H17&gt;=0.9,"High", IF(H17&gt;=0.75, "Medium", IF(H17&gt;=0.6, "Low","None")))</f>
        <v>Medium</v>
      </c>
    </row>
    <row r="18" spans="1:16" x14ac:dyDescent="0.25">
      <c r="A18" s="31"/>
      <c r="B18" s="17" t="s">
        <v>2</v>
      </c>
      <c r="C18" s="10">
        <f>AVERAGE(Period_3_AIX)</f>
        <v>32</v>
      </c>
      <c r="D18" s="10">
        <f>MEDIAN(Period_3_AIX)</f>
        <v>34</v>
      </c>
      <c r="E18" s="11">
        <f>_xlfn.STDEV.P(Period_3_AIX)</f>
        <v>4.3204937989385739</v>
      </c>
      <c r="F18" s="12">
        <f t="shared" si="3"/>
        <v>29</v>
      </c>
      <c r="G18" s="12">
        <f t="shared" ref="G18:G19" si="4">ROUNDUP(D18+E18,0)</f>
        <v>39</v>
      </c>
      <c r="H18" s="65">
        <f t="shared" ref="H18:H19" si="5">(1-E18/D18)</f>
        <v>0.87292665297239491</v>
      </c>
      <c r="I18" s="18" t="str">
        <f>IF(H18&gt;=0.9,"High", IF(H18&gt;=0.75, "Medium", IF(H18&gt;=0.6, "Low","None")))</f>
        <v>Medium</v>
      </c>
    </row>
    <row r="19" spans="1:16" x14ac:dyDescent="0.25">
      <c r="A19" s="31"/>
      <c r="B19" s="17" t="s">
        <v>3</v>
      </c>
      <c r="C19" s="10">
        <f>AVERAGE(Period_3_LINUX)</f>
        <v>40</v>
      </c>
      <c r="D19" s="10">
        <f>MEDIAN(Period_3_LINUX)</f>
        <v>46</v>
      </c>
      <c r="E19" s="11">
        <f>_xlfn.STDEV.P(Period_3_LINUX)</f>
        <v>11.430952132988164</v>
      </c>
      <c r="F19" s="12">
        <f t="shared" si="3"/>
        <v>34</v>
      </c>
      <c r="G19" s="12">
        <f t="shared" si="4"/>
        <v>58</v>
      </c>
      <c r="H19" s="65">
        <f t="shared" si="5"/>
        <v>0.75150104058721379</v>
      </c>
      <c r="I19" s="18" t="str">
        <f>IF(H19&gt;=0.9,"High", IF(H19&gt;=0.75, "Medium", IF(H19&gt;=0.6, "Low","None")))</f>
        <v>Medium</v>
      </c>
    </row>
    <row r="20" spans="1:16" x14ac:dyDescent="0.25">
      <c r="A20" s="31"/>
      <c r="B20" s="23"/>
      <c r="C20" s="26"/>
      <c r="D20" s="26"/>
      <c r="E20" s="26"/>
      <c r="F20" s="26"/>
      <c r="G20" s="26"/>
      <c r="H20" s="26"/>
      <c r="I20" s="27"/>
      <c r="L20" t="s">
        <v>28</v>
      </c>
      <c r="M20" t="s">
        <v>29</v>
      </c>
      <c r="N20" t="s">
        <v>30</v>
      </c>
    </row>
    <row r="21" spans="1:16" x14ac:dyDescent="0.25">
      <c r="A21" s="31"/>
      <c r="B21" s="29" t="str">
        <f>"Last " &amp; COUNT(Period_6_AIX)</f>
        <v>Last 6</v>
      </c>
      <c r="C21" s="12" t="s">
        <v>5</v>
      </c>
      <c r="D21" s="12" t="s">
        <v>6</v>
      </c>
      <c r="E21" s="13" t="s">
        <v>4</v>
      </c>
      <c r="F21" s="13" t="s">
        <v>8</v>
      </c>
      <c r="G21" s="13" t="s">
        <v>9</v>
      </c>
      <c r="H21" s="13" t="s">
        <v>12</v>
      </c>
      <c r="I21" s="18"/>
    </row>
    <row r="22" spans="1:16" x14ac:dyDescent="0.25">
      <c r="B22" s="17" t="s">
        <v>1</v>
      </c>
      <c r="C22" s="10">
        <f>AVERAGE(Period_6_OverAll)</f>
        <v>77</v>
      </c>
      <c r="D22" s="10">
        <f>MEDIAN(Period_6_OverAll)</f>
        <v>78.5</v>
      </c>
      <c r="E22" s="11">
        <f>_xlfn.STDEV.P(Period_6_OverAll)</f>
        <v>10.230672835481871</v>
      </c>
      <c r="F22" s="12">
        <f>ROUNDDOWN(D22-E22,0)</f>
        <v>68</v>
      </c>
      <c r="G22" s="12">
        <f t="shared" ref="G22:G24" si="6">ROUNDUP(D22+E22,0)</f>
        <v>89</v>
      </c>
      <c r="H22" s="65">
        <f t="shared" ref="H22:H23" si="7">(1-E22/D22)</f>
        <v>0.86967295750978513</v>
      </c>
      <c r="I22" s="18" t="str">
        <f>IF(H22&gt;=0.9,"High", IF(H22&gt;=0.75, "Medium", IF(H22&gt;=0.6, "Low","None")))</f>
        <v>Medium</v>
      </c>
      <c r="L22">
        <f>(1-E22/D22)</f>
        <v>0.86967295750978513</v>
      </c>
      <c r="M22">
        <f>E22/(SQRT(COUNT(Period_6_OverAll)))</f>
        <v>4.1766546953805559</v>
      </c>
      <c r="N22" s="1">
        <f>1-(M22/D22)</f>
        <v>0.9467942077021585</v>
      </c>
    </row>
    <row r="23" spans="1:16" x14ac:dyDescent="0.25">
      <c r="A23" s="31"/>
      <c r="B23" s="17" t="s">
        <v>2</v>
      </c>
      <c r="C23" s="10">
        <f>AVERAGE(Period_6_AIX)</f>
        <v>35.833333333333336</v>
      </c>
      <c r="D23" s="10">
        <f>MEDIAN(Period_6_AIX)</f>
        <v>35</v>
      </c>
      <c r="E23" s="11">
        <f>_xlfn.STDEV.P(Period_6_AIX)</f>
        <v>6.8900088695314627</v>
      </c>
      <c r="F23" s="12">
        <f t="shared" ref="F23:F24" si="8">ROUNDDOWN(D23-E23,0)</f>
        <v>28</v>
      </c>
      <c r="G23" s="12">
        <f t="shared" si="6"/>
        <v>42</v>
      </c>
      <c r="H23" s="65">
        <f t="shared" si="7"/>
        <v>0.80314260372767254</v>
      </c>
      <c r="I23" s="18" t="str">
        <f>IF(H23&gt;=0.9,"High", IF(H23&gt;=0.75, "Medium", IF(H23&gt;=0.6, "Low","None")))</f>
        <v>Medium</v>
      </c>
      <c r="L23">
        <f t="shared" ref="L23:L24" si="9">(1-E23/D23)</f>
        <v>0.80314260372767254</v>
      </c>
      <c r="M23">
        <f>E23/(SQRT(COUNT(Period_6_OverAll)))</f>
        <v>2.8128343422670734</v>
      </c>
      <c r="N23" s="1">
        <f>1-(M23/D23)</f>
        <v>0.91963330450665504</v>
      </c>
    </row>
    <row r="24" spans="1:16" ht="15.75" thickBot="1" x14ac:dyDescent="0.3">
      <c r="A24" s="31"/>
      <c r="B24" s="19" t="s">
        <v>3</v>
      </c>
      <c r="C24" s="20">
        <f>AVERAGE(Period_6_LINUX)</f>
        <v>41.166666666666664</v>
      </c>
      <c r="D24" s="20">
        <f>MEDIAN(Period_6_LINUX)</f>
        <v>45.5</v>
      </c>
      <c r="E24" s="21">
        <f>_xlfn.STDEV.P(Period_6_LINUX)</f>
        <v>8.7638778834232713</v>
      </c>
      <c r="F24" s="22">
        <f t="shared" si="8"/>
        <v>36</v>
      </c>
      <c r="G24" s="22">
        <f t="shared" si="6"/>
        <v>55</v>
      </c>
      <c r="H24" s="66">
        <f>(1-E24/D24)</f>
        <v>0.80738729926542263</v>
      </c>
      <c r="I24" s="67" t="str">
        <f>IF(H24&gt;=0.9,"High", IF(H24&gt;=0.75, "Medium", IF(H24&gt;=0.6, "Low","None")))</f>
        <v>Medium</v>
      </c>
      <c r="L24">
        <f t="shared" si="9"/>
        <v>0.80738729926542263</v>
      </c>
      <c r="M24">
        <f>E24/(SQRT(COUNT(Period_6_OverAll)))</f>
        <v>3.577838163741609</v>
      </c>
      <c r="N24" s="1">
        <f>1-(M24/D24)</f>
        <v>0.92136619420348109</v>
      </c>
    </row>
    <row r="25" spans="1:16" ht="16.5" thickTop="1" thickBot="1" x14ac:dyDescent="0.3">
      <c r="A25" s="31"/>
      <c r="B25" s="13"/>
      <c r="C25" s="10"/>
      <c r="D25" s="10"/>
      <c r="E25" s="11"/>
      <c r="F25" s="10"/>
      <c r="G25" s="12"/>
      <c r="H25" s="12"/>
      <c r="I25" s="65"/>
    </row>
    <row r="26" spans="1:16" ht="16.5" thickTop="1" thickBot="1" x14ac:dyDescent="0.3">
      <c r="A26" s="31"/>
      <c r="B26" s="185" t="s">
        <v>25</v>
      </c>
      <c r="C26" s="186"/>
      <c r="D26" s="186"/>
      <c r="E26" s="186"/>
      <c r="F26" s="186"/>
      <c r="G26" s="186"/>
      <c r="H26" s="186"/>
      <c r="I26" s="187"/>
    </row>
    <row r="27" spans="1:16" ht="16.5" thickTop="1" thickBot="1" x14ac:dyDescent="0.3">
      <c r="B27" s="33"/>
      <c r="C27" s="34" t="s">
        <v>16</v>
      </c>
      <c r="D27" s="54" t="s">
        <v>20</v>
      </c>
      <c r="E27" s="34" t="s">
        <v>17</v>
      </c>
      <c r="F27" s="54" t="s">
        <v>20</v>
      </c>
      <c r="G27" s="34" t="s">
        <v>18</v>
      </c>
      <c r="H27" s="43" t="s">
        <v>21</v>
      </c>
      <c r="I27" s="44" t="s">
        <v>22</v>
      </c>
    </row>
    <row r="28" spans="1:16" ht="15.75" thickTop="1" x14ac:dyDescent="0.25">
      <c r="B28" s="35" t="s">
        <v>2</v>
      </c>
      <c r="C28" s="119"/>
      <c r="D28" s="37">
        <f>IF(C28=0,0,IF(C23-MOD(C28,$C23)&lt;=E28,C23-MOD(C28,$C23),E28))</f>
        <v>0</v>
      </c>
      <c r="E28" s="119">
        <v>226</v>
      </c>
      <c r="F28" s="37">
        <f>IF(E28=0,0,IF(C23-MOD(E28-D28,$C23)&lt;=G28,C23-MOD(E28-D28,$C23),G28))</f>
        <v>0</v>
      </c>
      <c r="G28" s="119">
        <v>0</v>
      </c>
      <c r="H28" s="46">
        <f>SUM(G29,E29,C29)</f>
        <v>7</v>
      </c>
      <c r="I28" s="45">
        <f>IF(G28=F28=0,0,IF( G28&gt;0,C23-MOD(G28-F28,C23),IF(E28&gt;0,C23-MOD(E28-D28,C23),C23-MOD(C28,C23))))</f>
        <v>24.83333333333335</v>
      </c>
      <c r="L28" s="64"/>
      <c r="M28" s="64"/>
      <c r="N28" s="64"/>
      <c r="O28" s="64"/>
      <c r="P28" s="64"/>
    </row>
    <row r="29" spans="1:16" x14ac:dyDescent="0.25">
      <c r="B29" s="51" t="s">
        <v>19</v>
      </c>
      <c r="C29" s="39">
        <f>_xlfn.CEILING.MATH(C28/$C23,1,0)</f>
        <v>0</v>
      </c>
      <c r="D29" s="120">
        <f>E28-D28</f>
        <v>226</v>
      </c>
      <c r="E29" s="39">
        <f>_xlfn.CEILING.MATH((E28-D28)/$C23,1,0)</f>
        <v>7</v>
      </c>
      <c r="F29" s="120">
        <f>G28-F28</f>
        <v>0</v>
      </c>
      <c r="G29" s="39">
        <f>_xlfn.CEILING.MATH((G28-F28)/$C23,1,0)</f>
        <v>0</v>
      </c>
      <c r="H29" s="47"/>
      <c r="I29" s="48"/>
      <c r="L29" s="64"/>
      <c r="M29" s="64"/>
      <c r="N29" s="64"/>
      <c r="O29" s="64"/>
      <c r="P29" s="64"/>
    </row>
    <row r="30" spans="1:16" x14ac:dyDescent="0.25">
      <c r="B30" s="35" t="s">
        <v>3</v>
      </c>
      <c r="C30" s="119">
        <v>0</v>
      </c>
      <c r="D30" s="37">
        <f>IF(C30=0,0,IF(C24-MOD(C30,$C24)&lt;=E30,C24-MOD(C30,$C24),E30))</f>
        <v>0</v>
      </c>
      <c r="E30" s="119">
        <v>68</v>
      </c>
      <c r="F30" s="37">
        <f>IF(E30=0,0,IF(C24-MOD(E30-D30,$C24)&lt;=G30,C24-MOD(E30-D30,$C24),G30))</f>
        <v>0</v>
      </c>
      <c r="G30" s="119">
        <v>0</v>
      </c>
      <c r="H30" s="46">
        <f>SUM(G31,E31,C31)</f>
        <v>2</v>
      </c>
      <c r="I30" s="38">
        <f>IF(G30=F30=0,0,IF( G30&gt;0,C24-MOD(G30-F30,C24),IF(E30&gt;0,C24-MOD(E30-D30,C24),C24-MOD(C30,C24))))</f>
        <v>14.333333333333329</v>
      </c>
      <c r="L30" s="64"/>
      <c r="M30" s="64"/>
      <c r="N30" s="64"/>
      <c r="O30" s="64"/>
      <c r="P30" s="64"/>
    </row>
    <row r="31" spans="1:16" ht="15.75" thickBot="1" x14ac:dyDescent="0.3">
      <c r="B31" s="52" t="s">
        <v>19</v>
      </c>
      <c r="C31" s="41">
        <f>_xlfn.CEILING.MATH(C30/$C24,1,0)</f>
        <v>0</v>
      </c>
      <c r="D31" s="120">
        <f>E30-D30</f>
        <v>68</v>
      </c>
      <c r="E31" s="41">
        <f>_xlfn.CEILING.MATH((E30-D30)/$C24,1,0)</f>
        <v>2</v>
      </c>
      <c r="F31" s="120">
        <f>G30-F30</f>
        <v>0</v>
      </c>
      <c r="G31" s="41">
        <f>_xlfn.CEILING.MATH((G30-F30)/$C24,1,0)</f>
        <v>0</v>
      </c>
      <c r="H31" s="49"/>
      <c r="I31" s="50"/>
      <c r="L31" s="64"/>
    </row>
    <row r="32" spans="1:16" ht="15.75" thickTop="1" x14ac:dyDescent="0.25">
      <c r="D32" s="53" t="s">
        <v>23</v>
      </c>
      <c r="F32" s="53" t="s">
        <v>23</v>
      </c>
    </row>
    <row r="36" spans="6:6" x14ac:dyDescent="0.25">
      <c r="F36" s="2"/>
    </row>
  </sheetData>
  <sheetProtection sheet="1" objects="1" scenarios="1" selectLockedCells="1"/>
  <dataConsolidate/>
  <mergeCells count="4">
    <mergeCell ref="C2:E2"/>
    <mergeCell ref="C7:E7"/>
    <mergeCell ref="B26:I26"/>
    <mergeCell ref="F2:AB2"/>
  </mergeCells>
  <conditionalFormatting sqref="I25">
    <cfRule type="expression" dxfId="989" priority="51" stopIfTrue="1">
      <formula>IF(I25&gt;=0.9,TRUE, FALSE)</formula>
    </cfRule>
    <cfRule type="expression" dxfId="988" priority="52" stopIfTrue="1">
      <formula>IF(I25&gt;0.75,TRUE,FALSE)</formula>
    </cfRule>
    <cfRule type="expression" dxfId="987" priority="53">
      <formula>IF(I25&gt;0.6, TRUE, FALSE)</formula>
    </cfRule>
  </conditionalFormatting>
  <conditionalFormatting sqref="H17:H19">
    <cfRule type="expression" dxfId="986" priority="48" stopIfTrue="1">
      <formula>IF(H17&gt;=0.9,TRUE, FALSE)</formula>
    </cfRule>
    <cfRule type="expression" dxfId="985" priority="49" stopIfTrue="1">
      <formula>IF(H17&gt;0.75,TRUE,FALSE)</formula>
    </cfRule>
    <cfRule type="expression" dxfId="984" priority="50">
      <formula>IF(H17&gt;0.6, TRUE, FALSE)</formula>
    </cfRule>
  </conditionalFormatting>
  <conditionalFormatting sqref="H24">
    <cfRule type="expression" dxfId="983" priority="43" stopIfTrue="1">
      <formula>IF(H24&gt;=0.9,TRUE, FALSE)</formula>
    </cfRule>
    <cfRule type="expression" dxfId="982" priority="44" stopIfTrue="1">
      <formula>IF(H24&gt;0.75,TRUE,FALSE)</formula>
    </cfRule>
    <cfRule type="expression" dxfId="981" priority="45">
      <formula>IF(H24&gt;0.6, TRUE, FALSE)</formula>
    </cfRule>
  </conditionalFormatting>
  <conditionalFormatting sqref="I28 I30">
    <cfRule type="expression" dxfId="980" priority="63">
      <formula>$I$28=$C$23</formula>
    </cfRule>
  </conditionalFormatting>
  <conditionalFormatting sqref="F12">
    <cfRule type="expression" dxfId="979" priority="22" stopIfTrue="1">
      <formula>F12/C12 &gt;0.3</formula>
    </cfRule>
    <cfRule type="expression" dxfId="978" priority="27" stopIfTrue="1">
      <formula>F12/C12&lt;=0.1</formula>
    </cfRule>
    <cfRule type="expression" dxfId="977" priority="28">
      <formula>F12/C12&lt;=0.2</formula>
    </cfRule>
  </conditionalFormatting>
  <conditionalFormatting sqref="F13:F14">
    <cfRule type="expression" dxfId="976" priority="16" stopIfTrue="1">
      <formula>F13/C13 &gt;0.3</formula>
    </cfRule>
    <cfRule type="expression" dxfId="975" priority="17" stopIfTrue="1">
      <formula>F13/C13&lt;=0.1</formula>
    </cfRule>
    <cfRule type="expression" dxfId="974" priority="18">
      <formula>F13/C13&lt;=0.2</formula>
    </cfRule>
  </conditionalFormatting>
  <conditionalFormatting sqref="F4:AC6">
    <cfRule type="expression" dxfId="973" priority="64">
      <formula>IF(F4 &gt;$G17, TRUE, FALSE)</formula>
    </cfRule>
    <cfRule type="expression" dxfId="972" priority="65">
      <formula>IF(F4&lt;$F17, TRUE, FALSE)</formula>
    </cfRule>
  </conditionalFormatting>
  <conditionalFormatting sqref="H22:H23">
    <cfRule type="expression" dxfId="971" priority="13" stopIfTrue="1">
      <formula>IF(H22&gt;=0.9,TRUE, FALSE)</formula>
    </cfRule>
    <cfRule type="expression" dxfId="970" priority="14" stopIfTrue="1">
      <formula>IF(H22&gt;0.75,TRUE,FALSE)</formula>
    </cfRule>
    <cfRule type="expression" dxfId="969" priority="15">
      <formula>IF(H22&gt;0.6, TRUE, FALSE)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InsertColumn">
                <anchor moveWithCells="1" sizeWithCells="1">
                  <from>
                    <xdr:col>1</xdr:col>
                    <xdr:colOff>581025</xdr:colOff>
                    <xdr:row>7</xdr:row>
                    <xdr:rowOff>66675</xdr:rowOff>
                  </from>
                  <to>
                    <xdr:col>4</xdr:col>
                    <xdr:colOff>561975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resetAverageData">
                <anchor moveWithCells="1" sizeWithCells="1">
                  <from>
                    <xdr:col>7</xdr:col>
                    <xdr:colOff>38100</xdr:colOff>
                    <xdr:row>10</xdr:row>
                    <xdr:rowOff>171450</xdr:rowOff>
                  </from>
                  <to>
                    <xdr:col>8</xdr:col>
                    <xdr:colOff>685800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eleteLastColumn">
                <anchor moveWithCells="1" sizeWithCells="1">
                  <from>
                    <xdr:col>6</xdr:col>
                    <xdr:colOff>219075</xdr:colOff>
                    <xdr:row>7</xdr:row>
                    <xdr:rowOff>66675</xdr:rowOff>
                  </from>
                  <to>
                    <xdr:col>8</xdr:col>
                    <xdr:colOff>714375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Q36"/>
  <sheetViews>
    <sheetView tabSelected="1" zoomScale="90" zoomScaleNormal="90" workbookViewId="0">
      <selection activeCell="AA8" sqref="AA8"/>
    </sheetView>
  </sheetViews>
  <sheetFormatPr defaultRowHeight="15" x14ac:dyDescent="0.25"/>
  <cols>
    <col min="2" max="2" width="9.7109375" bestFit="1" customWidth="1"/>
    <col min="5" max="5" width="10" customWidth="1"/>
    <col min="6" max="6" width="9.28515625" customWidth="1"/>
    <col min="7" max="7" width="10" customWidth="1"/>
    <col min="8" max="8" width="10.28515625" bestFit="1" customWidth="1"/>
    <col min="9" max="9" width="11" customWidth="1"/>
    <col min="11" max="11" width="9.140625" customWidth="1"/>
  </cols>
  <sheetData>
    <row r="1" spans="1:43" ht="16.5" thickTop="1" thickBot="1" x14ac:dyDescent="0.3">
      <c r="F1" s="190" t="s">
        <v>13</v>
      </c>
      <c r="G1" s="191"/>
      <c r="H1" s="192"/>
      <c r="L1" s="13"/>
      <c r="M1" s="13"/>
      <c r="N1" s="13"/>
      <c r="O1" s="13"/>
      <c r="P1" s="13"/>
      <c r="Q1" s="13"/>
      <c r="R1" s="13"/>
      <c r="S1" s="13"/>
      <c r="T1" s="13"/>
    </row>
    <row r="2" spans="1:43" ht="15" customHeight="1" thickBot="1" x14ac:dyDescent="0.3">
      <c r="C2" s="179" t="s">
        <v>10</v>
      </c>
      <c r="D2" s="180"/>
      <c r="E2" s="181"/>
      <c r="F2" s="193" t="s">
        <v>0</v>
      </c>
      <c r="G2" s="194"/>
      <c r="H2" s="194"/>
      <c r="I2" s="194"/>
      <c r="J2" s="194"/>
      <c r="L2" s="13"/>
      <c r="M2" s="13"/>
      <c r="N2" s="32"/>
      <c r="O2" s="32"/>
      <c r="P2" s="32"/>
      <c r="Q2" s="32"/>
      <c r="R2" s="32"/>
      <c r="S2" s="13"/>
      <c r="T2" s="13"/>
    </row>
    <row r="3" spans="1:43" ht="15.75" thickBot="1" x14ac:dyDescent="0.3">
      <c r="B3" s="5"/>
      <c r="C3" s="55" t="str">
        <f>CV_Entirety_Label</f>
        <v>Beginning</v>
      </c>
      <c r="D3" s="56" t="str">
        <f>CV_Last3Period_Label</f>
        <v>Last 3</v>
      </c>
      <c r="E3" s="57" t="str">
        <f>CV_Last6Period_Label</f>
        <v>Last 6</v>
      </c>
      <c r="F3" s="77" t="s">
        <v>55</v>
      </c>
      <c r="G3" s="75" t="s">
        <v>51</v>
      </c>
      <c r="H3" s="75" t="s">
        <v>52</v>
      </c>
      <c r="I3" s="75" t="s">
        <v>53</v>
      </c>
      <c r="J3" s="78" t="s">
        <v>54</v>
      </c>
      <c r="K3" s="78" t="s">
        <v>238</v>
      </c>
      <c r="L3" s="110" t="s">
        <v>312</v>
      </c>
      <c r="M3" s="110" t="s">
        <v>372</v>
      </c>
      <c r="N3" s="110" t="s">
        <v>534</v>
      </c>
      <c r="O3" s="110" t="s">
        <v>551</v>
      </c>
      <c r="P3" s="133" t="s">
        <v>806</v>
      </c>
      <c r="Q3" s="133" t="s">
        <v>807</v>
      </c>
      <c r="R3" s="133" t="s">
        <v>808</v>
      </c>
      <c r="S3" s="133" t="s">
        <v>876</v>
      </c>
      <c r="T3" s="110" t="s">
        <v>949</v>
      </c>
      <c r="U3" s="110" t="s">
        <v>1044</v>
      </c>
      <c r="V3" s="110" t="s">
        <v>1109</v>
      </c>
      <c r="W3" s="110" t="s">
        <v>1110</v>
      </c>
      <c r="X3" s="110" t="s">
        <v>1250</v>
      </c>
      <c r="Y3" s="166" t="s">
        <v>1251</v>
      </c>
      <c r="Z3" s="166" t="s">
        <v>1374</v>
      </c>
      <c r="AA3" s="166" t="s">
        <v>1375</v>
      </c>
      <c r="AD3" s="13"/>
      <c r="AE3" s="32"/>
      <c r="AF3" s="32"/>
      <c r="AG3" s="32"/>
      <c r="AH3" s="32"/>
      <c r="AI3" s="32"/>
      <c r="AJ3" s="13"/>
      <c r="AK3" s="13"/>
      <c r="AL3" s="13"/>
    </row>
    <row r="4" spans="1:43" s="3" customFormat="1" ht="12.6" customHeight="1" thickTop="1" thickBot="1" x14ac:dyDescent="0.3">
      <c r="A4" s="3" t="s">
        <v>14</v>
      </c>
      <c r="B4" s="6" t="s">
        <v>1</v>
      </c>
      <c r="C4" s="7">
        <f>C12</f>
        <v>86.904761904761898</v>
      </c>
      <c r="D4" s="4">
        <f>C17</f>
        <v>80.666666666666671</v>
      </c>
      <c r="E4" s="4">
        <f>C22</f>
        <v>83.666666666666671</v>
      </c>
      <c r="F4" s="76">
        <f>SUM(F5:F6)</f>
        <v>64</v>
      </c>
      <c r="G4" s="59">
        <f>SUM(G5:G6)</f>
        <v>54</v>
      </c>
      <c r="H4" s="59">
        <f>SUM(H5:H6)</f>
        <v>75</v>
      </c>
      <c r="I4" s="60">
        <f>SUM(I5:I6)</f>
        <v>79</v>
      </c>
      <c r="J4" s="60">
        <f t="shared" ref="J4" si="0">SUM(J5:J6)</f>
        <v>104</v>
      </c>
      <c r="K4" s="60">
        <f t="shared" ref="K4:AA4" si="1">SUM(K5:K6)</f>
        <v>56</v>
      </c>
      <c r="L4" s="60">
        <f t="shared" si="1"/>
        <v>85</v>
      </c>
      <c r="M4" s="60">
        <f t="shared" si="1"/>
        <v>94</v>
      </c>
      <c r="N4" s="60">
        <f t="shared" si="1"/>
        <v>99</v>
      </c>
      <c r="O4" s="60">
        <f t="shared" si="1"/>
        <v>102</v>
      </c>
      <c r="P4" s="60">
        <f t="shared" si="1"/>
        <v>106</v>
      </c>
      <c r="Q4" s="60">
        <f t="shared" si="1"/>
        <v>114</v>
      </c>
      <c r="R4" s="60">
        <f t="shared" si="1"/>
        <v>103</v>
      </c>
      <c r="S4" s="60">
        <f t="shared" si="1"/>
        <v>96</v>
      </c>
      <c r="T4" s="60">
        <f t="shared" si="1"/>
        <v>92</v>
      </c>
      <c r="U4" s="60">
        <f t="shared" si="1"/>
        <v>86</v>
      </c>
      <c r="V4" s="60">
        <f t="shared" si="1"/>
        <v>85</v>
      </c>
      <c r="W4" s="60">
        <f t="shared" si="1"/>
        <v>89</v>
      </c>
      <c r="X4" s="60">
        <f t="shared" si="1"/>
        <v>97</v>
      </c>
      <c r="Y4" s="60">
        <f t="shared" si="1"/>
        <v>78</v>
      </c>
      <c r="Z4" s="60">
        <f t="shared" si="1"/>
        <v>67</v>
      </c>
      <c r="AA4" s="60">
        <f t="shared" si="1"/>
        <v>60</v>
      </c>
      <c r="AD4" s="36"/>
      <c r="AE4" s="32"/>
      <c r="AF4" s="32"/>
      <c r="AG4" s="32"/>
      <c r="AH4" s="32"/>
      <c r="AI4" s="32"/>
      <c r="AJ4" s="36"/>
      <c r="AK4" s="36"/>
      <c r="AL4" s="36"/>
      <c r="AO4" s="98"/>
      <c r="AP4" s="31" t="s">
        <v>242</v>
      </c>
      <c r="AQ4" s="31"/>
    </row>
    <row r="5" spans="1:43" s="3" customFormat="1" ht="12.75" thickBot="1" x14ac:dyDescent="0.3">
      <c r="B5" s="6" t="s">
        <v>2</v>
      </c>
      <c r="C5" s="7">
        <f>C13</f>
        <v>41.61904761904762</v>
      </c>
      <c r="D5" s="4">
        <f>C18</f>
        <v>36</v>
      </c>
      <c r="E5" s="4">
        <f>C23</f>
        <v>40.166666666666664</v>
      </c>
      <c r="F5" s="134">
        <v>34</v>
      </c>
      <c r="G5" s="135">
        <v>21</v>
      </c>
      <c r="H5" s="135">
        <v>23</v>
      </c>
      <c r="I5" s="136">
        <v>40</v>
      </c>
      <c r="J5" s="137">
        <v>47</v>
      </c>
      <c r="K5" s="137">
        <v>21</v>
      </c>
      <c r="L5" s="137">
        <v>38</v>
      </c>
      <c r="M5" s="137">
        <v>43</v>
      </c>
      <c r="N5" s="137">
        <v>55</v>
      </c>
      <c r="O5" s="137">
        <v>58</v>
      </c>
      <c r="P5" s="138">
        <v>55</v>
      </c>
      <c r="Q5" s="138">
        <v>58</v>
      </c>
      <c r="R5" s="138">
        <v>54</v>
      </c>
      <c r="S5" s="131">
        <v>47</v>
      </c>
      <c r="T5" s="157">
        <v>39</v>
      </c>
      <c r="U5" s="157">
        <v>44</v>
      </c>
      <c r="V5" s="157">
        <v>48</v>
      </c>
      <c r="W5" s="157">
        <v>41</v>
      </c>
      <c r="X5" s="157">
        <v>43</v>
      </c>
      <c r="Y5" s="164">
        <v>34</v>
      </c>
      <c r="Z5" s="164">
        <v>31</v>
      </c>
      <c r="AA5" s="164">
        <v>32</v>
      </c>
      <c r="AD5" s="36"/>
      <c r="AE5" s="36"/>
      <c r="AF5" s="36"/>
      <c r="AG5" s="36"/>
      <c r="AH5" s="36"/>
      <c r="AI5" s="36"/>
      <c r="AJ5" s="36"/>
      <c r="AK5" s="36"/>
      <c r="AL5" s="36"/>
      <c r="AO5" s="36"/>
    </row>
    <row r="6" spans="1:43" s="3" customFormat="1" ht="12.75" thickBot="1" x14ac:dyDescent="0.3">
      <c r="B6" s="30" t="s">
        <v>3</v>
      </c>
      <c r="C6" s="8">
        <f>C14</f>
        <v>45.285714285714285</v>
      </c>
      <c r="D6" s="9">
        <f>C19</f>
        <v>44.666666666666664</v>
      </c>
      <c r="E6" s="9">
        <f>C24</f>
        <v>43.5</v>
      </c>
      <c r="F6" s="139">
        <v>30</v>
      </c>
      <c r="G6" s="140">
        <v>33</v>
      </c>
      <c r="H6" s="141">
        <v>52</v>
      </c>
      <c r="I6" s="142">
        <v>39</v>
      </c>
      <c r="J6" s="143">
        <v>57</v>
      </c>
      <c r="K6" s="143">
        <v>35</v>
      </c>
      <c r="L6" s="143">
        <v>47</v>
      </c>
      <c r="M6" s="143">
        <v>51</v>
      </c>
      <c r="N6" s="143">
        <v>44</v>
      </c>
      <c r="O6" s="143">
        <v>44</v>
      </c>
      <c r="P6" s="144">
        <v>51</v>
      </c>
      <c r="Q6" s="144">
        <v>56</v>
      </c>
      <c r="R6" s="144">
        <v>49</v>
      </c>
      <c r="S6" s="132">
        <v>49</v>
      </c>
      <c r="T6" s="158">
        <v>53</v>
      </c>
      <c r="U6" s="158">
        <v>42</v>
      </c>
      <c r="V6" s="158">
        <v>37</v>
      </c>
      <c r="W6" s="158">
        <v>48</v>
      </c>
      <c r="X6" s="158">
        <v>54</v>
      </c>
      <c r="Y6" s="165">
        <v>44</v>
      </c>
      <c r="Z6" s="165">
        <v>36</v>
      </c>
      <c r="AA6" s="165">
        <v>28</v>
      </c>
      <c r="AD6" s="36"/>
      <c r="AE6" s="36"/>
      <c r="AF6" s="36"/>
      <c r="AG6" s="36"/>
      <c r="AH6" s="36"/>
      <c r="AI6" s="36"/>
      <c r="AJ6" s="36"/>
      <c r="AK6" s="36"/>
      <c r="AL6" s="36"/>
      <c r="AO6" s="36"/>
      <c r="AP6" s="3" t="s">
        <v>2</v>
      </c>
      <c r="AQ6" s="3" t="s">
        <v>3</v>
      </c>
    </row>
    <row r="7" spans="1:43" ht="15.75" thickBot="1" x14ac:dyDescent="0.3">
      <c r="B7" s="2"/>
      <c r="C7" s="182" t="s">
        <v>15</v>
      </c>
      <c r="D7" s="183"/>
      <c r="E7" s="184"/>
      <c r="F7" t="s">
        <v>11</v>
      </c>
      <c r="Y7" s="100" t="s">
        <v>243</v>
      </c>
      <c r="Z7" s="101">
        <v>142</v>
      </c>
      <c r="AA7" s="101">
        <v>88</v>
      </c>
      <c r="AB7" s="31"/>
      <c r="AC7" s="31"/>
      <c r="AD7" s="31"/>
    </row>
    <row r="8" spans="1:43" x14ac:dyDescent="0.25">
      <c r="B8" s="2"/>
      <c r="C8" s="2"/>
      <c r="Y8" s="31" t="s">
        <v>136</v>
      </c>
      <c r="Z8" s="103">
        <v>42</v>
      </c>
      <c r="AA8" s="103">
        <v>41</v>
      </c>
      <c r="AB8" s="31"/>
      <c r="AC8" s="31"/>
      <c r="AD8" s="31"/>
    </row>
    <row r="9" spans="1:43" ht="14.45" customHeight="1" x14ac:dyDescent="0.25">
      <c r="Y9" s="99" t="s">
        <v>41</v>
      </c>
      <c r="Z9" s="99">
        <f>+Z10-Z7+Z8</f>
        <v>30</v>
      </c>
      <c r="AA9" s="99">
        <f>+AA10-AA7+AA8</f>
        <v>73</v>
      </c>
      <c r="AB9" s="31"/>
      <c r="AC9" s="31"/>
      <c r="AD9" s="31"/>
    </row>
    <row r="10" spans="1:43" ht="15.75" thickBot="1" x14ac:dyDescent="0.3">
      <c r="Y10" s="102" t="s">
        <v>244</v>
      </c>
      <c r="Z10" s="104">
        <v>130</v>
      </c>
      <c r="AA10" s="104">
        <v>120</v>
      </c>
      <c r="AB10" s="31"/>
      <c r="AC10" s="31"/>
      <c r="AD10" s="31"/>
    </row>
    <row r="11" spans="1:43" ht="15.75" thickTop="1" x14ac:dyDescent="0.25">
      <c r="B11" s="28" t="s">
        <v>24</v>
      </c>
      <c r="C11" s="14" t="s">
        <v>5</v>
      </c>
      <c r="D11" s="14" t="s">
        <v>6</v>
      </c>
      <c r="E11" s="15" t="s">
        <v>4</v>
      </c>
      <c r="F11" s="15" t="s">
        <v>7</v>
      </c>
      <c r="G11" s="15"/>
      <c r="H11" s="15"/>
      <c r="I11" s="16"/>
      <c r="Y11" s="31"/>
      <c r="Z11" s="31"/>
      <c r="AA11" s="31"/>
      <c r="AB11" s="31"/>
      <c r="AC11" s="31"/>
      <c r="AD11" s="31"/>
    </row>
    <row r="12" spans="1:43" x14ac:dyDescent="0.25">
      <c r="B12" s="17" t="s">
        <v>1</v>
      </c>
      <c r="C12" s="10">
        <f>AVERAGE(CV_Overall_Overall)</f>
        <v>86.904761904761898</v>
      </c>
      <c r="D12" s="10">
        <f>MEDIAN(CV_Overall_Overall)</f>
        <v>89</v>
      </c>
      <c r="E12" s="11">
        <f>_xlfn.STDEV.P(CV_Overall_Overall)</f>
        <v>16.241935029876803</v>
      </c>
      <c r="F12" s="12">
        <f>E12/SQRT(COUNT(CV_Overall_Overall))</f>
        <v>3.5442807955697759</v>
      </c>
      <c r="G12" s="13"/>
      <c r="H12" s="13"/>
      <c r="I12" s="18"/>
      <c r="Y12" s="31"/>
      <c r="Z12" s="31"/>
      <c r="AA12" s="31"/>
      <c r="AB12" s="31"/>
      <c r="AC12" s="31"/>
      <c r="AD12" s="31"/>
    </row>
    <row r="13" spans="1:43" x14ac:dyDescent="0.25">
      <c r="A13" s="31"/>
      <c r="B13" s="17" t="s">
        <v>2</v>
      </c>
      <c r="C13" s="10">
        <f>AVERAGE(CV_Overall_AIX)</f>
        <v>41.61904761904762</v>
      </c>
      <c r="D13" s="10">
        <f>MEDIAN(CV_Overall_AIX)</f>
        <v>43</v>
      </c>
      <c r="E13" s="11">
        <f>_xlfn.STDEV.P(CV_Overall_AIX)</f>
        <v>11.137564880795214</v>
      </c>
      <c r="F13" s="12">
        <f>E13/SQRT(COUNT(CV_Overall_AIX))</f>
        <v>2.4304159106536138</v>
      </c>
      <c r="G13" s="13"/>
      <c r="H13" s="13"/>
      <c r="I13" s="18"/>
      <c r="Y13" s="31"/>
      <c r="Z13" s="31"/>
      <c r="AA13" s="31"/>
      <c r="AB13" s="31"/>
      <c r="AC13" s="31"/>
      <c r="AD13" s="31"/>
    </row>
    <row r="14" spans="1:43" x14ac:dyDescent="0.25">
      <c r="A14" s="31"/>
      <c r="B14" s="17" t="s">
        <v>3</v>
      </c>
      <c r="C14" s="10">
        <f>AVERAGE(CV_Overall_LINUX)</f>
        <v>45.285714285714285</v>
      </c>
      <c r="D14" s="10">
        <f>MEDIAN(CV_Overall_LINUX)</f>
        <v>47</v>
      </c>
      <c r="E14" s="11">
        <f>_xlfn.STDEV.P(CV_Overall_LINUX)</f>
        <v>7.6727275658216696</v>
      </c>
      <c r="F14" s="12">
        <f>E14/SQRT(COUNT(CV_Overall_LINUX))</f>
        <v>1.6743264217691463</v>
      </c>
      <c r="G14" s="13"/>
      <c r="H14" s="13"/>
      <c r="I14" s="18"/>
      <c r="J14" s="1"/>
      <c r="Y14" s="31"/>
      <c r="Z14" s="31"/>
      <c r="AA14" s="31"/>
      <c r="AB14" s="31"/>
      <c r="AC14" s="31"/>
      <c r="AD14" s="31"/>
    </row>
    <row r="15" spans="1:43" x14ac:dyDescent="0.25">
      <c r="A15" s="31"/>
      <c r="B15" s="23"/>
      <c r="C15" s="24"/>
      <c r="D15" s="24"/>
      <c r="E15" s="25"/>
      <c r="F15" s="26"/>
      <c r="G15" s="26"/>
      <c r="H15" s="26"/>
      <c r="I15" s="27"/>
      <c r="Y15" s="31"/>
      <c r="Z15" s="31"/>
      <c r="AA15" s="31"/>
      <c r="AB15" s="31"/>
      <c r="AC15" s="31"/>
      <c r="AD15" s="31"/>
    </row>
    <row r="16" spans="1:43" x14ac:dyDescent="0.25">
      <c r="A16" s="31"/>
      <c r="B16" s="29" t="str">
        <f xml:space="preserve"> "Last " &amp; COUNT(CV_Period_3_AIX)</f>
        <v>Last 3</v>
      </c>
      <c r="C16" s="12" t="s">
        <v>5</v>
      </c>
      <c r="D16" s="12" t="s">
        <v>6</v>
      </c>
      <c r="E16" s="13" t="s">
        <v>4</v>
      </c>
      <c r="F16" s="13" t="s">
        <v>8</v>
      </c>
      <c r="G16" s="13" t="s">
        <v>9</v>
      </c>
      <c r="H16" s="13" t="s">
        <v>26</v>
      </c>
      <c r="I16" s="18"/>
      <c r="Y16" s="31"/>
      <c r="Z16" s="31"/>
      <c r="AA16" s="31"/>
      <c r="AB16" s="31"/>
      <c r="AC16" s="31"/>
      <c r="AD16" s="31"/>
    </row>
    <row r="17" spans="1:9" x14ac:dyDescent="0.25">
      <c r="B17" s="17" t="s">
        <v>1</v>
      </c>
      <c r="C17" s="10">
        <f>AVERAGE(CV_Period_3_Overall)</f>
        <v>80.666666666666671</v>
      </c>
      <c r="D17" s="10">
        <f>MEDIAN(CV_Period_3_Overall)</f>
        <v>78</v>
      </c>
      <c r="E17" s="11">
        <f>_xlfn.STDEV.P(CV_Period_3_Overall)</f>
        <v>12.39175353029407</v>
      </c>
      <c r="F17" s="12">
        <f t="shared" ref="F17:F19" si="2">ROUNDDOWN(D17-E17,0)</f>
        <v>65</v>
      </c>
      <c r="G17" s="12">
        <f>ROUNDUP(D17+E17,0)</f>
        <v>91</v>
      </c>
      <c r="H17" s="65">
        <f>(1-E17/D17)</f>
        <v>0.84113136499622987</v>
      </c>
      <c r="I17" s="18"/>
    </row>
    <row r="18" spans="1:9" x14ac:dyDescent="0.25">
      <c r="A18" s="31"/>
      <c r="B18" s="17" t="s">
        <v>2</v>
      </c>
      <c r="C18" s="10">
        <f>AVERAGE(CV_Period_3_AIX)</f>
        <v>36</v>
      </c>
      <c r="D18" s="10">
        <f>MEDIAN(CV_Period_3_AIX)</f>
        <v>34</v>
      </c>
      <c r="E18" s="11">
        <f>_xlfn.STDEV.P(CV_Period_3_AIX)</f>
        <v>5.0990195135927845</v>
      </c>
      <c r="F18" s="12">
        <f t="shared" si="2"/>
        <v>28</v>
      </c>
      <c r="G18" s="12">
        <f>ROUNDUP(D18+E18,0)</f>
        <v>40</v>
      </c>
      <c r="H18" s="65">
        <f>(1-E18/D18)</f>
        <v>0.85002883783550631</v>
      </c>
      <c r="I18" s="18"/>
    </row>
    <row r="19" spans="1:9" x14ac:dyDescent="0.25">
      <c r="A19" s="31"/>
      <c r="B19" s="17" t="s">
        <v>3</v>
      </c>
      <c r="C19" s="10">
        <f>AVERAGE(CV_Period_3_LINUX)</f>
        <v>44.666666666666664</v>
      </c>
      <c r="D19" s="10">
        <f>MEDIAN(CV_Period_3_LINUX)</f>
        <v>44</v>
      </c>
      <c r="E19" s="11">
        <f>_xlfn.STDEV.P(CV_Period_3_LINUX)</f>
        <v>7.3635740114581738</v>
      </c>
      <c r="F19" s="12">
        <f t="shared" si="2"/>
        <v>36</v>
      </c>
      <c r="G19" s="12">
        <f>ROUNDUP(D19+E19,0)</f>
        <v>52</v>
      </c>
      <c r="H19" s="65">
        <f>(1-E19/D19)</f>
        <v>0.83264604519413243</v>
      </c>
      <c r="I19" s="18"/>
    </row>
    <row r="20" spans="1:9" x14ac:dyDescent="0.25">
      <c r="A20" s="31"/>
      <c r="B20" s="23"/>
      <c r="C20" s="26"/>
      <c r="D20" s="26"/>
      <c r="E20" s="26"/>
      <c r="F20" s="26"/>
      <c r="G20" s="26"/>
      <c r="H20" s="26"/>
      <c r="I20" s="27"/>
    </row>
    <row r="21" spans="1:9" x14ac:dyDescent="0.25">
      <c r="A21" s="31"/>
      <c r="B21" s="29" t="str">
        <f>"Last " &amp; COUNT(CV_Period_6_AIX)</f>
        <v>Last 6</v>
      </c>
      <c r="C21" s="12" t="s">
        <v>5</v>
      </c>
      <c r="D21" s="12" t="s">
        <v>6</v>
      </c>
      <c r="E21" s="13" t="s">
        <v>4</v>
      </c>
      <c r="F21" s="13" t="s">
        <v>8</v>
      </c>
      <c r="G21" s="13" t="s">
        <v>9</v>
      </c>
      <c r="H21" s="13" t="s">
        <v>26</v>
      </c>
      <c r="I21" s="18"/>
    </row>
    <row r="22" spans="1:9" x14ac:dyDescent="0.25">
      <c r="B22" s="17" t="s">
        <v>1</v>
      </c>
      <c r="C22" s="10">
        <f>AVERAGE(CV_Period_6_OverAll)</f>
        <v>83.666666666666671</v>
      </c>
      <c r="D22" s="10">
        <f>MEDIAN(CV_Period_6_OverAll)</f>
        <v>85.5</v>
      </c>
      <c r="E22" s="11">
        <f>_xlfn.STDEV.P(CV_Period_6_OverAll)</f>
        <v>9.3392838174146</v>
      </c>
      <c r="F22" s="12">
        <f t="shared" ref="F22:F24" si="3">ROUNDDOWN(D22-E22,0)</f>
        <v>76</v>
      </c>
      <c r="G22" s="12">
        <f>ROUNDUP(D22+E22,0)</f>
        <v>95</v>
      </c>
      <c r="H22" s="65">
        <f>(1-E22/D22)</f>
        <v>0.89076861032263621</v>
      </c>
      <c r="I22" s="18"/>
    </row>
    <row r="23" spans="1:9" x14ac:dyDescent="0.25">
      <c r="A23" s="31"/>
      <c r="B23" s="17" t="s">
        <v>2</v>
      </c>
      <c r="C23" s="10">
        <f>AVERAGE(CV_Period_6_AIX)</f>
        <v>40.166666666666664</v>
      </c>
      <c r="D23" s="10">
        <f>MEDIAN(CV_Period_6_AIX)</f>
        <v>42</v>
      </c>
      <c r="E23" s="11">
        <f>_xlfn.STDEV.P(CV_Period_6_AIX)</f>
        <v>5.8713049846028458</v>
      </c>
      <c r="F23" s="10">
        <f t="shared" si="3"/>
        <v>36</v>
      </c>
      <c r="G23" s="12">
        <f>ROUNDUP(D23+E23,0)</f>
        <v>48</v>
      </c>
      <c r="H23" s="65">
        <f>(1-E23/D23)</f>
        <v>0.86020702417612271</v>
      </c>
      <c r="I23" s="18"/>
    </row>
    <row r="24" spans="1:9" ht="15.75" thickBot="1" x14ac:dyDescent="0.3">
      <c r="A24" s="31"/>
      <c r="B24" s="19" t="s">
        <v>3</v>
      </c>
      <c r="C24" s="20">
        <f>AVERAGE(CV_Period_6_LINUX)</f>
        <v>43.5</v>
      </c>
      <c r="D24" s="20">
        <f>MEDIAN(CV_Period_6_LINUX)</f>
        <v>43</v>
      </c>
      <c r="E24" s="21">
        <f>_xlfn.STDEV.P(CV_Period_6_LINUX)</f>
        <v>6.2115483845280748</v>
      </c>
      <c r="F24" s="20">
        <f t="shared" si="3"/>
        <v>36</v>
      </c>
      <c r="G24" s="22">
        <f>ROUNDUP(D24+E24,0)</f>
        <v>50</v>
      </c>
      <c r="H24" s="66">
        <f>(1-E24/D24)</f>
        <v>0.85554538640632383</v>
      </c>
      <c r="I24" s="67"/>
    </row>
    <row r="25" spans="1:9" ht="16.5" thickTop="1" thickBot="1" x14ac:dyDescent="0.3">
      <c r="A25" s="31"/>
      <c r="B25" s="13"/>
      <c r="C25" s="10"/>
      <c r="D25" s="10"/>
      <c r="E25" s="11"/>
      <c r="F25" s="10"/>
      <c r="G25" s="12"/>
      <c r="H25" s="12"/>
      <c r="I25" s="65"/>
    </row>
    <row r="26" spans="1:9" ht="16.5" thickTop="1" thickBot="1" x14ac:dyDescent="0.3">
      <c r="A26" s="31"/>
      <c r="B26" s="185" t="s">
        <v>27</v>
      </c>
      <c r="C26" s="186"/>
      <c r="D26" s="186"/>
      <c r="E26" s="186"/>
      <c r="F26" s="186"/>
      <c r="G26" s="186"/>
      <c r="H26" s="186"/>
      <c r="I26" s="187"/>
    </row>
    <row r="27" spans="1:9" ht="16.5" thickTop="1" thickBot="1" x14ac:dyDescent="0.3">
      <c r="B27" s="33"/>
      <c r="C27" s="34" t="s">
        <v>16</v>
      </c>
      <c r="D27" s="54" t="s">
        <v>20</v>
      </c>
      <c r="E27" s="34" t="s">
        <v>17</v>
      </c>
      <c r="F27" s="54" t="s">
        <v>20</v>
      </c>
      <c r="G27" s="34" t="s">
        <v>18</v>
      </c>
      <c r="H27" s="43" t="s">
        <v>21</v>
      </c>
      <c r="I27" s="44" t="s">
        <v>22</v>
      </c>
    </row>
    <row r="28" spans="1:9" ht="15.75" thickTop="1" x14ac:dyDescent="0.25">
      <c r="B28" s="35" t="s">
        <v>2</v>
      </c>
      <c r="C28" s="61">
        <f>Velocity!C$28</f>
        <v>0</v>
      </c>
      <c r="D28" s="37">
        <f>IF(C28=0,0,IF(C23-MOD(C28,$C23)&lt;=E28,C23-MOD(C28,$C23),E28))</f>
        <v>0</v>
      </c>
      <c r="E28" s="61">
        <f>Velocity!E$28</f>
        <v>226</v>
      </c>
      <c r="F28" s="37">
        <f>IF(E28=0,0,IF(C23-MOD(E28-D28,$C23)&lt;=G28,C23-MOD(E28-D28,$C23),G28))</f>
        <v>0</v>
      </c>
      <c r="G28" s="61">
        <f>Velocity!G$28</f>
        <v>0</v>
      </c>
      <c r="H28" s="46">
        <f>SUM(G29,E29,C29)</f>
        <v>6</v>
      </c>
      <c r="I28" s="45">
        <f>IF(G28=F28=0,0,IF( G28&gt;0,C23-MOD(G28-F28,C23),IF(E28&gt;0,C23-MOD(E28-D28,C23),C23-MOD(C28,C23))))</f>
        <v>14.999999999999986</v>
      </c>
    </row>
    <row r="29" spans="1:9" x14ac:dyDescent="0.25">
      <c r="B29" s="51" t="s">
        <v>19</v>
      </c>
      <c r="C29" s="39">
        <f>_xlfn.CEILING.MATH(C28/$C23,1,0)</f>
        <v>0</v>
      </c>
      <c r="D29" s="40"/>
      <c r="E29" s="39">
        <f>_xlfn.CEILING.MATH((E28-D28)/$C23,1,0)</f>
        <v>6</v>
      </c>
      <c r="F29" s="40"/>
      <c r="G29" s="39">
        <f>_xlfn.CEILING.MATH((G28-F28)/$C23,1,0)</f>
        <v>0</v>
      </c>
      <c r="H29" s="47"/>
      <c r="I29" s="48"/>
    </row>
    <row r="30" spans="1:9" x14ac:dyDescent="0.25">
      <c r="B30" s="35" t="s">
        <v>3</v>
      </c>
      <c r="C30" s="61">
        <f>Velocity!C$30</f>
        <v>0</v>
      </c>
      <c r="D30" s="37">
        <f>IF(C30=0,0,IF(C24-MOD(C30,$C24)&lt;=E30,C24-MOD(C30,$C24),E30))</f>
        <v>0</v>
      </c>
      <c r="E30" s="61">
        <f>Velocity!E$30</f>
        <v>68</v>
      </c>
      <c r="F30" s="37">
        <f>IF(E30=0,0,IF(C24-MOD(E30-D30,$C24)&lt;=G30,C24-MOD(E30-D30,$C24),G30))</f>
        <v>0</v>
      </c>
      <c r="G30" s="61">
        <f>Velocity!G$30</f>
        <v>0</v>
      </c>
      <c r="H30" s="46">
        <f>SUM(G31,E31,C31)</f>
        <v>2</v>
      </c>
      <c r="I30" s="38">
        <f>IF(G30=F30=0,0,IF( G30&gt;0,C24-MOD(G30-F30,C24),IF(E30&gt;0,C24-MOD(E30-D30,C24),C24-MOD(C30,C24))))</f>
        <v>19</v>
      </c>
    </row>
    <row r="31" spans="1:9" ht="15.75" thickBot="1" x14ac:dyDescent="0.3">
      <c r="B31" s="52" t="s">
        <v>19</v>
      </c>
      <c r="C31" s="41">
        <f>_xlfn.CEILING.MATH(C30/$C24,1,0)</f>
        <v>0</v>
      </c>
      <c r="D31" s="42"/>
      <c r="E31" s="41">
        <f>_xlfn.CEILING.MATH((E30-D30)/$C24,1,0)</f>
        <v>2</v>
      </c>
      <c r="F31" s="42"/>
      <c r="G31" s="41">
        <f>_xlfn.CEILING.MATH((G30-F30)/$C24,1,0)</f>
        <v>0</v>
      </c>
      <c r="H31" s="49"/>
      <c r="I31" s="50"/>
    </row>
    <row r="32" spans="1:9" ht="15.75" thickTop="1" x14ac:dyDescent="0.25">
      <c r="D32" s="53" t="s">
        <v>23</v>
      </c>
      <c r="F32" s="53" t="s">
        <v>23</v>
      </c>
    </row>
    <row r="36" spans="6:6" x14ac:dyDescent="0.25">
      <c r="F36" s="2"/>
    </row>
  </sheetData>
  <sheetProtection sheet="1" objects="1" scenarios="1" selectLockedCells="1"/>
  <dataConsolidate/>
  <mergeCells count="5">
    <mergeCell ref="F1:H1"/>
    <mergeCell ref="C2:E2"/>
    <mergeCell ref="F2:J2"/>
    <mergeCell ref="C7:E7"/>
    <mergeCell ref="B26:I26"/>
  </mergeCells>
  <conditionalFormatting sqref="I25">
    <cfRule type="expression" dxfId="940" priority="24" stopIfTrue="1">
      <formula>IF(I25&gt;=0.9,TRUE, FALSE)</formula>
    </cfRule>
    <cfRule type="expression" dxfId="939" priority="25" stopIfTrue="1">
      <formula>IF(I25&gt;0.75,TRUE,FALSE)</formula>
    </cfRule>
    <cfRule type="expression" dxfId="938" priority="26">
      <formula>IF(I25&gt;0.6, TRUE, FALSE)</formula>
    </cfRule>
  </conditionalFormatting>
  <conditionalFormatting sqref="I28 I30">
    <cfRule type="expression" dxfId="937" priority="29">
      <formula>$I$28=$C$23</formula>
    </cfRule>
  </conditionalFormatting>
  <conditionalFormatting sqref="F12">
    <cfRule type="expression" dxfId="936" priority="12" stopIfTrue="1">
      <formula>F12/C12 &gt;0.3</formula>
    </cfRule>
    <cfRule type="expression" dxfId="935" priority="13" stopIfTrue="1">
      <formula>F12/C12&lt;=0.1</formula>
    </cfRule>
    <cfRule type="expression" dxfId="934" priority="14">
      <formula>F12/C12&lt;=0.2</formula>
    </cfRule>
  </conditionalFormatting>
  <conditionalFormatting sqref="F13:F14">
    <cfRule type="expression" dxfId="933" priority="9" stopIfTrue="1">
      <formula>F13/C13 &gt;0.3</formula>
    </cfRule>
    <cfRule type="expression" dxfId="932" priority="10" stopIfTrue="1">
      <formula>F13/C13&lt;=0.1</formula>
    </cfRule>
    <cfRule type="expression" dxfId="931" priority="11">
      <formula>F13/C13&lt;=0.2</formula>
    </cfRule>
  </conditionalFormatting>
  <conditionalFormatting sqref="F4:AA6">
    <cfRule type="expression" dxfId="930" priority="60">
      <formula>IF(F4 &gt;#REF!, TRUE, FALSE)</formula>
    </cfRule>
    <cfRule type="expression" dxfId="929" priority="61">
      <formula>IF(F4&lt;$G17, TRUE, FALSE)</formula>
    </cfRule>
  </conditionalFormatting>
  <conditionalFormatting sqref="H17:H19">
    <cfRule type="expression" dxfId="928" priority="4" stopIfTrue="1">
      <formula>IF(H17&gt;=0.9,TRUE, FALSE)</formula>
    </cfRule>
    <cfRule type="expression" dxfId="927" priority="5" stopIfTrue="1">
      <formula>IF(H17&gt;0.75,TRUE,FALSE)</formula>
    </cfRule>
    <cfRule type="expression" dxfId="926" priority="6">
      <formula>IF(H17&gt;0.6, TRUE, FALSE)</formula>
    </cfRule>
  </conditionalFormatting>
  <conditionalFormatting sqref="H22:H24">
    <cfRule type="expression" dxfId="925" priority="1" stopIfTrue="1">
      <formula>IF(H22&gt;=0.9,TRUE, FALSE)</formula>
    </cfRule>
    <cfRule type="expression" dxfId="924" priority="2" stopIfTrue="1">
      <formula>IF(H22&gt;0.75,TRUE,FALSE)</formula>
    </cfRule>
    <cfRule type="expression" dxfId="923" priority="3">
      <formula>IF(H22&gt;0.6, TRUE, FALSE)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nsertColumn_Committed">
                <anchor moveWithCells="1" sizeWithCells="1">
                  <from>
                    <xdr:col>1</xdr:col>
                    <xdr:colOff>581025</xdr:colOff>
                    <xdr:row>7</xdr:row>
                    <xdr:rowOff>66675</xdr:rowOff>
                  </from>
                  <to>
                    <xdr:col>4</xdr:col>
                    <xdr:colOff>561975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setAverageData_Committed">
                <anchor moveWithCells="1" sizeWithCells="1">
                  <from>
                    <xdr:col>7</xdr:col>
                    <xdr:colOff>38100</xdr:colOff>
                    <xdr:row>10</xdr:row>
                    <xdr:rowOff>171450</xdr:rowOff>
                  </from>
                  <to>
                    <xdr:col>8</xdr:col>
                    <xdr:colOff>685800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DeleteLastColumn_Committed">
                <anchor moveWithCells="1" sizeWithCells="1">
                  <from>
                    <xdr:col>6</xdr:col>
                    <xdr:colOff>219075</xdr:colOff>
                    <xdr:row>7</xdr:row>
                    <xdr:rowOff>66675</xdr:rowOff>
                  </from>
                  <to>
                    <xdr:col>8</xdr:col>
                    <xdr:colOff>714375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60EBF-C115-4025-A0E0-9404D21A1067}">
  <sheetPr codeName="Sheet22"/>
  <dimension ref="A1:AD62"/>
  <sheetViews>
    <sheetView topLeftCell="J1" zoomScaleNormal="100" workbookViewId="0">
      <selection activeCell="T18" sqref="T18"/>
    </sheetView>
  </sheetViews>
  <sheetFormatPr defaultRowHeight="15" x14ac:dyDescent="0.25"/>
  <cols>
    <col min="1" max="1" width="9.140625" style="160"/>
    <col min="2" max="2" width="12.28515625" style="160" customWidth="1"/>
    <col min="3" max="3" width="11" style="106" customWidth="1"/>
    <col min="4" max="4" width="56.28515625" style="160" customWidth="1"/>
    <col min="5" max="5" width="13.140625" style="160" customWidth="1"/>
    <col min="6" max="6" width="13.85546875" style="160" bestFit="1" customWidth="1"/>
    <col min="7" max="7" width="9.140625" style="160"/>
    <col min="8" max="8" width="14.140625" style="160" bestFit="1" customWidth="1"/>
    <col min="9" max="9" width="14.140625" style="106" bestFit="1" customWidth="1"/>
    <col min="10" max="10" width="10.85546875" style="106" customWidth="1"/>
    <col min="11" max="11" width="16.7109375" style="160" bestFit="1" customWidth="1"/>
    <col min="12" max="13" width="6.42578125" style="160" bestFit="1" customWidth="1"/>
    <col min="14" max="14" width="11.28515625" style="160" bestFit="1" customWidth="1"/>
    <col min="15" max="15" width="18.42578125" style="160" bestFit="1" customWidth="1"/>
    <col min="16" max="16" width="18.42578125" style="160" customWidth="1"/>
    <col min="17" max="17" width="19" style="160" customWidth="1"/>
    <col min="18" max="18" width="16.28515625" style="160" customWidth="1"/>
    <col min="19" max="19" width="16.5703125" style="160" customWidth="1"/>
    <col min="20" max="20" width="14.5703125" style="160" customWidth="1"/>
    <col min="21" max="21" width="18.140625" style="160" customWidth="1"/>
    <col min="22" max="22" width="1.42578125" style="160" customWidth="1"/>
    <col min="23" max="23" width="11" style="160" customWidth="1"/>
    <col min="24" max="24" width="10.85546875" style="160" customWidth="1"/>
    <col min="25" max="25" width="74.28515625" style="160" bestFit="1" customWidth="1"/>
    <col min="26" max="26" width="14.5703125" style="160" bestFit="1" customWidth="1"/>
    <col min="27" max="27" width="14.5703125" style="160" customWidth="1"/>
    <col min="28" max="28" width="9.140625" style="160" customWidth="1"/>
    <col min="29" max="29" width="11.5703125" style="160" customWidth="1"/>
    <col min="30" max="32" width="9.140625" style="160" customWidth="1"/>
    <col min="33" max="16384" width="9.140625" style="160"/>
  </cols>
  <sheetData>
    <row r="1" spans="1:30" ht="30.75" customHeight="1" x14ac:dyDescent="0.25">
      <c r="A1" s="160" t="s">
        <v>231</v>
      </c>
      <c r="B1" s="160" t="s">
        <v>48</v>
      </c>
      <c r="C1" s="106" t="s">
        <v>47</v>
      </c>
      <c r="D1" s="160" t="s">
        <v>46</v>
      </c>
      <c r="E1" s="160" t="s">
        <v>45</v>
      </c>
      <c r="F1" s="160" t="s">
        <v>38</v>
      </c>
      <c r="G1" s="160" t="s">
        <v>44</v>
      </c>
      <c r="H1" s="106" t="s">
        <v>43</v>
      </c>
      <c r="I1" s="106" t="s">
        <v>144</v>
      </c>
      <c r="J1" s="160"/>
      <c r="N1" s="160" t="s">
        <v>133</v>
      </c>
      <c r="O1" s="160" t="s">
        <v>134</v>
      </c>
      <c r="P1" s="160" t="s">
        <v>41</v>
      </c>
      <c r="Q1" s="160" t="s">
        <v>135</v>
      </c>
      <c r="R1" s="160" t="s">
        <v>136</v>
      </c>
      <c r="S1" s="86" t="s">
        <v>143</v>
      </c>
      <c r="T1" s="86" t="s">
        <v>141</v>
      </c>
      <c r="U1" s="159" t="s">
        <v>142</v>
      </c>
      <c r="V1" s="86" t="s">
        <v>1108</v>
      </c>
      <c r="W1" s="86" t="s">
        <v>145</v>
      </c>
      <c r="Y1" s="160" t="s">
        <v>39</v>
      </c>
      <c r="Z1" s="160" t="s">
        <v>666</v>
      </c>
    </row>
    <row r="2" spans="1:30" x14ac:dyDescent="0.25">
      <c r="A2" s="160">
        <v>214864</v>
      </c>
      <c r="B2" s="160" t="s">
        <v>1442</v>
      </c>
      <c r="C2" s="160" t="s">
        <v>33</v>
      </c>
      <c r="D2" s="160" t="s">
        <v>1443</v>
      </c>
      <c r="E2" s="160" t="s">
        <v>81</v>
      </c>
      <c r="F2" s="160">
        <v>2</v>
      </c>
      <c r="G2" s="90" t="str">
        <f t="shared" ref="G2:G38" si="0">MID(B2,4,1)</f>
        <v>U</v>
      </c>
      <c r="H2" s="105"/>
      <c r="I2" s="109"/>
      <c r="J2" s="160"/>
      <c r="K2" s="72" t="s">
        <v>119</v>
      </c>
      <c r="L2" t="s">
        <v>120</v>
      </c>
      <c r="N2" s="160" t="s">
        <v>2</v>
      </c>
      <c r="O2" s="160">
        <f>+O12-Table92431384559526673808794101108115122129139[[#This Row],[Blocked]]</f>
        <v>44</v>
      </c>
      <c r="P2" s="160">
        <f>IF(ISERR(P12),0,P12)</f>
        <v>0</v>
      </c>
      <c r="Q2" s="160">
        <f>IF(ISERR(Q12),0,Q12)</f>
        <v>0</v>
      </c>
      <c r="R2" s="160">
        <f>+IF(ISERR(R16),0,R16)</f>
        <v>40</v>
      </c>
      <c r="S2" s="88">
        <f>Table92431384559526673808794101108115122129139[[#This Row],[Completed]]/Table92431384559526673808794101108115122129139[[#This Row],[Committed]]</f>
        <v>0.90909090909090906</v>
      </c>
      <c r="T2" s="83">
        <f>Table92431384559526673808794101108115122129139[[#This Row],[Completed]]/(Table92431384559526673808794101108115122129139[[#This Row],[Added]]+Table92431384559526673808794101108115122129139[[#This Row],[Committed]])</f>
        <v>0.90909090909090906</v>
      </c>
      <c r="V2" s="84" t="str">
        <f>IF(ISERR(O16),0,O16) &amp; "  (" &amp;TEXT(IF(ISERR(O16),0,O16)/Table92431384559526673808794101108115122129139[[#This Row],[Committed]],"#%") &amp; ")"</f>
        <v>40  (91%)</v>
      </c>
      <c r="W2" s="85" t="str">
        <f>+IF(ISERR(P16),0,P16) &amp; " (" &amp; TEXT(R20, "#%") &amp; ")"</f>
        <v>0 (%)</v>
      </c>
      <c r="Y2" s="69" t="s">
        <v>61</v>
      </c>
      <c r="Z2" s="68"/>
    </row>
    <row r="3" spans="1:30" x14ac:dyDescent="0.25">
      <c r="A3" s="160">
        <v>212438</v>
      </c>
      <c r="B3" s="160" t="s">
        <v>1444</v>
      </c>
      <c r="C3" s="160" t="s">
        <v>34</v>
      </c>
      <c r="D3" s="160" t="s">
        <v>1445</v>
      </c>
      <c r="E3" s="160" t="s">
        <v>84</v>
      </c>
      <c r="F3" s="160">
        <v>3</v>
      </c>
      <c r="G3" s="90" t="str">
        <f t="shared" si="0"/>
        <v>U</v>
      </c>
      <c r="H3" s="105" t="s">
        <v>35</v>
      </c>
      <c r="I3" s="109" t="s">
        <v>35</v>
      </c>
      <c r="J3" s="160"/>
      <c r="K3" s="69" t="s">
        <v>37</v>
      </c>
      <c r="L3" s="68">
        <v>43</v>
      </c>
      <c r="N3" s="160" t="s">
        <v>3</v>
      </c>
      <c r="O3" s="160">
        <f>+O13-Table92431384559526673808794101108115122129139[[#This Row],[Blocked]]</f>
        <v>41</v>
      </c>
      <c r="P3" s="160">
        <f>IF(ISERR(P13),0,P13)</f>
        <v>10</v>
      </c>
      <c r="Q3" s="160">
        <f>IF(ISERR(Q13),0,Q13)</f>
        <v>0</v>
      </c>
      <c r="R3" s="160">
        <f>+IF(ISERR(R17),0,R17)</f>
        <v>44</v>
      </c>
      <c r="S3" s="88">
        <f>Table92431384559526673808794101108115122129139[[#This Row],[Completed]]/Table92431384559526673808794101108115122129139[[#This Row],[Committed]]</f>
        <v>1.0731707317073171</v>
      </c>
      <c r="T3" s="83">
        <f>Table92431384559526673808794101108115122129139[[#This Row],[Completed]]/(Table92431384559526673808794101108115122129139[[#This Row],[Added]]+Table92431384559526673808794101108115122129139[[#This Row],[Committed]])</f>
        <v>0.86274509803921573</v>
      </c>
      <c r="V3" s="84" t="str">
        <f>IF(ISERR(O17),0,O17) &amp; "  (" &amp;TEXT(IF(ISERR(O17),0,O17)/Table92431384559526673808794101108115122129139[[#This Row],[Committed]],"#%") &amp; ")"</f>
        <v>34  (83%)</v>
      </c>
      <c r="W3" s="85" t="str">
        <f>+IF(ISERR(P17),0,P17) &amp; " (" &amp; TEXT(R21, "#%") &amp; ")"</f>
        <v>10 (100%)</v>
      </c>
      <c r="Y3" s="71" t="s">
        <v>33</v>
      </c>
      <c r="Z3" s="68"/>
    </row>
    <row r="4" spans="1:30" x14ac:dyDescent="0.25">
      <c r="A4" s="160">
        <v>212435</v>
      </c>
      <c r="B4" s="160" t="s">
        <v>1446</v>
      </c>
      <c r="C4" s="160" t="s">
        <v>34</v>
      </c>
      <c r="D4" s="160" t="s">
        <v>1381</v>
      </c>
      <c r="E4" s="160" t="s">
        <v>84</v>
      </c>
      <c r="F4" s="160">
        <v>2</v>
      </c>
      <c r="G4" s="90" t="str">
        <f t="shared" si="0"/>
        <v>U</v>
      </c>
      <c r="H4" s="105"/>
      <c r="I4" s="109" t="s">
        <v>35</v>
      </c>
      <c r="J4" s="160"/>
      <c r="K4" s="71" t="s">
        <v>34</v>
      </c>
      <c r="L4" s="68">
        <v>38</v>
      </c>
      <c r="N4" s="160" t="s">
        <v>303</v>
      </c>
      <c r="O4" s="68">
        <f>SUM(O2:O3)</f>
        <v>85</v>
      </c>
      <c r="P4" s="160">
        <f>SUM(P2:P3)</f>
        <v>10</v>
      </c>
      <c r="Q4" s="68">
        <f>SUM(Q2:Q3)</f>
        <v>0</v>
      </c>
      <c r="R4" s="68">
        <f>SUM(R2:R3)</f>
        <v>84</v>
      </c>
      <c r="S4" s="88">
        <f>Table92431384559526673808794101108115122129139[[#This Row],[Completed]]/Table92431384559526673808794101108115122129139[[#This Row],[Committed]]</f>
        <v>0.9882352941176471</v>
      </c>
      <c r="T4" s="83">
        <f>Table92431384559526673808794101108115122129139[[#This Row],[Completed]]/(Table92431384559526673808794101108115122129139[[#This Row],[Added]]+Table92431384559526673808794101108115122129139[[#This Row],[Committed]])</f>
        <v>0.88421052631578945</v>
      </c>
      <c r="V4" s="108" t="str">
        <f>IF(ISERR(SUM(O16:O17)),0,SUM(O16:O17)) &amp;"  ("&amp;TEXT(SUM(O16:O17)/O4,"#%") &amp;")"</f>
        <v>74  (87%)</v>
      </c>
      <c r="W4" s="85" t="str">
        <f>R4-SUM(O16:O17)&amp;" ("&amp;TEXT((R4-SUM(O16:O17))/IF(P4=0,1,P4),"#%")&amp;")"</f>
        <v>10 (100%)</v>
      </c>
      <c r="Y4" s="70" t="s">
        <v>1317</v>
      </c>
      <c r="Z4" s="68">
        <v>1</v>
      </c>
    </row>
    <row r="5" spans="1:30" x14ac:dyDescent="0.25">
      <c r="A5" s="160">
        <v>212529</v>
      </c>
      <c r="B5" s="160" t="s">
        <v>1447</v>
      </c>
      <c r="C5" s="160" t="s">
        <v>34</v>
      </c>
      <c r="D5" s="160" t="s">
        <v>1448</v>
      </c>
      <c r="E5" s="160" t="s">
        <v>84</v>
      </c>
      <c r="F5" s="160">
        <v>3</v>
      </c>
      <c r="G5" s="90" t="str">
        <f t="shared" si="0"/>
        <v>U</v>
      </c>
      <c r="H5" s="105"/>
      <c r="I5" s="109" t="s">
        <v>35</v>
      </c>
      <c r="J5" s="160"/>
      <c r="K5" s="71" t="s">
        <v>33</v>
      </c>
      <c r="L5" s="68">
        <v>5</v>
      </c>
      <c r="O5" s="160" t="s">
        <v>140</v>
      </c>
      <c r="S5" s="160" t="s">
        <v>220</v>
      </c>
      <c r="Y5" s="71" t="s">
        <v>667</v>
      </c>
      <c r="Z5" s="68">
        <v>1</v>
      </c>
    </row>
    <row r="6" spans="1:30" x14ac:dyDescent="0.25">
      <c r="A6" s="160">
        <v>212269</v>
      </c>
      <c r="B6" s="160" t="s">
        <v>1449</v>
      </c>
      <c r="C6" s="160" t="s">
        <v>34</v>
      </c>
      <c r="D6" s="160" t="s">
        <v>1450</v>
      </c>
      <c r="E6" s="160" t="s">
        <v>81</v>
      </c>
      <c r="F6" s="160">
        <v>1</v>
      </c>
      <c r="G6" s="90" t="str">
        <f t="shared" si="0"/>
        <v>U</v>
      </c>
      <c r="H6" s="105"/>
      <c r="I6" s="109" t="s">
        <v>35</v>
      </c>
      <c r="J6" s="160"/>
      <c r="K6" s="69" t="s">
        <v>36</v>
      </c>
      <c r="L6" s="68">
        <v>47</v>
      </c>
      <c r="O6" s="175" t="s">
        <v>40</v>
      </c>
      <c r="P6" s="174" t="s">
        <v>2</v>
      </c>
      <c r="Q6" s="174" t="s">
        <v>137</v>
      </c>
      <c r="R6" s="174" t="s">
        <v>1436</v>
      </c>
      <c r="T6" s="87"/>
      <c r="U6" s="87"/>
      <c r="Y6" s="69" t="s">
        <v>656</v>
      </c>
      <c r="Z6" s="68">
        <v>1</v>
      </c>
    </row>
    <row r="7" spans="1:30" x14ac:dyDescent="0.25">
      <c r="A7" s="160">
        <v>212267</v>
      </c>
      <c r="B7" s="160" t="s">
        <v>1451</v>
      </c>
      <c r="C7" s="160" t="s">
        <v>34</v>
      </c>
      <c r="D7" s="160" t="s">
        <v>1452</v>
      </c>
      <c r="E7" s="160" t="s">
        <v>112</v>
      </c>
      <c r="F7" s="160">
        <v>2</v>
      </c>
      <c r="G7" s="90" t="str">
        <f t="shared" si="0"/>
        <v>U</v>
      </c>
      <c r="H7" s="105" t="s">
        <v>35</v>
      </c>
      <c r="I7" s="109" t="s">
        <v>35</v>
      </c>
      <c r="J7" s="160"/>
      <c r="K7" s="71" t="s">
        <v>32</v>
      </c>
      <c r="L7" s="68">
        <v>4</v>
      </c>
      <c r="O7" s="174" t="s">
        <v>1437</v>
      </c>
      <c r="P7" s="87">
        <f>+P2/(P2+O2)</f>
        <v>0</v>
      </c>
      <c r="Q7" s="87">
        <f>P3/(O3+P3)</f>
        <v>0.19607843137254902</v>
      </c>
      <c r="R7" s="87">
        <f>P4/(O4+P4)</f>
        <v>0.10526315789473684</v>
      </c>
      <c r="T7" s="87"/>
      <c r="U7" s="87"/>
      <c r="Y7" s="69" t="s">
        <v>92</v>
      </c>
      <c r="Z7" s="68"/>
    </row>
    <row r="8" spans="1:30" ht="15.75" thickBot="1" x14ac:dyDescent="0.3">
      <c r="A8" s="160">
        <v>212523</v>
      </c>
      <c r="B8" s="160" t="s">
        <v>1453</v>
      </c>
      <c r="C8" s="160" t="s">
        <v>34</v>
      </c>
      <c r="D8" s="160" t="s">
        <v>1454</v>
      </c>
      <c r="E8" s="160" t="s">
        <v>235</v>
      </c>
      <c r="F8" s="160">
        <v>1</v>
      </c>
      <c r="G8" s="90" t="str">
        <f t="shared" si="0"/>
        <v>U</v>
      </c>
      <c r="H8" s="105"/>
      <c r="I8" s="109" t="s">
        <v>35</v>
      </c>
      <c r="J8" s="160"/>
      <c r="K8" s="71" t="s">
        <v>34</v>
      </c>
      <c r="L8" s="68">
        <v>34</v>
      </c>
      <c r="M8" s="68"/>
      <c r="O8" s="174" t="s">
        <v>1438</v>
      </c>
      <c r="P8" s="87">
        <f>+P2/O2</f>
        <v>0</v>
      </c>
      <c r="Q8" s="87">
        <f>P3/O3</f>
        <v>0.24390243902439024</v>
      </c>
      <c r="R8" s="87">
        <f>P4/O4</f>
        <v>0.11764705882352941</v>
      </c>
      <c r="Y8" s="71" t="s">
        <v>33</v>
      </c>
      <c r="Z8" s="68"/>
    </row>
    <row r="9" spans="1:30" ht="15.75" thickBot="1" x14ac:dyDescent="0.3">
      <c r="A9" s="160">
        <v>212519</v>
      </c>
      <c r="B9" s="160" t="s">
        <v>1455</v>
      </c>
      <c r="C9" s="160" t="s">
        <v>34</v>
      </c>
      <c r="D9" s="160" t="s">
        <v>1456</v>
      </c>
      <c r="E9" s="160" t="s">
        <v>92</v>
      </c>
      <c r="F9" s="160">
        <v>3</v>
      </c>
      <c r="G9" s="90" t="str">
        <f t="shared" si="0"/>
        <v>U</v>
      </c>
      <c r="H9" s="105"/>
      <c r="I9" s="109" t="s">
        <v>35</v>
      </c>
      <c r="J9" s="160"/>
      <c r="K9" s="71" t="s">
        <v>33</v>
      </c>
      <c r="L9" s="68">
        <v>9</v>
      </c>
      <c r="M9" s="68"/>
      <c r="Y9" s="70" t="s">
        <v>1326</v>
      </c>
      <c r="Z9" s="68">
        <v>1</v>
      </c>
      <c r="AC9" s="195" t="s">
        <v>634</v>
      </c>
      <c r="AD9" s="196"/>
    </row>
    <row r="10" spans="1:30" ht="15.75" thickTop="1" x14ac:dyDescent="0.25">
      <c r="A10" s="160">
        <v>212518</v>
      </c>
      <c r="B10" s="160" t="s">
        <v>1457</v>
      </c>
      <c r="C10" s="160" t="s">
        <v>34</v>
      </c>
      <c r="D10" s="160" t="s">
        <v>1458</v>
      </c>
      <c r="E10" s="160" t="s">
        <v>92</v>
      </c>
      <c r="F10" s="160">
        <v>3</v>
      </c>
      <c r="G10" s="90" t="str">
        <f t="shared" si="0"/>
        <v>U</v>
      </c>
      <c r="H10" s="105"/>
      <c r="I10" s="109" t="s">
        <v>35</v>
      </c>
      <c r="J10" s="160"/>
      <c r="K10" s="69" t="s">
        <v>735</v>
      </c>
      <c r="L10" s="68"/>
      <c r="M10" s="68"/>
      <c r="N10" s="160" t="s">
        <v>139</v>
      </c>
      <c r="R10" s="160" t="s">
        <v>138</v>
      </c>
      <c r="V10" s="13"/>
      <c r="W10" s="13"/>
      <c r="Y10" s="70" t="s">
        <v>1266</v>
      </c>
      <c r="Z10" s="68">
        <v>1</v>
      </c>
      <c r="AC10" s="121" t="e">
        <f>+GETPIVOTDATA("Story Points2",$K$20,"Project","A","Added After","Y")</f>
        <v>#REF!</v>
      </c>
      <c r="AD10" s="122" t="e">
        <f>GETPIVOTDATA("Story Points2",$K$2,"Status","Blocked","Project","A")</f>
        <v>#REF!</v>
      </c>
    </row>
    <row r="11" spans="1:30" x14ac:dyDescent="0.25">
      <c r="A11" s="160">
        <v>212516</v>
      </c>
      <c r="B11" s="160" t="s">
        <v>1459</v>
      </c>
      <c r="C11" s="160" t="s">
        <v>34</v>
      </c>
      <c r="D11" s="160" t="s">
        <v>1460</v>
      </c>
      <c r="E11" s="160" t="s">
        <v>235</v>
      </c>
      <c r="F11" s="160">
        <v>2</v>
      </c>
      <c r="G11" s="90" t="str">
        <f t="shared" si="0"/>
        <v>U</v>
      </c>
      <c r="H11" s="105"/>
      <c r="I11" s="109" t="s">
        <v>35</v>
      </c>
      <c r="J11" s="160"/>
      <c r="K11" s="71" t="s">
        <v>122</v>
      </c>
      <c r="L11" s="68"/>
      <c r="M11" s="68"/>
      <c r="N11" s="160" t="s">
        <v>133</v>
      </c>
      <c r="O11" s="160" t="s">
        <v>42</v>
      </c>
      <c r="P11" s="160" t="s">
        <v>41</v>
      </c>
      <c r="Q11" s="82" t="s">
        <v>135</v>
      </c>
      <c r="R11" s="160" t="s">
        <v>128</v>
      </c>
      <c r="V11" s="13"/>
      <c r="W11" s="13"/>
      <c r="Y11" s="71" t="s">
        <v>667</v>
      </c>
      <c r="Z11" s="68">
        <v>2</v>
      </c>
      <c r="AC11" s="121">
        <f>+GETPIVOTDATA("Story Points2",$K$20,"Project","U","Added After","Y")</f>
        <v>10</v>
      </c>
      <c r="AD11" s="122" t="e">
        <f>GETPIVOTDATA("Story Points2",$K$2,"Status","Blocked","Project","U")</f>
        <v>#REF!</v>
      </c>
    </row>
    <row r="12" spans="1:30" x14ac:dyDescent="0.25">
      <c r="A12" s="160">
        <v>212514</v>
      </c>
      <c r="B12" s="160" t="s">
        <v>1461</v>
      </c>
      <c r="C12" s="160" t="s">
        <v>34</v>
      </c>
      <c r="D12" s="160" t="s">
        <v>1462</v>
      </c>
      <c r="E12" s="160" t="s">
        <v>235</v>
      </c>
      <c r="F12" s="160">
        <v>2</v>
      </c>
      <c r="G12" s="90" t="str">
        <f t="shared" si="0"/>
        <v>U</v>
      </c>
      <c r="H12" s="105"/>
      <c r="I12" s="109" t="s">
        <v>35</v>
      </c>
      <c r="J12" s="160"/>
      <c r="K12" s="69" t="s">
        <v>31</v>
      </c>
      <c r="L12" s="68">
        <v>90</v>
      </c>
      <c r="M12" s="68"/>
      <c r="N12" s="160" t="s">
        <v>2</v>
      </c>
      <c r="O12" s="160">
        <f>+GETPIVOTDATA("Story Points2",$K$20,"Project","A","Added After",)</f>
        <v>44</v>
      </c>
      <c r="P12" s="160">
        <f>IFERROR(AC10,0)</f>
        <v>0</v>
      </c>
      <c r="Q12" s="81">
        <f>IFERROR(AD10,0)</f>
        <v>0</v>
      </c>
      <c r="R12" s="160">
        <f t="shared" ref="R12:R13" si="1">+IF(ISERR(P12),0,P12)+IF(ISERR(O12),0,O12)</f>
        <v>44</v>
      </c>
      <c r="V12" s="13"/>
      <c r="W12" s="13"/>
      <c r="Y12" s="69" t="s">
        <v>659</v>
      </c>
      <c r="Z12" s="68">
        <v>2</v>
      </c>
      <c r="AC12" s="121"/>
      <c r="AD12" s="122"/>
    </row>
    <row r="13" spans="1:30" x14ac:dyDescent="0.25">
      <c r="A13" s="160">
        <v>212244</v>
      </c>
      <c r="B13" s="160" t="s">
        <v>1463</v>
      </c>
      <c r="C13" s="160" t="s">
        <v>34</v>
      </c>
      <c r="D13" s="160" t="s">
        <v>1464</v>
      </c>
      <c r="E13" s="160" t="s">
        <v>112</v>
      </c>
      <c r="F13" s="160">
        <v>2</v>
      </c>
      <c r="G13" s="90" t="str">
        <f t="shared" si="0"/>
        <v>U</v>
      </c>
      <c r="H13" s="105"/>
      <c r="I13" s="109" t="s">
        <v>35</v>
      </c>
      <c r="J13" s="160"/>
      <c r="M13" s="68"/>
      <c r="N13" s="160" t="s">
        <v>3</v>
      </c>
      <c r="O13" s="160">
        <f>+GETPIVOTDATA("Story Points2",$K$20,"Project","U","Added After",)</f>
        <v>41</v>
      </c>
      <c r="P13" s="160">
        <f>IFERROR(AC11,0)</f>
        <v>10</v>
      </c>
      <c r="Q13" s="81">
        <f>IFERROR(AD11,0)</f>
        <v>0</v>
      </c>
      <c r="R13" s="160">
        <f t="shared" si="1"/>
        <v>51</v>
      </c>
      <c r="V13" s="13"/>
      <c r="W13" s="13"/>
      <c r="Y13" s="69" t="s">
        <v>89</v>
      </c>
      <c r="Z13" s="68"/>
      <c r="AC13" s="121"/>
      <c r="AD13" s="122"/>
    </row>
    <row r="14" spans="1:30" x14ac:dyDescent="0.25">
      <c r="A14" s="160">
        <v>212243</v>
      </c>
      <c r="B14" s="160" t="s">
        <v>1465</v>
      </c>
      <c r="C14" s="160" t="s">
        <v>34</v>
      </c>
      <c r="D14" s="160" t="s">
        <v>1466</v>
      </c>
      <c r="E14" s="160" t="s">
        <v>112</v>
      </c>
      <c r="F14" s="160">
        <v>3</v>
      </c>
      <c r="G14" s="90" t="str">
        <f t="shared" si="0"/>
        <v>U</v>
      </c>
      <c r="H14" s="105"/>
      <c r="I14" s="109" t="s">
        <v>35</v>
      </c>
      <c r="J14" s="160"/>
      <c r="M14" s="68"/>
      <c r="V14" s="13"/>
      <c r="W14" s="13"/>
      <c r="Y14" s="71" t="s">
        <v>33</v>
      </c>
      <c r="Z14" s="68"/>
      <c r="AC14" s="121">
        <f>+GETPIVOTDATA("Story Points2",$K$20,"Status","Done","Project","A","Added After",)</f>
        <v>40</v>
      </c>
      <c r="AD14" s="122" t="e">
        <f>+GETPIVOTDATA("Story Points2",$K$20,"Status","Done","Project","A","Added After","Y")</f>
        <v>#REF!</v>
      </c>
    </row>
    <row r="15" spans="1:30" x14ac:dyDescent="0.25">
      <c r="A15" s="160">
        <v>210157</v>
      </c>
      <c r="B15" s="160" t="s">
        <v>1467</v>
      </c>
      <c r="C15" s="160" t="s">
        <v>34</v>
      </c>
      <c r="D15" s="160" t="s">
        <v>1468</v>
      </c>
      <c r="E15" s="160" t="s">
        <v>84</v>
      </c>
      <c r="F15" s="160">
        <v>1</v>
      </c>
      <c r="G15" s="90" t="str">
        <f t="shared" si="0"/>
        <v>U</v>
      </c>
      <c r="H15" s="105"/>
      <c r="I15" s="109" t="s">
        <v>35</v>
      </c>
      <c r="J15" s="160"/>
      <c r="N15" s="160" t="s">
        <v>34</v>
      </c>
      <c r="O15" s="160" t="s">
        <v>126</v>
      </c>
      <c r="P15" s="160" t="s">
        <v>125</v>
      </c>
      <c r="Q15" s="80" t="s">
        <v>40</v>
      </c>
      <c r="R15" s="160" t="s">
        <v>127</v>
      </c>
      <c r="V15" s="13"/>
      <c r="W15" s="13"/>
      <c r="Y15" s="70" t="s">
        <v>1338</v>
      </c>
      <c r="Z15" s="68">
        <v>1</v>
      </c>
      <c r="AC15" s="121">
        <f>+GETPIVOTDATA("Story Points2",$K$20,"Status","Done","Project","U","Added After",)</f>
        <v>34</v>
      </c>
      <c r="AD15" s="122">
        <f>+GETPIVOTDATA("Story Points2",$K$20,"Status","Done","Project","U","Added After","Y")</f>
        <v>10</v>
      </c>
    </row>
    <row r="16" spans="1:30" x14ac:dyDescent="0.25">
      <c r="A16" s="160">
        <v>210156</v>
      </c>
      <c r="B16" s="160" t="s">
        <v>1469</v>
      </c>
      <c r="C16" s="160" t="s">
        <v>34</v>
      </c>
      <c r="D16" s="160" t="s">
        <v>1470</v>
      </c>
      <c r="E16" s="160" t="s">
        <v>84</v>
      </c>
      <c r="F16" s="160">
        <v>2</v>
      </c>
      <c r="G16" s="90" t="str">
        <f t="shared" si="0"/>
        <v>U</v>
      </c>
      <c r="H16" s="105"/>
      <c r="I16" s="109" t="s">
        <v>35</v>
      </c>
      <c r="J16" s="160"/>
      <c r="N16" s="160" t="s">
        <v>2</v>
      </c>
      <c r="O16" s="160">
        <f>IFERROR(AC14,0)</f>
        <v>40</v>
      </c>
      <c r="P16" s="160">
        <f>IFERROR(AD14,0)</f>
        <v>0</v>
      </c>
      <c r="R16" s="160">
        <f t="shared" ref="R16:R17" si="2">+IF(ISERR(P16),0,P16)+IF(ISERR(O16),0,O16)</f>
        <v>40</v>
      </c>
      <c r="Y16" s="71" t="s">
        <v>667</v>
      </c>
      <c r="Z16" s="68">
        <v>1</v>
      </c>
      <c r="AC16" s="121"/>
      <c r="AD16" s="122"/>
    </row>
    <row r="17" spans="1:30" ht="14.25" customHeight="1" x14ac:dyDescent="0.25">
      <c r="A17" s="160">
        <v>207319</v>
      </c>
      <c r="B17" s="160" t="s">
        <v>1471</v>
      </c>
      <c r="C17" s="160" t="s">
        <v>34</v>
      </c>
      <c r="D17" s="160" t="s">
        <v>1472</v>
      </c>
      <c r="E17" s="160" t="s">
        <v>89</v>
      </c>
      <c r="F17" s="160">
        <v>3</v>
      </c>
      <c r="G17" s="90" t="str">
        <f t="shared" si="0"/>
        <v>U</v>
      </c>
      <c r="H17" s="106"/>
      <c r="I17" s="109" t="s">
        <v>35</v>
      </c>
      <c r="J17" s="160"/>
      <c r="N17" s="160" t="s">
        <v>3</v>
      </c>
      <c r="O17" s="160">
        <f>IFERROR(AC15,0)</f>
        <v>34</v>
      </c>
      <c r="P17" s="160">
        <f>IFERROR(AD15,0)</f>
        <v>10</v>
      </c>
      <c r="R17" s="160">
        <f t="shared" si="2"/>
        <v>44</v>
      </c>
      <c r="Y17" s="71" t="s">
        <v>32</v>
      </c>
      <c r="Z17" s="68"/>
      <c r="AC17" s="121"/>
      <c r="AD17" s="122"/>
    </row>
    <row r="18" spans="1:30" x14ac:dyDescent="0.25">
      <c r="A18" s="160">
        <v>207318</v>
      </c>
      <c r="B18" s="160" t="s">
        <v>1396</v>
      </c>
      <c r="C18" s="160" t="s">
        <v>34</v>
      </c>
      <c r="D18" s="160" t="s">
        <v>1397</v>
      </c>
      <c r="E18" s="160" t="s">
        <v>89</v>
      </c>
      <c r="F18" s="160">
        <v>3</v>
      </c>
      <c r="G18" s="90" t="str">
        <f t="shared" si="0"/>
        <v>U</v>
      </c>
      <c r="H18" s="105"/>
      <c r="I18" s="109" t="s">
        <v>35</v>
      </c>
      <c r="J18" s="160"/>
      <c r="Y18" s="70" t="s">
        <v>1328</v>
      </c>
      <c r="Z18" s="68">
        <v>1</v>
      </c>
      <c r="AC18" s="121"/>
      <c r="AD18" s="122"/>
    </row>
    <row r="19" spans="1:30" x14ac:dyDescent="0.25">
      <c r="A19" s="160">
        <v>206169</v>
      </c>
      <c r="B19" s="160" t="s">
        <v>1398</v>
      </c>
      <c r="C19" s="160" t="s">
        <v>34</v>
      </c>
      <c r="D19" s="160" t="s">
        <v>1399</v>
      </c>
      <c r="E19" s="160" t="s">
        <v>81</v>
      </c>
      <c r="F19" s="160">
        <v>2</v>
      </c>
      <c r="G19" s="90" t="str">
        <f t="shared" si="0"/>
        <v>U</v>
      </c>
      <c r="H19" s="105" t="s">
        <v>35</v>
      </c>
      <c r="I19" s="109" t="s">
        <v>35</v>
      </c>
      <c r="J19" s="160"/>
      <c r="M19" s="68"/>
      <c r="N19" s="160" t="s">
        <v>34</v>
      </c>
      <c r="O19" s="160" t="s">
        <v>123</v>
      </c>
      <c r="P19" s="160" t="s">
        <v>124</v>
      </c>
      <c r="Q19" s="160" t="s">
        <v>126</v>
      </c>
      <c r="R19" s="160" t="s">
        <v>125</v>
      </c>
      <c r="Y19" s="71" t="s">
        <v>668</v>
      </c>
      <c r="Z19" s="68">
        <v>1</v>
      </c>
      <c r="AC19" s="121"/>
      <c r="AD19" s="122"/>
    </row>
    <row r="20" spans="1:30" x14ac:dyDescent="0.25">
      <c r="A20" s="160">
        <v>203452</v>
      </c>
      <c r="B20" s="160" t="s">
        <v>1473</v>
      </c>
      <c r="C20" s="160" t="s">
        <v>34</v>
      </c>
      <c r="D20" s="160" t="s">
        <v>1474</v>
      </c>
      <c r="E20" s="160" t="s">
        <v>89</v>
      </c>
      <c r="F20" s="160">
        <v>3</v>
      </c>
      <c r="G20" s="90" t="str">
        <f t="shared" si="0"/>
        <v>U</v>
      </c>
      <c r="H20" s="105"/>
      <c r="I20" s="109" t="s">
        <v>35</v>
      </c>
      <c r="J20" s="160"/>
      <c r="K20" s="72" t="s">
        <v>396</v>
      </c>
      <c r="L20" t="s">
        <v>120</v>
      </c>
      <c r="M20" s="68"/>
      <c r="N20" s="160" t="s">
        <v>2</v>
      </c>
      <c r="O20" s="64">
        <f>+R16/O12</f>
        <v>0.90909090909090906</v>
      </c>
      <c r="P20" s="64">
        <f t="shared" ref="P20:P21" si="3">+R16/R12</f>
        <v>0.90909090909090906</v>
      </c>
      <c r="Q20" s="64">
        <f>+O16/IF(ISERR(O12),1,O12)</f>
        <v>0.90909090909090906</v>
      </c>
      <c r="R20" s="64">
        <f>+P16/IF(ISERR(AC10),1,P12)</f>
        <v>0</v>
      </c>
      <c r="Y20" s="69" t="s">
        <v>662</v>
      </c>
      <c r="Z20" s="68">
        <v>2</v>
      </c>
      <c r="AC20" s="121"/>
      <c r="AD20" s="122"/>
    </row>
    <row r="21" spans="1:30" x14ac:dyDescent="0.25">
      <c r="A21" s="160">
        <v>164566</v>
      </c>
      <c r="B21" s="160" t="s">
        <v>864</v>
      </c>
      <c r="C21" s="160" t="s">
        <v>33</v>
      </c>
      <c r="D21" s="160" t="s">
        <v>865</v>
      </c>
      <c r="E21" s="160" t="s">
        <v>84</v>
      </c>
      <c r="F21" s="160">
        <v>5</v>
      </c>
      <c r="G21" s="90" t="str">
        <f t="shared" si="0"/>
        <v>U</v>
      </c>
      <c r="H21" s="173"/>
      <c r="I21" s="109" t="s">
        <v>35</v>
      </c>
      <c r="J21" s="160"/>
      <c r="K21" s="69" t="s">
        <v>122</v>
      </c>
      <c r="L21" s="68">
        <v>85</v>
      </c>
      <c r="M21" s="68"/>
      <c r="N21" s="160" t="s">
        <v>3</v>
      </c>
      <c r="O21" s="64">
        <f>+R17/O13</f>
        <v>1.0731707317073171</v>
      </c>
      <c r="P21" s="64">
        <f t="shared" si="3"/>
        <v>0.86274509803921573</v>
      </c>
      <c r="Q21" s="64">
        <f>+O17/IF(ISERR(O13),1,O13)</f>
        <v>0.82926829268292679</v>
      </c>
      <c r="R21" s="64">
        <f>+P17/IF(ISERR(AC11),1,P13)</f>
        <v>1</v>
      </c>
      <c r="Y21" s="69" t="s">
        <v>81</v>
      </c>
      <c r="Z21" s="68"/>
      <c r="AC21" s="121"/>
      <c r="AD21" s="122"/>
    </row>
    <row r="22" spans="1:30" x14ac:dyDescent="0.25">
      <c r="A22" s="160">
        <v>150332</v>
      </c>
      <c r="B22" s="160" t="s">
        <v>1475</v>
      </c>
      <c r="C22" s="160" t="s">
        <v>34</v>
      </c>
      <c r="D22" s="160" t="s">
        <v>1476</v>
      </c>
      <c r="E22" s="160" t="s">
        <v>72</v>
      </c>
      <c r="F22" s="160">
        <v>3</v>
      </c>
      <c r="G22" s="90" t="str">
        <f t="shared" si="0"/>
        <v>U</v>
      </c>
      <c r="H22" s="105" t="s">
        <v>35</v>
      </c>
      <c r="I22" s="109" t="s">
        <v>35</v>
      </c>
      <c r="J22" s="160"/>
      <c r="K22" s="71" t="s">
        <v>735</v>
      </c>
      <c r="L22" s="68"/>
      <c r="M22" s="68"/>
      <c r="Y22" s="71" t="s">
        <v>32</v>
      </c>
      <c r="Z22" s="68"/>
      <c r="AC22" s="121">
        <f>+GETPIVOTDATA("Story Points",$N$34,"Project","A","Added After",)</f>
        <v>40</v>
      </c>
      <c r="AD22" s="122" t="e">
        <f>+GETPIVOTDATA("Story Points",$N$34,"Project","A","Added After","Y")</f>
        <v>#REF!</v>
      </c>
    </row>
    <row r="23" spans="1:30" ht="15.75" thickBot="1" x14ac:dyDescent="0.3">
      <c r="A23" s="160">
        <v>212460</v>
      </c>
      <c r="B23" s="160" t="s">
        <v>1477</v>
      </c>
      <c r="C23" s="160" t="s">
        <v>33</v>
      </c>
      <c r="D23" s="160" t="s">
        <v>1478</v>
      </c>
      <c r="E23" s="160" t="s">
        <v>64</v>
      </c>
      <c r="F23" s="160">
        <v>1</v>
      </c>
      <c r="G23" s="90" t="str">
        <f t="shared" si="0"/>
        <v>A</v>
      </c>
      <c r="H23" s="105"/>
      <c r="I23" s="109"/>
      <c r="J23" s="160"/>
      <c r="K23" s="70" t="s">
        <v>122</v>
      </c>
      <c r="L23" s="68"/>
      <c r="M23" s="68"/>
      <c r="N23" s="160" t="s">
        <v>49</v>
      </c>
      <c r="O23" s="160" t="s">
        <v>126</v>
      </c>
      <c r="P23" s="160" t="s">
        <v>125</v>
      </c>
      <c r="Q23" s="80" t="s">
        <v>239</v>
      </c>
      <c r="R23" s="160" t="s">
        <v>129</v>
      </c>
      <c r="Y23" s="70" t="s">
        <v>1340</v>
      </c>
      <c r="Z23" s="68">
        <v>1</v>
      </c>
      <c r="AC23" s="123">
        <f>+GETPIVOTDATA("Story Points",$N$34,"Project","U","Added After",)</f>
        <v>39</v>
      </c>
      <c r="AD23" s="124">
        <f>+GETPIVOTDATA("Story Points",$N$34,"Project","U","Added After","Y")</f>
        <v>10</v>
      </c>
    </row>
    <row r="24" spans="1:30" x14ac:dyDescent="0.25">
      <c r="A24" s="160">
        <v>212525</v>
      </c>
      <c r="B24" s="160" t="s">
        <v>1479</v>
      </c>
      <c r="C24" s="160" t="s">
        <v>33</v>
      </c>
      <c r="D24" s="160" t="s">
        <v>1480</v>
      </c>
      <c r="E24" s="160" t="s">
        <v>61</v>
      </c>
      <c r="F24" s="160">
        <v>3</v>
      </c>
      <c r="G24" s="90" t="str">
        <f t="shared" si="0"/>
        <v>A</v>
      </c>
      <c r="H24" s="105"/>
      <c r="I24" s="109"/>
      <c r="J24" s="160"/>
      <c r="K24" s="71" t="s">
        <v>36</v>
      </c>
      <c r="L24" s="68">
        <v>41</v>
      </c>
      <c r="M24" s="68"/>
      <c r="N24" s="160" t="s">
        <v>2</v>
      </c>
      <c r="O24" s="160">
        <f>IFERROR(AC22,0)</f>
        <v>40</v>
      </c>
      <c r="P24" s="160">
        <f>IFERROR(AD22,0)</f>
        <v>0</v>
      </c>
      <c r="Q24" s="160">
        <f>+O12-Q12-Table7222936435750647178859299106113120127134[[#This Row],[Committed Done]]</f>
        <v>4</v>
      </c>
      <c r="R24" s="160">
        <f>+Table7222936435750647178859299106113120127134[[#This Row],[Committed Done]]+Table7222936435750647178859299106113120127134[[#This Row],[Added Done]]</f>
        <v>40</v>
      </c>
      <c r="Y24" s="71" t="s">
        <v>668</v>
      </c>
      <c r="Z24" s="68">
        <v>1</v>
      </c>
    </row>
    <row r="25" spans="1:30" x14ac:dyDescent="0.25">
      <c r="A25" s="160">
        <v>212428</v>
      </c>
      <c r="B25" s="160" t="s">
        <v>1481</v>
      </c>
      <c r="C25" s="160" t="s">
        <v>34</v>
      </c>
      <c r="D25" s="160" t="s">
        <v>1482</v>
      </c>
      <c r="E25" s="160" t="s">
        <v>61</v>
      </c>
      <c r="F25" s="160">
        <v>3</v>
      </c>
      <c r="G25" s="90" t="str">
        <f t="shared" si="0"/>
        <v>A</v>
      </c>
      <c r="H25" s="105"/>
      <c r="I25" s="109" t="s">
        <v>35</v>
      </c>
      <c r="J25" s="160"/>
      <c r="K25" s="70" t="s">
        <v>34</v>
      </c>
      <c r="L25" s="68">
        <v>34</v>
      </c>
      <c r="M25" s="68"/>
      <c r="N25" s="160" t="s">
        <v>3</v>
      </c>
      <c r="O25" s="160">
        <f>IFERROR(AC23,0)</f>
        <v>39</v>
      </c>
      <c r="P25" s="160">
        <f>IFERROR(AD23,0)</f>
        <v>10</v>
      </c>
      <c r="Q25" s="160">
        <f>+O13-Q13-Table7222936435750647178859299106113120127134[[#This Row],[Committed Done]]</f>
        <v>2</v>
      </c>
      <c r="R25" s="160">
        <f>+Table7222936435750647178859299106113120127134[[#This Row],[Committed Done]]+Table7222936435750647178859299106113120127134[[#This Row],[Added Done]]</f>
        <v>49</v>
      </c>
      <c r="Y25" s="69" t="s">
        <v>663</v>
      </c>
      <c r="Z25" s="68">
        <v>1</v>
      </c>
    </row>
    <row r="26" spans="1:30" x14ac:dyDescent="0.25">
      <c r="A26" s="160">
        <v>212427</v>
      </c>
      <c r="B26" s="160" t="s">
        <v>1483</v>
      </c>
      <c r="C26" s="160" t="s">
        <v>34</v>
      </c>
      <c r="D26" s="160" t="s">
        <v>1484</v>
      </c>
      <c r="E26" s="160" t="s">
        <v>58</v>
      </c>
      <c r="F26" s="160">
        <v>3</v>
      </c>
      <c r="G26" s="90" t="str">
        <f t="shared" si="0"/>
        <v>A</v>
      </c>
      <c r="H26" s="105"/>
      <c r="I26" s="109" t="s">
        <v>35</v>
      </c>
      <c r="J26" s="160"/>
      <c r="K26" s="70" t="s">
        <v>33</v>
      </c>
      <c r="L26" s="68">
        <v>7</v>
      </c>
      <c r="Y26" s="69" t="s">
        <v>122</v>
      </c>
      <c r="Z26" s="68"/>
    </row>
    <row r="27" spans="1:30" x14ac:dyDescent="0.25">
      <c r="A27" s="160">
        <v>212245</v>
      </c>
      <c r="B27" s="160" t="s">
        <v>1485</v>
      </c>
      <c r="C27" s="160" t="s">
        <v>34</v>
      </c>
      <c r="D27" s="160" t="s">
        <v>1486</v>
      </c>
      <c r="E27" s="160" t="s">
        <v>112</v>
      </c>
      <c r="F27" s="160">
        <v>3</v>
      </c>
      <c r="G27" s="90" t="str">
        <f t="shared" si="0"/>
        <v>A</v>
      </c>
      <c r="H27" s="105"/>
      <c r="I27" s="109" t="s">
        <v>35</v>
      </c>
      <c r="J27" s="160"/>
      <c r="K27" s="71" t="s">
        <v>37</v>
      </c>
      <c r="L27" s="68">
        <v>44</v>
      </c>
      <c r="M27" s="68"/>
      <c r="N27" s="160" t="s">
        <v>49</v>
      </c>
      <c r="O27" s="160" t="s">
        <v>123</v>
      </c>
      <c r="P27" s="160" t="s">
        <v>124</v>
      </c>
      <c r="Q27" s="160" t="s">
        <v>126</v>
      </c>
      <c r="R27" s="160" t="s">
        <v>130</v>
      </c>
      <c r="Y27" s="71" t="s">
        <v>122</v>
      </c>
      <c r="Z27" s="68"/>
    </row>
    <row r="28" spans="1:30" x14ac:dyDescent="0.25">
      <c r="A28" s="160">
        <v>211667</v>
      </c>
      <c r="B28" s="160" t="s">
        <v>1487</v>
      </c>
      <c r="C28" s="160" t="s">
        <v>34</v>
      </c>
      <c r="D28" s="160" t="s">
        <v>1488</v>
      </c>
      <c r="E28" s="160" t="s">
        <v>236</v>
      </c>
      <c r="F28" s="160">
        <v>1</v>
      </c>
      <c r="G28" s="90" t="str">
        <f t="shared" si="0"/>
        <v>A</v>
      </c>
      <c r="H28" s="105"/>
      <c r="I28" s="109" t="s">
        <v>35</v>
      </c>
      <c r="J28" s="160"/>
      <c r="K28" s="70" t="s">
        <v>34</v>
      </c>
      <c r="L28" s="68">
        <v>40</v>
      </c>
      <c r="M28" s="68"/>
      <c r="N28" s="160" t="s">
        <v>2</v>
      </c>
      <c r="O28" s="64">
        <f>R24/IF(O12=0, 1,O12)</f>
        <v>0.90909090909090906</v>
      </c>
      <c r="P28" s="64">
        <f>R24/IF(R12=0,1,R12)</f>
        <v>0.90909090909090906</v>
      </c>
      <c r="Q28" s="64">
        <f>O24/IF(O12=0,1,O12)</f>
        <v>0.90909090909090906</v>
      </c>
      <c r="R28" s="64">
        <f>+P24/IF(P12=0,1,P12)</f>
        <v>0</v>
      </c>
      <c r="Y28" s="70" t="s">
        <v>122</v>
      </c>
      <c r="Z28" s="68"/>
    </row>
    <row r="29" spans="1:30" x14ac:dyDescent="0.25">
      <c r="A29" s="160">
        <v>210867</v>
      </c>
      <c r="B29" s="160" t="s">
        <v>1489</v>
      </c>
      <c r="C29" s="160" t="s">
        <v>34</v>
      </c>
      <c r="D29" s="160" t="s">
        <v>1490</v>
      </c>
      <c r="E29" s="160" t="s">
        <v>72</v>
      </c>
      <c r="F29" s="160">
        <v>5</v>
      </c>
      <c r="G29" s="90" t="str">
        <f t="shared" si="0"/>
        <v>A</v>
      </c>
      <c r="H29" s="105"/>
      <c r="I29" s="109" t="s">
        <v>35</v>
      </c>
      <c r="J29" s="160"/>
      <c r="K29" s="70" t="s">
        <v>33</v>
      </c>
      <c r="L29" s="68">
        <v>4</v>
      </c>
      <c r="M29" s="68"/>
      <c r="N29" s="160" t="s">
        <v>3</v>
      </c>
      <c r="O29" s="64">
        <f>R25/IF(R17=0, 1,O13)</f>
        <v>1.1951219512195121</v>
      </c>
      <c r="P29" s="64">
        <f>R25/IF(R13=0,1,R13)</f>
        <v>0.96078431372549022</v>
      </c>
      <c r="Q29" s="64">
        <f>O25/IF(O13=0,1,O13)</f>
        <v>0.95121951219512191</v>
      </c>
      <c r="R29" s="64">
        <f>+P25/IF(P13=0,1,P13)</f>
        <v>1</v>
      </c>
      <c r="Y29" s="71" t="s">
        <v>1373</v>
      </c>
      <c r="Z29" s="68"/>
    </row>
    <row r="30" spans="1:30" x14ac:dyDescent="0.25">
      <c r="A30" s="160">
        <v>210866</v>
      </c>
      <c r="B30" s="160" t="s">
        <v>1491</v>
      </c>
      <c r="C30" s="160" t="s">
        <v>34</v>
      </c>
      <c r="D30" s="160" t="s">
        <v>1492</v>
      </c>
      <c r="E30" s="160" t="s">
        <v>72</v>
      </c>
      <c r="F30" s="160">
        <v>5</v>
      </c>
      <c r="G30" s="90" t="str">
        <f t="shared" si="0"/>
        <v>A</v>
      </c>
      <c r="H30" s="105"/>
      <c r="I30" s="109" t="s">
        <v>35</v>
      </c>
      <c r="J30" s="160"/>
      <c r="K30" s="69" t="s">
        <v>35</v>
      </c>
      <c r="L30" s="68">
        <v>10</v>
      </c>
      <c r="M30" s="68"/>
      <c r="Y30" s="69" t="s">
        <v>1373</v>
      </c>
      <c r="Z30" s="68"/>
    </row>
    <row r="31" spans="1:30" x14ac:dyDescent="0.25">
      <c r="A31" s="160">
        <v>208021</v>
      </c>
      <c r="B31" s="160" t="s">
        <v>1493</v>
      </c>
      <c r="C31" s="160" t="s">
        <v>34</v>
      </c>
      <c r="D31" s="160" t="s">
        <v>1494</v>
      </c>
      <c r="E31" s="160" t="s">
        <v>58</v>
      </c>
      <c r="F31" s="160">
        <v>3</v>
      </c>
      <c r="G31" s="90" t="str">
        <f t="shared" si="0"/>
        <v>A</v>
      </c>
      <c r="H31" s="105"/>
      <c r="I31" s="109" t="s">
        <v>35</v>
      </c>
      <c r="J31" s="160"/>
      <c r="K31" s="71" t="s">
        <v>36</v>
      </c>
      <c r="L31" s="68">
        <v>10</v>
      </c>
      <c r="M31" s="68"/>
      <c r="Y31" s="69" t="s">
        <v>31</v>
      </c>
      <c r="Z31" s="68">
        <v>6</v>
      </c>
    </row>
    <row r="32" spans="1:30" x14ac:dyDescent="0.25">
      <c r="A32" s="160">
        <v>210730</v>
      </c>
      <c r="B32" s="160" t="s">
        <v>1495</v>
      </c>
      <c r="C32" s="160" t="s">
        <v>34</v>
      </c>
      <c r="D32" s="160" t="s">
        <v>1496</v>
      </c>
      <c r="E32" s="160" t="s">
        <v>64</v>
      </c>
      <c r="F32" s="160">
        <v>1</v>
      </c>
      <c r="G32" s="90" t="str">
        <f t="shared" si="0"/>
        <v>A</v>
      </c>
      <c r="H32" s="105"/>
      <c r="I32" s="109" t="s">
        <v>35</v>
      </c>
      <c r="J32" s="160"/>
      <c r="K32" s="70" t="s">
        <v>34</v>
      </c>
      <c r="L32" s="68">
        <v>10</v>
      </c>
      <c r="N32" s="72" t="s">
        <v>144</v>
      </c>
      <c r="O32" s="160" t="s">
        <v>35</v>
      </c>
    </row>
    <row r="33" spans="1:15" x14ac:dyDescent="0.25">
      <c r="A33" s="160">
        <v>210729</v>
      </c>
      <c r="B33" s="160" t="s">
        <v>1497</v>
      </c>
      <c r="C33" s="160" t="s">
        <v>34</v>
      </c>
      <c r="D33" s="160" t="s">
        <v>1498</v>
      </c>
      <c r="E33" s="160" t="s">
        <v>64</v>
      </c>
      <c r="F33" s="160">
        <v>3</v>
      </c>
      <c r="G33" s="90" t="str">
        <f t="shared" si="0"/>
        <v>A</v>
      </c>
      <c r="H33" s="105"/>
      <c r="I33" s="109" t="s">
        <v>35</v>
      </c>
      <c r="J33" s="160"/>
      <c r="K33" s="69" t="s">
        <v>31</v>
      </c>
      <c r="L33" s="68">
        <v>95</v>
      </c>
    </row>
    <row r="34" spans="1:15" x14ac:dyDescent="0.25">
      <c r="A34" s="160">
        <v>207911</v>
      </c>
      <c r="B34" s="160" t="s">
        <v>1499</v>
      </c>
      <c r="C34" s="160" t="s">
        <v>34</v>
      </c>
      <c r="D34" s="160" t="s">
        <v>1500</v>
      </c>
      <c r="E34" s="160" t="s">
        <v>61</v>
      </c>
      <c r="F34" s="160">
        <v>3</v>
      </c>
      <c r="G34" s="90" t="str">
        <f t="shared" si="0"/>
        <v>A</v>
      </c>
      <c r="H34" s="105"/>
      <c r="I34" s="109" t="s">
        <v>35</v>
      </c>
      <c r="J34" s="160"/>
      <c r="K34"/>
      <c r="L34"/>
      <c r="N34" s="72" t="s">
        <v>655</v>
      </c>
      <c r="O34" t="s">
        <v>50</v>
      </c>
    </row>
    <row r="35" spans="1:15" x14ac:dyDescent="0.25">
      <c r="A35" s="160">
        <v>207800</v>
      </c>
      <c r="B35" s="160" t="s">
        <v>1408</v>
      </c>
      <c r="C35" s="160" t="s">
        <v>34</v>
      </c>
      <c r="D35" s="160" t="s">
        <v>1409</v>
      </c>
      <c r="E35" s="160" t="s">
        <v>58</v>
      </c>
      <c r="F35" s="160">
        <v>3</v>
      </c>
      <c r="G35" s="90" t="str">
        <f t="shared" si="0"/>
        <v>A</v>
      </c>
      <c r="H35" s="105"/>
      <c r="I35" s="109" t="s">
        <v>35</v>
      </c>
      <c r="J35" s="160"/>
      <c r="K35"/>
      <c r="L35"/>
      <c r="N35" s="69" t="s">
        <v>36</v>
      </c>
      <c r="O35" s="68"/>
    </row>
    <row r="36" spans="1:15" x14ac:dyDescent="0.25">
      <c r="A36" s="160">
        <v>198631</v>
      </c>
      <c r="B36" s="160" t="s">
        <v>1305</v>
      </c>
      <c r="C36" s="160" t="s">
        <v>34</v>
      </c>
      <c r="D36" s="160" t="s">
        <v>1306</v>
      </c>
      <c r="E36" s="160" t="s">
        <v>72</v>
      </c>
      <c r="F36" s="160">
        <v>3</v>
      </c>
      <c r="G36" s="90" t="str">
        <f t="shared" si="0"/>
        <v>A</v>
      </c>
      <c r="H36" s="105"/>
      <c r="I36" s="109" t="s">
        <v>35</v>
      </c>
      <c r="J36" s="160"/>
      <c r="K36"/>
      <c r="L36"/>
      <c r="N36" s="71" t="s">
        <v>122</v>
      </c>
      <c r="O36" s="68">
        <v>39</v>
      </c>
    </row>
    <row r="37" spans="1:15" x14ac:dyDescent="0.25">
      <c r="A37" s="160">
        <v>178945</v>
      </c>
      <c r="B37" s="160" t="s">
        <v>1501</v>
      </c>
      <c r="C37" s="160" t="s">
        <v>34</v>
      </c>
      <c r="D37" s="160" t="s">
        <v>1502</v>
      </c>
      <c r="E37" s="160" t="s">
        <v>72</v>
      </c>
      <c r="F37" s="160">
        <v>2</v>
      </c>
      <c r="G37" s="90" t="str">
        <f t="shared" si="0"/>
        <v>A</v>
      </c>
      <c r="H37" s="105"/>
      <c r="I37" s="109" t="s">
        <v>35</v>
      </c>
      <c r="J37" s="160"/>
      <c r="K37"/>
      <c r="L37"/>
      <c r="N37" s="71" t="s">
        <v>35</v>
      </c>
      <c r="O37" s="68">
        <v>10</v>
      </c>
    </row>
    <row r="38" spans="1:15" x14ac:dyDescent="0.25">
      <c r="A38" s="160">
        <v>161662</v>
      </c>
      <c r="B38" s="160" t="s">
        <v>1503</v>
      </c>
      <c r="C38" s="160" t="s">
        <v>34</v>
      </c>
      <c r="D38" s="160" t="s">
        <v>1504</v>
      </c>
      <c r="E38" s="160" t="s">
        <v>236</v>
      </c>
      <c r="F38" s="160">
        <v>2</v>
      </c>
      <c r="G38" s="90" t="str">
        <f t="shared" si="0"/>
        <v>A</v>
      </c>
      <c r="H38" s="105"/>
      <c r="I38" s="109" t="s">
        <v>35</v>
      </c>
      <c r="J38" s="160"/>
      <c r="K38"/>
      <c r="L38"/>
      <c r="N38" s="69" t="s">
        <v>132</v>
      </c>
      <c r="O38" s="68">
        <v>49</v>
      </c>
    </row>
    <row r="39" spans="1:15" x14ac:dyDescent="0.25">
      <c r="C39" s="160"/>
      <c r="G39" s="160" t="str">
        <f t="shared" ref="G2:G53" si="4">MID(B39,4,1)</f>
        <v/>
      </c>
      <c r="H39" s="105"/>
      <c r="I39" s="109"/>
      <c r="J39" s="160"/>
      <c r="M39" s="68"/>
      <c r="N39" s="69" t="s">
        <v>37</v>
      </c>
      <c r="O39" s="68"/>
    </row>
    <row r="40" spans="1:15" x14ac:dyDescent="0.25">
      <c r="C40" s="160"/>
      <c r="G40" s="90" t="str">
        <f t="shared" si="4"/>
        <v/>
      </c>
      <c r="H40" s="105"/>
      <c r="I40" s="109"/>
      <c r="J40" s="160"/>
      <c r="M40" s="68"/>
      <c r="N40" s="71" t="s">
        <v>122</v>
      </c>
      <c r="O40" s="68">
        <v>40</v>
      </c>
    </row>
    <row r="41" spans="1:15" x14ac:dyDescent="0.25">
      <c r="C41" s="160"/>
      <c r="G41" s="90" t="str">
        <f t="shared" si="4"/>
        <v/>
      </c>
      <c r="H41" s="105"/>
      <c r="I41" s="109"/>
      <c r="J41" s="160"/>
      <c r="M41" s="68"/>
      <c r="N41" s="69" t="s">
        <v>131</v>
      </c>
      <c r="O41" s="68">
        <v>40</v>
      </c>
    </row>
    <row r="42" spans="1:15" x14ac:dyDescent="0.25">
      <c r="C42" s="160"/>
      <c r="G42" s="90" t="str">
        <f t="shared" si="4"/>
        <v/>
      </c>
      <c r="H42" s="105"/>
      <c r="I42" s="109"/>
      <c r="J42" s="160"/>
      <c r="M42" s="68"/>
      <c r="N42" s="69" t="s">
        <v>31</v>
      </c>
      <c r="O42" s="68">
        <v>89</v>
      </c>
    </row>
    <row r="43" spans="1:15" x14ac:dyDescent="0.25">
      <c r="C43" s="160"/>
      <c r="G43" s="90" t="str">
        <f t="shared" si="4"/>
        <v/>
      </c>
      <c r="H43" s="105"/>
      <c r="I43" s="109"/>
      <c r="J43" s="160"/>
      <c r="M43" s="68"/>
      <c r="N43"/>
      <c r="O43"/>
    </row>
    <row r="44" spans="1:15" x14ac:dyDescent="0.25">
      <c r="C44" s="160"/>
      <c r="G44" s="90" t="str">
        <f t="shared" si="4"/>
        <v/>
      </c>
      <c r="H44" s="105"/>
      <c r="I44" s="109"/>
      <c r="J44" s="160"/>
      <c r="M44" s="68"/>
    </row>
    <row r="45" spans="1:15" x14ac:dyDescent="0.25">
      <c r="C45" s="160"/>
      <c r="G45" s="90" t="str">
        <f t="shared" si="4"/>
        <v/>
      </c>
      <c r="H45" s="105"/>
      <c r="I45" s="109"/>
      <c r="J45" s="160"/>
      <c r="M45" s="68"/>
    </row>
    <row r="46" spans="1:15" x14ac:dyDescent="0.25">
      <c r="A46" s="90"/>
      <c r="B46" s="105"/>
      <c r="C46" s="105"/>
      <c r="D46" s="105"/>
      <c r="E46" s="107"/>
      <c r="F46" s="105"/>
      <c r="G46" s="90" t="str">
        <f t="shared" si="4"/>
        <v/>
      </c>
      <c r="H46" s="105"/>
      <c r="I46" s="109"/>
      <c r="J46" s="160"/>
      <c r="M46" s="68"/>
    </row>
    <row r="47" spans="1:15" x14ac:dyDescent="0.25">
      <c r="A47" s="73"/>
      <c r="C47" s="160"/>
      <c r="G47" s="73" t="str">
        <f t="shared" si="4"/>
        <v/>
      </c>
      <c r="H47" s="105"/>
      <c r="I47" s="109"/>
      <c r="J47" s="160"/>
      <c r="M47" s="68"/>
    </row>
    <row r="48" spans="1:15" x14ac:dyDescent="0.25">
      <c r="A48" s="90"/>
      <c r="C48" s="160"/>
      <c r="G48" s="90" t="str">
        <f t="shared" si="4"/>
        <v/>
      </c>
      <c r="H48" s="105"/>
      <c r="I48" s="109"/>
      <c r="J48" s="160"/>
    </row>
    <row r="49" spans="1:13" x14ac:dyDescent="0.25">
      <c r="A49" s="90"/>
      <c r="C49" s="160"/>
      <c r="G49" s="90" t="str">
        <f t="shared" si="4"/>
        <v/>
      </c>
      <c r="H49" s="105"/>
      <c r="I49" s="109"/>
      <c r="J49" s="160"/>
    </row>
    <row r="50" spans="1:13" x14ac:dyDescent="0.25">
      <c r="A50" s="73"/>
      <c r="C50" s="160"/>
      <c r="F50" s="13"/>
      <c r="G50" s="73" t="str">
        <f t="shared" si="4"/>
        <v/>
      </c>
      <c r="H50" s="105"/>
      <c r="I50" s="109"/>
      <c r="J50" s="160"/>
    </row>
    <row r="51" spans="1:13" x14ac:dyDescent="0.25">
      <c r="A51" s="90"/>
      <c r="C51" s="160"/>
      <c r="G51" s="90" t="str">
        <f t="shared" si="4"/>
        <v/>
      </c>
      <c r="H51" s="105"/>
      <c r="I51" s="109"/>
      <c r="J51" s="160"/>
    </row>
    <row r="52" spans="1:13" x14ac:dyDescent="0.25">
      <c r="A52" s="90"/>
      <c r="C52" s="160"/>
      <c r="G52" s="90" t="str">
        <f t="shared" si="4"/>
        <v/>
      </c>
      <c r="H52" s="105"/>
      <c r="I52" s="109"/>
      <c r="J52" s="160"/>
    </row>
    <row r="53" spans="1:13" x14ac:dyDescent="0.25">
      <c r="A53" s="90"/>
      <c r="C53" s="160"/>
      <c r="G53" s="90" t="str">
        <f t="shared" si="4"/>
        <v/>
      </c>
      <c r="H53" s="105"/>
      <c r="I53" s="109"/>
      <c r="J53" s="160"/>
      <c r="K53" s="160" t="s">
        <v>669</v>
      </c>
    </row>
    <row r="54" spans="1:13" x14ac:dyDescent="0.25">
      <c r="B54" s="106"/>
      <c r="D54" s="106"/>
      <c r="E54" s="106"/>
      <c r="F54" s="106"/>
      <c r="J54" s="160"/>
      <c r="M54" s="68"/>
    </row>
    <row r="55" spans="1:13" x14ac:dyDescent="0.25">
      <c r="B55" s="106"/>
      <c r="D55" s="106"/>
      <c r="E55" s="106"/>
      <c r="F55" s="106"/>
      <c r="J55" s="160"/>
      <c r="M55" s="68"/>
    </row>
    <row r="56" spans="1:13" x14ac:dyDescent="0.25">
      <c r="J56" s="160"/>
      <c r="K56" s="71"/>
      <c r="L56" s="68"/>
      <c r="M56" s="68"/>
    </row>
    <row r="57" spans="1:13" x14ac:dyDescent="0.25">
      <c r="J57" s="160"/>
      <c r="K57" s="69"/>
      <c r="L57" s="68"/>
    </row>
    <row r="58" spans="1:13" x14ac:dyDescent="0.25">
      <c r="J58" s="160"/>
      <c r="K58" s="69"/>
      <c r="L58" s="68"/>
    </row>
    <row r="59" spans="1:13" x14ac:dyDescent="0.25">
      <c r="J59" s="160"/>
    </row>
    <row r="60" spans="1:13" x14ac:dyDescent="0.25">
      <c r="J60" s="160"/>
    </row>
    <row r="61" spans="1:13" x14ac:dyDescent="0.25">
      <c r="J61" s="160"/>
    </row>
    <row r="62" spans="1:13" x14ac:dyDescent="0.25">
      <c r="J62" s="160"/>
    </row>
  </sheetData>
  <sheetProtection sort="0" autoFilter="0" pivotTables="0"/>
  <mergeCells count="1">
    <mergeCell ref="AC9:AD9"/>
  </mergeCells>
  <conditionalFormatting sqref="I2:I53">
    <cfRule type="expression" dxfId="57" priority="22">
      <formula>$C2="Done"</formula>
    </cfRule>
  </conditionalFormatting>
  <conditionalFormatting sqref="C2:C48">
    <cfRule type="expression" dxfId="56" priority="20">
      <formula>C2="Blocked"</formula>
    </cfRule>
    <cfRule type="expression" dxfId="55" priority="21">
      <formula>C2="Done"</formula>
    </cfRule>
  </conditionalFormatting>
  <conditionalFormatting sqref="I2:I53">
    <cfRule type="expression" dxfId="54" priority="19" stopIfTrue="1">
      <formula>IF(C2="Done", IF(I2&lt;&gt;"Y",TRUE,FALSE),FALSE)</formula>
    </cfRule>
  </conditionalFormatting>
  <conditionalFormatting sqref="S2:S4">
    <cfRule type="expression" dxfId="53" priority="18">
      <formula>IF(S2&lt;0.8, TRUE, IF(S2&gt;1.2, TRUE, FALSE))</formula>
    </cfRule>
  </conditionalFormatting>
  <conditionalFormatting sqref="D39:E40 D32:D38">
    <cfRule type="expression" dxfId="52" priority="16">
      <formula>D32="Blocked"</formula>
    </cfRule>
    <cfRule type="expression" dxfId="51" priority="17">
      <formula>D32="Done"</formula>
    </cfRule>
  </conditionalFormatting>
  <conditionalFormatting sqref="C49">
    <cfRule type="expression" dxfId="50" priority="14">
      <formula>C49="Blocked"</formula>
    </cfRule>
    <cfRule type="expression" dxfId="49" priority="15">
      <formula>C49="Done"</formula>
    </cfRule>
  </conditionalFormatting>
  <conditionalFormatting sqref="C50:C52">
    <cfRule type="expression" dxfId="48" priority="12">
      <formula>C50="Blocked"</formula>
    </cfRule>
    <cfRule type="expression" dxfId="47" priority="13">
      <formula>C50="Done"</formula>
    </cfRule>
  </conditionalFormatting>
  <conditionalFormatting sqref="C53">
    <cfRule type="expression" dxfId="46" priority="10">
      <formula>C53="Blocked"</formula>
    </cfRule>
    <cfRule type="expression" dxfId="45" priority="11">
      <formula>C53="Done"</formula>
    </cfRule>
  </conditionalFormatting>
  <conditionalFormatting sqref="T7:U7">
    <cfRule type="expression" dxfId="44" priority="8">
      <formula>T7&gt;0.2</formula>
    </cfRule>
    <cfRule type="expression" dxfId="43" priority="9">
      <formula>T7&gt;0.4</formula>
    </cfRule>
  </conditionalFormatting>
  <conditionalFormatting sqref="T6:U6">
    <cfRule type="expression" dxfId="42" priority="5">
      <formula>T6&gt;0.2</formula>
    </cfRule>
    <cfRule type="expression" dxfId="41" priority="6">
      <formula>T6&gt;0.4</formula>
    </cfRule>
  </conditionalFormatting>
  <conditionalFormatting sqref="P7:R8">
    <cfRule type="expression" dxfId="40" priority="2">
      <formula>P7&gt;0.2</formula>
    </cfRule>
    <cfRule type="expression" dxfId="39" priority="3">
      <formula>P7&gt;0.4</formula>
    </cfRule>
  </conditionalFormatting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9201" r:id="rId8" name="Button 1">
              <controlPr defaultSize="0" print="0" autoFill="0" autoPict="0" macro="[0]!ResetAndLock">
                <anchor moveWithCells="1" sizeWithCells="1">
                  <from>
                    <xdr:col>18</xdr:col>
                    <xdr:colOff>952500</xdr:colOff>
                    <xdr:row>8</xdr:row>
                    <xdr:rowOff>9525</xdr:rowOff>
                  </from>
                  <to>
                    <xdr:col>23</xdr:col>
                    <xdr:colOff>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8">
    <tablePart r:id="rId9"/>
    <tablePart r:id="rId10"/>
    <tablePart r:id="rId11"/>
    <tablePart r:id="rId12"/>
    <tablePart r:id="rId13"/>
    <tablePart r:id="rId14"/>
    <tablePart r:id="rId15"/>
    <tablePart r:id="rId1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7" id="{46E11E93-19FA-4BB6-942E-3D1B44545685}">
            <x14:iconSet iconSet="4Arrows" custom="1">
              <x14:cfvo type="percent">
                <xm:f>0</xm:f>
              </x14:cfvo>
              <x14:cfvo type="num">
                <xm:f>0.2</xm:f>
              </x14:cfvo>
              <x14:cfvo type="num">
                <xm:f>0.3</xm:f>
              </x14:cfvo>
              <x14:cfvo type="num">
                <xm:f>0.5</xm:f>
              </x14:cfvo>
              <x14:cfIcon iconSet="3Symbols2" iconId="2"/>
              <x14:cfIcon iconSet="3Flags" iconId="1"/>
              <x14:cfIcon iconSet="3Symbols" iconId="1"/>
              <x14:cfIcon iconSet="3Symbols" iconId="0"/>
            </x14:iconSet>
          </x14:cfRule>
          <xm:sqref>T7:U7</xm:sqref>
        </x14:conditionalFormatting>
        <x14:conditionalFormatting xmlns:xm="http://schemas.microsoft.com/office/excel/2006/main">
          <x14:cfRule type="iconSet" priority="4" id="{D5347F27-B632-4AF3-B2FB-BE8ADDC4D27D}">
            <x14:iconSet iconSet="4Arrows" custom="1">
              <x14:cfvo type="percent">
                <xm:f>0</xm:f>
              </x14:cfvo>
              <x14:cfvo type="num">
                <xm:f>0.2</xm:f>
              </x14:cfvo>
              <x14:cfvo type="num">
                <xm:f>0.3</xm:f>
              </x14:cfvo>
              <x14:cfvo type="num">
                <xm:f>0.5</xm:f>
              </x14:cfvo>
              <x14:cfIcon iconSet="3Symbols2" iconId="2"/>
              <x14:cfIcon iconSet="3Flags" iconId="1"/>
              <x14:cfIcon iconSet="3Symbols" iconId="1"/>
              <x14:cfIcon iconSet="3Symbols" iconId="0"/>
            </x14:iconSet>
          </x14:cfRule>
          <xm:sqref>T6:U6</xm:sqref>
        </x14:conditionalFormatting>
        <x14:conditionalFormatting xmlns:xm="http://schemas.microsoft.com/office/excel/2006/main">
          <x14:cfRule type="iconSet" priority="1" id="{24A21BF7-A65C-4A23-BF25-168DAD0E2D5E}">
            <x14:iconSet iconSet="4Arrows" custom="1">
              <x14:cfvo type="percent">
                <xm:f>0</xm:f>
              </x14:cfvo>
              <x14:cfvo type="num">
                <xm:f>0.2</xm:f>
              </x14:cfvo>
              <x14:cfvo type="num">
                <xm:f>0.3</xm:f>
              </x14:cfvo>
              <x14:cfvo type="num">
                <xm:f>0.5</xm:f>
              </x14:cfvo>
              <x14:cfIcon iconSet="3Symbols2" iconId="2"/>
              <x14:cfIcon iconSet="3Flags" iconId="1"/>
              <x14:cfIcon iconSet="3Symbols" iconId="1"/>
              <x14:cfIcon iconSet="3Symbols" iconId="0"/>
            </x14:iconSet>
          </x14:cfRule>
          <xm:sqref>P7:R8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1D1B8-03CB-4DDD-913F-11716A03B27C}">
  <sheetPr codeName="Sheet21"/>
  <dimension ref="A1:AD62"/>
  <sheetViews>
    <sheetView topLeftCell="A15" zoomScale="190" zoomScaleNormal="190" workbookViewId="0">
      <selection activeCell="G16" sqref="G16"/>
    </sheetView>
  </sheetViews>
  <sheetFormatPr defaultRowHeight="15" x14ac:dyDescent="0.25"/>
  <cols>
    <col min="1" max="1" width="9.140625" style="160"/>
    <col min="2" max="2" width="12.28515625" style="160" customWidth="1"/>
    <col min="3" max="3" width="11" style="106" customWidth="1"/>
    <col min="4" max="4" width="56.28515625" style="160" customWidth="1"/>
    <col min="5" max="5" width="13.140625" style="160" customWidth="1"/>
    <col min="6" max="6" width="13.85546875" style="160" bestFit="1" customWidth="1"/>
    <col min="7" max="7" width="9.140625" style="160"/>
    <col min="8" max="8" width="14.140625" style="160" bestFit="1" customWidth="1"/>
    <col min="9" max="9" width="14.140625" style="106" bestFit="1" customWidth="1"/>
    <col min="10" max="10" width="10.85546875" style="106" customWidth="1"/>
    <col min="11" max="11" width="15" style="160" bestFit="1" customWidth="1"/>
    <col min="12" max="13" width="6.42578125" style="160" bestFit="1" customWidth="1"/>
    <col min="14" max="14" width="11.28515625" style="160" bestFit="1" customWidth="1"/>
    <col min="15" max="15" width="18.42578125" style="160" bestFit="1" customWidth="1"/>
    <col min="16" max="16" width="18.42578125" style="160" customWidth="1"/>
    <col min="17" max="17" width="19" style="160" customWidth="1"/>
    <col min="18" max="18" width="16.28515625" style="160" customWidth="1"/>
    <col min="19" max="19" width="16.5703125" style="160" customWidth="1"/>
    <col min="20" max="20" width="14.5703125" style="160" customWidth="1"/>
    <col min="21" max="21" width="18.140625" style="160" customWidth="1"/>
    <col min="22" max="22" width="1.42578125" style="160" customWidth="1"/>
    <col min="23" max="23" width="11" style="160" customWidth="1"/>
    <col min="24" max="24" width="10.85546875" style="160" customWidth="1"/>
    <col min="25" max="25" width="74.28515625" style="160" bestFit="1" customWidth="1"/>
    <col min="26" max="26" width="14.5703125" style="160" bestFit="1" customWidth="1"/>
    <col min="27" max="27" width="14.5703125" style="160" customWidth="1"/>
    <col min="28" max="28" width="9.140625" style="160" customWidth="1"/>
    <col min="29" max="29" width="11.5703125" style="160" customWidth="1"/>
    <col min="30" max="32" width="9.140625" style="160" customWidth="1"/>
    <col min="33" max="16384" width="9.140625" style="160"/>
  </cols>
  <sheetData>
    <row r="1" spans="1:30" ht="30.75" customHeight="1" x14ac:dyDescent="0.25">
      <c r="A1" s="160" t="s">
        <v>231</v>
      </c>
      <c r="B1" s="160" t="s">
        <v>48</v>
      </c>
      <c r="C1" s="106" t="s">
        <v>47</v>
      </c>
      <c r="D1" s="160" t="s">
        <v>46</v>
      </c>
      <c r="E1" s="160" t="s">
        <v>45</v>
      </c>
      <c r="F1" s="160" t="s">
        <v>38</v>
      </c>
      <c r="G1" s="160" t="s">
        <v>44</v>
      </c>
      <c r="H1" s="106" t="s">
        <v>43</v>
      </c>
      <c r="I1" s="106" t="s">
        <v>144</v>
      </c>
      <c r="J1" s="160"/>
      <c r="N1" s="160" t="s">
        <v>133</v>
      </c>
      <c r="O1" s="160" t="s">
        <v>134</v>
      </c>
      <c r="P1" s="160" t="s">
        <v>41</v>
      </c>
      <c r="Q1" s="160" t="s">
        <v>135</v>
      </c>
      <c r="R1" s="160" t="s">
        <v>136</v>
      </c>
      <c r="S1" s="86" t="s">
        <v>143</v>
      </c>
      <c r="T1" s="86" t="s">
        <v>141</v>
      </c>
      <c r="U1" s="159" t="s">
        <v>142</v>
      </c>
      <c r="V1" s="86" t="s">
        <v>1108</v>
      </c>
      <c r="W1" s="86" t="s">
        <v>145</v>
      </c>
      <c r="Y1" s="160" t="s">
        <v>39</v>
      </c>
      <c r="Z1" s="160" t="s">
        <v>666</v>
      </c>
    </row>
    <row r="2" spans="1:30" hidden="1" x14ac:dyDescent="0.25">
      <c r="A2" s="160">
        <v>136361</v>
      </c>
      <c r="B2" s="160" t="s">
        <v>1426</v>
      </c>
      <c r="C2" s="160" t="s">
        <v>34</v>
      </c>
      <c r="D2" s="160" t="s">
        <v>1427</v>
      </c>
      <c r="E2" s="160" t="s">
        <v>61</v>
      </c>
      <c r="F2" s="160">
        <v>5</v>
      </c>
      <c r="G2" s="160" t="str">
        <f t="shared" ref="G2:G33" si="0">MID(B2,4,1)</f>
        <v>A</v>
      </c>
      <c r="H2" s="105" t="s">
        <v>234</v>
      </c>
      <c r="I2" s="109" t="s">
        <v>35</v>
      </c>
      <c r="J2" s="160"/>
      <c r="K2" s="72" t="s">
        <v>119</v>
      </c>
      <c r="L2" t="s">
        <v>120</v>
      </c>
      <c r="N2" s="160" t="s">
        <v>2</v>
      </c>
      <c r="O2" s="160">
        <f>+O12-Table92431384559526673808794101108115122129[[#This Row],[Blocked]]</f>
        <v>29</v>
      </c>
      <c r="P2" s="160">
        <f>IF(ISERR(P12),0,P12)</f>
        <v>1</v>
      </c>
      <c r="Q2" s="160">
        <f>IF(ISERR(Q12),0,Q12)</f>
        <v>0</v>
      </c>
      <c r="R2" s="160">
        <f>+IF(ISERR(R16),0,R16)</f>
        <v>25</v>
      </c>
      <c r="S2" s="88">
        <f>Table92431384559526673808794101108115122129[[#This Row],[Completed]]/Table92431384559526673808794101108115122129[[#This Row],[Committed]]</f>
        <v>0.86206896551724133</v>
      </c>
      <c r="T2" s="83">
        <f>Table92431384559526673808794101108115122129[[#This Row],[Completed]]/(Table92431384559526673808794101108115122129[[#This Row],[Added]]+Table92431384559526673808794101108115122129[[#This Row],[Committed]])</f>
        <v>0.83333333333333337</v>
      </c>
      <c r="V2" s="84" t="str">
        <f>IF(ISERR(O16),0,O16) &amp; "  (" &amp;TEXT(IF(ISERR(O16),0,O16)/Table92431384559526673808794101108115122129[[#This Row],[Committed]],"#%") &amp; ")"</f>
        <v>24  (83%)</v>
      </c>
      <c r="W2" s="85" t="str">
        <f>+IF(ISERR(P16),0,P16) &amp; " (" &amp; TEXT(R20, "#%") &amp; ")"</f>
        <v>1 (100%)</v>
      </c>
      <c r="Y2" s="69" t="s">
        <v>61</v>
      </c>
      <c r="Z2" s="68"/>
    </row>
    <row r="3" spans="1:30" hidden="1" x14ac:dyDescent="0.25">
      <c r="A3" s="160">
        <v>136367</v>
      </c>
      <c r="B3" s="160" t="s">
        <v>1316</v>
      </c>
      <c r="C3" s="160" t="s">
        <v>34</v>
      </c>
      <c r="D3" s="160" t="s">
        <v>1317</v>
      </c>
      <c r="E3" s="160" t="s">
        <v>58</v>
      </c>
      <c r="F3" s="160">
        <v>5</v>
      </c>
      <c r="G3" s="160" t="str">
        <f t="shared" si="0"/>
        <v>A</v>
      </c>
      <c r="H3" s="105" t="s">
        <v>234</v>
      </c>
      <c r="I3" s="109" t="s">
        <v>35</v>
      </c>
      <c r="J3" s="160"/>
      <c r="K3" s="69" t="s">
        <v>37</v>
      </c>
      <c r="L3" s="68">
        <v>43</v>
      </c>
      <c r="N3" s="160" t="s">
        <v>3</v>
      </c>
      <c r="O3" s="160">
        <f>+O13-Table92431384559526673808794101108115122129[[#This Row],[Blocked]]</f>
        <v>28</v>
      </c>
      <c r="P3" s="160">
        <f>IF(ISERR(P13),0,P13)</f>
        <v>19</v>
      </c>
      <c r="Q3" s="160">
        <f>IF(ISERR(Q13),0,Q13)</f>
        <v>0</v>
      </c>
      <c r="R3" s="160">
        <f>+IF(ISERR(R17),0,R17)</f>
        <v>34</v>
      </c>
      <c r="S3" s="88">
        <f>Table92431384559526673808794101108115122129[[#This Row],[Completed]]/Table92431384559526673808794101108115122129[[#This Row],[Committed]]</f>
        <v>1.2142857142857142</v>
      </c>
      <c r="T3" s="83">
        <f>Table92431384559526673808794101108115122129[[#This Row],[Completed]]/(Table92431384559526673808794101108115122129[[#This Row],[Added]]+Table92431384559526673808794101108115122129[[#This Row],[Committed]])</f>
        <v>0.72340425531914898</v>
      </c>
      <c r="V3" s="84" t="str">
        <f>IF(ISERR(O17),0,O17) &amp; "  (" &amp;TEXT(IF(ISERR(O17),0,O17)/Table92431384559526673808794101108115122129[[#This Row],[Committed]],"#%") &amp; ")"</f>
        <v>19  (68%)</v>
      </c>
      <c r="W3" s="85" t="str">
        <f>+IF(ISERR(P17),0,P17) &amp; " (" &amp; TEXT(R21, "#%") &amp; ")"</f>
        <v>15 (79%)</v>
      </c>
      <c r="Y3" s="71" t="s">
        <v>33</v>
      </c>
      <c r="Z3" s="68"/>
    </row>
    <row r="4" spans="1:30" hidden="1" x14ac:dyDescent="0.25">
      <c r="A4" s="160">
        <v>207125</v>
      </c>
      <c r="B4" s="160" t="s">
        <v>1424</v>
      </c>
      <c r="C4" s="160" t="s">
        <v>34</v>
      </c>
      <c r="D4" s="160" t="s">
        <v>1425</v>
      </c>
      <c r="E4" s="160" t="s">
        <v>72</v>
      </c>
      <c r="F4" s="160">
        <v>5</v>
      </c>
      <c r="G4" s="160" t="str">
        <f t="shared" si="0"/>
        <v>A</v>
      </c>
      <c r="H4" s="105"/>
      <c r="I4" s="109" t="s">
        <v>35</v>
      </c>
      <c r="J4" s="160"/>
      <c r="K4" s="71" t="s">
        <v>34</v>
      </c>
      <c r="L4" s="68">
        <v>38</v>
      </c>
      <c r="N4" s="160" t="s">
        <v>303</v>
      </c>
      <c r="O4" s="68">
        <f>SUM(O2:O3)</f>
        <v>57</v>
      </c>
      <c r="P4" s="160">
        <f>SUM(P2:P3)</f>
        <v>20</v>
      </c>
      <c r="Q4" s="68">
        <f>SUM(Q2:Q3)</f>
        <v>0</v>
      </c>
      <c r="R4" s="68">
        <f>SUM(R2:R3)</f>
        <v>59</v>
      </c>
      <c r="S4" s="88">
        <f>Table92431384559526673808794101108115122129[[#This Row],[Completed]]/Table92431384559526673808794101108115122129[[#This Row],[Committed]]</f>
        <v>1.0350877192982457</v>
      </c>
      <c r="T4" s="83">
        <f>Table92431384559526673808794101108115122129[[#This Row],[Completed]]/(Table92431384559526673808794101108115122129[[#This Row],[Added]]+Table92431384559526673808794101108115122129[[#This Row],[Committed]])</f>
        <v>0.76623376623376627</v>
      </c>
      <c r="V4" s="108" t="str">
        <f>IF(ISERR(SUM(O16:O17)),0,SUM(O16:O17)) &amp;"  ("&amp;TEXT(SUM(O16:O17)/O4,"#%") &amp;")"</f>
        <v>43  (75%)</v>
      </c>
      <c r="W4" s="85" t="str">
        <f>R4-SUM(O16:O17)&amp;" ("&amp;TEXT((R4-SUM(O16:O17))/IF(P4=0,1,P4),"#%")&amp;")"</f>
        <v>16 (80%)</v>
      </c>
      <c r="Y4" s="70" t="s">
        <v>1317</v>
      </c>
      <c r="Z4" s="68">
        <v>1</v>
      </c>
    </row>
    <row r="5" spans="1:30" hidden="1" x14ac:dyDescent="0.25">
      <c r="A5" s="160">
        <v>207126</v>
      </c>
      <c r="B5" s="160" t="s">
        <v>1422</v>
      </c>
      <c r="C5" s="160" t="s">
        <v>34</v>
      </c>
      <c r="D5" s="160" t="s">
        <v>1423</v>
      </c>
      <c r="E5" s="160" t="s">
        <v>72</v>
      </c>
      <c r="F5" s="160">
        <v>5</v>
      </c>
      <c r="G5" s="160" t="str">
        <f t="shared" si="0"/>
        <v>A</v>
      </c>
      <c r="H5" s="105"/>
      <c r="I5" s="109" t="s">
        <v>35</v>
      </c>
      <c r="J5" s="160"/>
      <c r="K5" s="71" t="s">
        <v>33</v>
      </c>
      <c r="L5" s="68">
        <v>5</v>
      </c>
      <c r="O5" s="160" t="s">
        <v>140</v>
      </c>
      <c r="S5" s="160" t="s">
        <v>220</v>
      </c>
      <c r="Y5" s="71" t="s">
        <v>667</v>
      </c>
      <c r="Z5" s="68">
        <v>1</v>
      </c>
    </row>
    <row r="6" spans="1:30" hidden="1" x14ac:dyDescent="0.25">
      <c r="A6" s="160">
        <v>207127</v>
      </c>
      <c r="B6" s="160" t="s">
        <v>1420</v>
      </c>
      <c r="C6" s="160" t="s">
        <v>34</v>
      </c>
      <c r="D6" s="160" t="s">
        <v>1421</v>
      </c>
      <c r="E6" s="160" t="s">
        <v>64</v>
      </c>
      <c r="F6" s="160">
        <v>3</v>
      </c>
      <c r="G6" s="160" t="str">
        <f t="shared" si="0"/>
        <v>A</v>
      </c>
      <c r="H6" s="105"/>
      <c r="I6" s="109" t="s">
        <v>35</v>
      </c>
      <c r="J6" s="160"/>
      <c r="K6" s="69" t="s">
        <v>36</v>
      </c>
      <c r="L6" s="68">
        <v>47</v>
      </c>
      <c r="O6" s="175" t="s">
        <v>40</v>
      </c>
      <c r="P6" s="174" t="s">
        <v>2</v>
      </c>
      <c r="Q6" s="174" t="s">
        <v>137</v>
      </c>
      <c r="R6" s="174" t="s">
        <v>1436</v>
      </c>
      <c r="T6" s="87"/>
      <c r="U6" s="87"/>
      <c r="Y6" s="69" t="s">
        <v>656</v>
      </c>
      <c r="Z6" s="68">
        <v>1</v>
      </c>
    </row>
    <row r="7" spans="1:30" hidden="1" x14ac:dyDescent="0.25">
      <c r="A7" s="160">
        <v>206940</v>
      </c>
      <c r="B7" s="160" t="s">
        <v>1418</v>
      </c>
      <c r="C7" s="160" t="s">
        <v>34</v>
      </c>
      <c r="D7" s="160" t="s">
        <v>1419</v>
      </c>
      <c r="E7" s="160" t="s">
        <v>64</v>
      </c>
      <c r="F7" s="160">
        <v>2</v>
      </c>
      <c r="G7" s="160" t="str">
        <f t="shared" si="0"/>
        <v>A</v>
      </c>
      <c r="H7" s="105"/>
      <c r="I7" s="109" t="s">
        <v>35</v>
      </c>
      <c r="J7" s="160"/>
      <c r="K7" s="71" t="s">
        <v>32</v>
      </c>
      <c r="L7" s="68">
        <v>4</v>
      </c>
      <c r="O7" s="174" t="s">
        <v>1437</v>
      </c>
      <c r="P7" s="87">
        <f>+P2/(P2+O2)</f>
        <v>3.3333333333333333E-2</v>
      </c>
      <c r="Q7" s="87">
        <f>P3/(O3+P3)</f>
        <v>0.40425531914893614</v>
      </c>
      <c r="R7" s="87">
        <f>P4/(O4+P4)</f>
        <v>0.25974025974025972</v>
      </c>
      <c r="T7" s="87"/>
      <c r="U7" s="87"/>
      <c r="Y7" s="69" t="s">
        <v>92</v>
      </c>
      <c r="Z7" s="68"/>
    </row>
    <row r="8" spans="1:30" hidden="1" x14ac:dyDescent="0.25">
      <c r="A8" s="160">
        <v>207656</v>
      </c>
      <c r="B8" s="160" t="s">
        <v>1416</v>
      </c>
      <c r="C8" s="160" t="s">
        <v>34</v>
      </c>
      <c r="D8" s="160" t="s">
        <v>1417</v>
      </c>
      <c r="E8" s="160" t="s">
        <v>236</v>
      </c>
      <c r="F8" s="160">
        <v>1</v>
      </c>
      <c r="G8" s="90" t="str">
        <f t="shared" si="0"/>
        <v>A</v>
      </c>
      <c r="H8" s="105"/>
      <c r="I8" s="109" t="s">
        <v>35</v>
      </c>
      <c r="J8" s="160"/>
      <c r="K8" s="71" t="s">
        <v>34</v>
      </c>
      <c r="L8" s="68">
        <v>34</v>
      </c>
      <c r="M8" s="68"/>
      <c r="O8" s="174" t="s">
        <v>1438</v>
      </c>
      <c r="P8" s="87">
        <f>+P2/O2</f>
        <v>3.4482758620689655E-2</v>
      </c>
      <c r="Q8" s="87">
        <f>P3/O3</f>
        <v>0.6785714285714286</v>
      </c>
      <c r="R8" s="87">
        <f>P4/O4</f>
        <v>0.35087719298245612</v>
      </c>
      <c r="Y8" s="71" t="s">
        <v>33</v>
      </c>
      <c r="Z8" s="68"/>
    </row>
    <row r="9" spans="1:30" ht="15.75" hidden="1" thickBot="1" x14ac:dyDescent="0.3">
      <c r="A9" s="160">
        <v>207677</v>
      </c>
      <c r="B9" s="160" t="s">
        <v>1414</v>
      </c>
      <c r="C9" s="160" t="s">
        <v>34</v>
      </c>
      <c r="D9" s="160" t="s">
        <v>1415</v>
      </c>
      <c r="E9" s="160" t="s">
        <v>236</v>
      </c>
      <c r="F9" s="160">
        <v>3</v>
      </c>
      <c r="G9" s="90" t="str">
        <f t="shared" si="0"/>
        <v>A</v>
      </c>
      <c r="H9" s="105" t="s">
        <v>234</v>
      </c>
      <c r="I9" s="109" t="s">
        <v>35</v>
      </c>
      <c r="J9" s="160"/>
      <c r="K9" s="71" t="s">
        <v>33</v>
      </c>
      <c r="L9" s="68">
        <v>9</v>
      </c>
      <c r="M9" s="68"/>
      <c r="Y9" s="70" t="s">
        <v>1326</v>
      </c>
      <c r="Z9" s="68">
        <v>1</v>
      </c>
      <c r="AC9" s="195" t="s">
        <v>634</v>
      </c>
      <c r="AD9" s="196"/>
    </row>
    <row r="10" spans="1:30" hidden="1" x14ac:dyDescent="0.25">
      <c r="A10" s="160">
        <v>207583</v>
      </c>
      <c r="B10" s="160" t="s">
        <v>1412</v>
      </c>
      <c r="C10" s="160" t="s">
        <v>33</v>
      </c>
      <c r="D10" s="160" t="s">
        <v>1413</v>
      </c>
      <c r="E10" s="160" t="s">
        <v>112</v>
      </c>
      <c r="F10" s="160">
        <v>2</v>
      </c>
      <c r="G10" s="73" t="str">
        <f t="shared" si="0"/>
        <v>A</v>
      </c>
      <c r="H10" s="105"/>
      <c r="I10" s="109"/>
      <c r="J10" s="160"/>
      <c r="K10" s="69" t="s">
        <v>735</v>
      </c>
      <c r="L10" s="68"/>
      <c r="M10" s="68"/>
      <c r="N10" s="160" t="s">
        <v>139</v>
      </c>
      <c r="R10" s="160" t="s">
        <v>138</v>
      </c>
      <c r="V10" s="13"/>
      <c r="W10" s="13"/>
      <c r="Y10" s="70" t="s">
        <v>1266</v>
      </c>
      <c r="Z10" s="68">
        <v>1</v>
      </c>
      <c r="AC10" s="121">
        <f>+GETPIVOTDATA("Story Points2",$K$20,"Project","A","Added After","Y")</f>
        <v>1</v>
      </c>
      <c r="AD10" s="122" t="e">
        <f>GETPIVOTDATA("Story Points2",$K$2,"Status","Blocked","Project","A")</f>
        <v>#REF!</v>
      </c>
    </row>
    <row r="11" spans="1:30" hidden="1" x14ac:dyDescent="0.25">
      <c r="A11" s="160">
        <v>207804</v>
      </c>
      <c r="B11" s="160" t="s">
        <v>1410</v>
      </c>
      <c r="C11" s="160" t="s">
        <v>34</v>
      </c>
      <c r="D11" s="160" t="s">
        <v>1411</v>
      </c>
      <c r="E11" s="160" t="s">
        <v>58</v>
      </c>
      <c r="F11" s="160">
        <v>2</v>
      </c>
      <c r="G11" s="160" t="str">
        <f t="shared" si="0"/>
        <v>A</v>
      </c>
      <c r="H11" s="105"/>
      <c r="I11" s="109" t="s">
        <v>35</v>
      </c>
      <c r="J11" s="160"/>
      <c r="K11" s="71" t="s">
        <v>122</v>
      </c>
      <c r="L11" s="68"/>
      <c r="M11" s="68"/>
      <c r="N11" s="160" t="s">
        <v>133</v>
      </c>
      <c r="O11" s="160" t="s">
        <v>42</v>
      </c>
      <c r="P11" s="160" t="s">
        <v>41</v>
      </c>
      <c r="Q11" s="82" t="s">
        <v>135</v>
      </c>
      <c r="R11" s="160" t="s">
        <v>128</v>
      </c>
      <c r="V11" s="13"/>
      <c r="W11" s="13"/>
      <c r="Y11" s="71" t="s">
        <v>667</v>
      </c>
      <c r="Z11" s="68">
        <v>2</v>
      </c>
      <c r="AC11" s="121">
        <f>+GETPIVOTDATA("Story Points2",$K$20,"Project","U","Added After","Y")</f>
        <v>19</v>
      </c>
      <c r="AD11" s="122" t="e">
        <f>GETPIVOTDATA("Story Points2",$K$2,"Status","Blocked","Project","U")</f>
        <v>#REF!</v>
      </c>
    </row>
    <row r="12" spans="1:30" hidden="1" x14ac:dyDescent="0.25">
      <c r="A12" s="160">
        <v>207800</v>
      </c>
      <c r="B12" s="160" t="s">
        <v>1408</v>
      </c>
      <c r="C12" s="160" t="s">
        <v>33</v>
      </c>
      <c r="D12" s="160" t="s">
        <v>1409</v>
      </c>
      <c r="E12" s="160" t="s">
        <v>58</v>
      </c>
      <c r="F12" s="160">
        <v>3</v>
      </c>
      <c r="G12" s="73" t="str">
        <f t="shared" si="0"/>
        <v>A</v>
      </c>
      <c r="H12" s="105"/>
      <c r="I12" s="109"/>
      <c r="J12" s="160"/>
      <c r="K12" s="69" t="s">
        <v>31</v>
      </c>
      <c r="L12" s="68">
        <v>90</v>
      </c>
      <c r="M12" s="68"/>
      <c r="N12" s="160" t="s">
        <v>2</v>
      </c>
      <c r="O12" s="160">
        <f>+GETPIVOTDATA("Story Points2",$K$20,"Project","A","Added After",)</f>
        <v>29</v>
      </c>
      <c r="P12" s="160">
        <f>IFERROR(AC10,0)</f>
        <v>1</v>
      </c>
      <c r="Q12" s="81">
        <f>IFERROR(AD10,0)</f>
        <v>0</v>
      </c>
      <c r="R12" s="160">
        <f t="shared" ref="R12:R13" si="1">+IF(ISERR(P12),0,P12)+IF(ISERR(O12),0,O12)</f>
        <v>30</v>
      </c>
      <c r="V12" s="13"/>
      <c r="W12" s="13"/>
      <c r="Y12" s="69" t="s">
        <v>659</v>
      </c>
      <c r="Z12" s="68">
        <v>2</v>
      </c>
      <c r="AC12" s="121"/>
      <c r="AD12" s="122"/>
    </row>
    <row r="13" spans="1:30" hidden="1" x14ac:dyDescent="0.25">
      <c r="A13" s="160">
        <v>207610</v>
      </c>
      <c r="B13" s="160" t="s">
        <v>1406</v>
      </c>
      <c r="C13" s="160" t="s">
        <v>34</v>
      </c>
      <c r="D13" s="160" t="s">
        <v>1407</v>
      </c>
      <c r="E13" s="160" t="s">
        <v>58</v>
      </c>
      <c r="F13" s="160">
        <v>3</v>
      </c>
      <c r="G13" s="73" t="str">
        <f t="shared" si="0"/>
        <v>A</v>
      </c>
      <c r="H13" s="105"/>
      <c r="I13" s="109" t="s">
        <v>35</v>
      </c>
      <c r="J13" s="160"/>
      <c r="K13"/>
      <c r="L13"/>
      <c r="M13" s="68"/>
      <c r="N13" s="160" t="s">
        <v>3</v>
      </c>
      <c r="O13" s="160">
        <f>+GETPIVOTDATA("Story Points2",$K$20,"Project","U","Added After",)</f>
        <v>28</v>
      </c>
      <c r="P13" s="160">
        <f>IFERROR(AC11,0)</f>
        <v>19</v>
      </c>
      <c r="Q13" s="81">
        <f>IFERROR(AD11,0)</f>
        <v>0</v>
      </c>
      <c r="R13" s="160">
        <f t="shared" si="1"/>
        <v>47</v>
      </c>
      <c r="V13" s="13"/>
      <c r="W13" s="13"/>
      <c r="Y13" s="69" t="s">
        <v>89</v>
      </c>
      <c r="Z13" s="68"/>
      <c r="AC13" s="121"/>
      <c r="AD13" s="122"/>
    </row>
    <row r="14" spans="1:30" hidden="1" x14ac:dyDescent="0.25">
      <c r="A14" s="160">
        <v>207900</v>
      </c>
      <c r="B14" s="160" t="s">
        <v>1404</v>
      </c>
      <c r="C14" s="160" t="s">
        <v>34</v>
      </c>
      <c r="D14" s="160" t="s">
        <v>1405</v>
      </c>
      <c r="E14" s="160" t="s">
        <v>64</v>
      </c>
      <c r="F14" s="160">
        <v>3</v>
      </c>
      <c r="G14" s="160" t="str">
        <f t="shared" si="0"/>
        <v>A</v>
      </c>
      <c r="H14" s="105"/>
      <c r="I14" s="109" t="s">
        <v>35</v>
      </c>
      <c r="J14" s="160"/>
      <c r="K14"/>
      <c r="L14"/>
      <c r="M14" s="68"/>
      <c r="V14" s="13"/>
      <c r="W14" s="13"/>
      <c r="Y14" s="71" t="s">
        <v>33</v>
      </c>
      <c r="Z14" s="68"/>
      <c r="AC14" s="121">
        <f>+GETPIVOTDATA("Story Points2",$K$20,"Status","Done","Project","A","Added After",)</f>
        <v>24</v>
      </c>
      <c r="AD14" s="122">
        <f>+GETPIVOTDATA("Story Points2",$K$20,"Status","Done","Project","A","Added After","Y")</f>
        <v>1</v>
      </c>
    </row>
    <row r="15" spans="1:30" x14ac:dyDescent="0.25">
      <c r="A15" s="160">
        <v>208737</v>
      </c>
      <c r="B15" s="160" t="s">
        <v>1402</v>
      </c>
      <c r="C15" s="160" t="s">
        <v>34</v>
      </c>
      <c r="D15" s="160" t="s">
        <v>1403</v>
      </c>
      <c r="E15" s="160" t="s">
        <v>236</v>
      </c>
      <c r="F15" s="160">
        <v>1</v>
      </c>
      <c r="G15" s="73" t="str">
        <f t="shared" si="0"/>
        <v>A</v>
      </c>
      <c r="H15" s="105" t="s">
        <v>35</v>
      </c>
      <c r="I15" s="109" t="s">
        <v>35</v>
      </c>
      <c r="J15" s="160"/>
      <c r="N15" s="160" t="s">
        <v>34</v>
      </c>
      <c r="O15" s="160" t="s">
        <v>126</v>
      </c>
      <c r="P15" s="160" t="s">
        <v>125</v>
      </c>
      <c r="Q15" s="80" t="s">
        <v>40</v>
      </c>
      <c r="R15" s="160" t="s">
        <v>127</v>
      </c>
      <c r="V15" s="13"/>
      <c r="W15" s="13"/>
      <c r="Y15" s="70" t="s">
        <v>1338</v>
      </c>
      <c r="Z15" s="68">
        <v>1</v>
      </c>
      <c r="AC15" s="121">
        <f>+GETPIVOTDATA("Story Points2",$K$20,"Status","Done","Project","U","Added After",)</f>
        <v>19</v>
      </c>
      <c r="AD15" s="122">
        <f>+GETPIVOTDATA("Story Points2",$K$20,"Status","Done","Project","U","Added After","Y")</f>
        <v>15</v>
      </c>
    </row>
    <row r="16" spans="1:30" x14ac:dyDescent="0.25">
      <c r="A16" s="160">
        <v>198916</v>
      </c>
      <c r="B16" s="160" t="s">
        <v>1265</v>
      </c>
      <c r="C16" s="160" t="s">
        <v>33</v>
      </c>
      <c r="D16" s="160" t="s">
        <v>1266</v>
      </c>
      <c r="E16" s="160" t="s">
        <v>92</v>
      </c>
      <c r="F16" s="160">
        <v>3</v>
      </c>
      <c r="G16" s="90" t="str">
        <f t="shared" si="0"/>
        <v>U</v>
      </c>
      <c r="H16" s="105" t="s">
        <v>35</v>
      </c>
      <c r="I16" s="109"/>
      <c r="J16" s="160"/>
      <c r="N16" s="160" t="s">
        <v>2</v>
      </c>
      <c r="O16" s="160">
        <f>IFERROR(AC14,0)</f>
        <v>24</v>
      </c>
      <c r="P16" s="160">
        <f>IFERROR(AD14,0)</f>
        <v>1</v>
      </c>
      <c r="R16" s="160">
        <f t="shared" ref="R16:R17" si="2">+IF(ISERR(P16),0,P16)+IF(ISERR(O16),0,O16)</f>
        <v>25</v>
      </c>
      <c r="Y16" s="71" t="s">
        <v>667</v>
      </c>
      <c r="Z16" s="68">
        <v>1</v>
      </c>
      <c r="AC16" s="121"/>
      <c r="AD16" s="122"/>
    </row>
    <row r="17" spans="1:30" ht="14.25" customHeight="1" x14ac:dyDescent="0.25">
      <c r="A17" s="160">
        <v>203691</v>
      </c>
      <c r="B17" s="160" t="s">
        <v>1327</v>
      </c>
      <c r="C17" s="160" t="s">
        <v>34</v>
      </c>
      <c r="D17" s="160" t="s">
        <v>1328</v>
      </c>
      <c r="E17" s="160" t="s">
        <v>89</v>
      </c>
      <c r="F17" s="160">
        <v>3</v>
      </c>
      <c r="G17" s="160" t="str">
        <f t="shared" si="0"/>
        <v>U</v>
      </c>
      <c r="H17" s="106" t="s">
        <v>35</v>
      </c>
      <c r="I17" s="109" t="s">
        <v>35</v>
      </c>
      <c r="J17" s="160"/>
      <c r="N17" s="160" t="s">
        <v>3</v>
      </c>
      <c r="O17" s="160">
        <f>IFERROR(AC15,0)</f>
        <v>19</v>
      </c>
      <c r="P17" s="160">
        <f>IFERROR(AD15,0)</f>
        <v>15</v>
      </c>
      <c r="R17" s="160">
        <f t="shared" si="2"/>
        <v>34</v>
      </c>
      <c r="Y17" s="71" t="s">
        <v>32</v>
      </c>
      <c r="Z17" s="68"/>
      <c r="AC17" s="121"/>
      <c r="AD17" s="122"/>
    </row>
    <row r="18" spans="1:30" x14ac:dyDescent="0.25">
      <c r="A18" s="160">
        <v>203729</v>
      </c>
      <c r="B18" s="160" t="s">
        <v>1325</v>
      </c>
      <c r="C18" s="160" t="s">
        <v>34</v>
      </c>
      <c r="D18" s="160" t="s">
        <v>1326</v>
      </c>
      <c r="E18" s="160" t="s">
        <v>92</v>
      </c>
      <c r="F18" s="160">
        <v>3</v>
      </c>
      <c r="G18" s="73" t="str">
        <f t="shared" si="0"/>
        <v>U</v>
      </c>
      <c r="H18" s="105" t="s">
        <v>35</v>
      </c>
      <c r="I18" s="109" t="s">
        <v>35</v>
      </c>
      <c r="J18" s="160"/>
      <c r="Y18" s="70" t="s">
        <v>1328</v>
      </c>
      <c r="Z18" s="68">
        <v>1</v>
      </c>
      <c r="AC18" s="121"/>
      <c r="AD18" s="122"/>
    </row>
    <row r="19" spans="1:30" hidden="1" x14ac:dyDescent="0.25">
      <c r="A19" s="160">
        <v>206168</v>
      </c>
      <c r="B19" s="160" t="s">
        <v>1400</v>
      </c>
      <c r="C19" s="160" t="s">
        <v>34</v>
      </c>
      <c r="D19" s="160" t="s">
        <v>1401</v>
      </c>
      <c r="E19" s="160" t="s">
        <v>81</v>
      </c>
      <c r="F19" s="160">
        <v>2</v>
      </c>
      <c r="G19" s="160" t="str">
        <f t="shared" si="0"/>
        <v>U</v>
      </c>
      <c r="H19" s="105"/>
      <c r="I19" s="109" t="s">
        <v>35</v>
      </c>
      <c r="J19" s="160"/>
      <c r="M19" s="68"/>
      <c r="N19" s="160" t="s">
        <v>34</v>
      </c>
      <c r="O19" s="160" t="s">
        <v>123</v>
      </c>
      <c r="P19" s="160" t="s">
        <v>124</v>
      </c>
      <c r="Q19" s="160" t="s">
        <v>126</v>
      </c>
      <c r="R19" s="160" t="s">
        <v>125</v>
      </c>
      <c r="Y19" s="71" t="s">
        <v>668</v>
      </c>
      <c r="Z19" s="68">
        <v>1</v>
      </c>
      <c r="AC19" s="121"/>
      <c r="AD19" s="122"/>
    </row>
    <row r="20" spans="1:30" hidden="1" x14ac:dyDescent="0.25">
      <c r="A20" s="160">
        <v>206169</v>
      </c>
      <c r="B20" s="160" t="s">
        <v>1398</v>
      </c>
      <c r="C20" s="160" t="s">
        <v>32</v>
      </c>
      <c r="D20" s="160" t="s">
        <v>1399</v>
      </c>
      <c r="E20" s="160" t="s">
        <v>81</v>
      </c>
      <c r="F20" s="160">
        <v>2</v>
      </c>
      <c r="G20" s="90" t="str">
        <f t="shared" si="0"/>
        <v>U</v>
      </c>
      <c r="H20" s="105"/>
      <c r="I20" s="109"/>
      <c r="J20" s="160"/>
      <c r="K20" s="72" t="s">
        <v>396</v>
      </c>
      <c r="L20" t="s">
        <v>120</v>
      </c>
      <c r="M20" s="68"/>
      <c r="N20" s="160" t="s">
        <v>2</v>
      </c>
      <c r="O20" s="64">
        <f>+R16/O12</f>
        <v>0.86206896551724133</v>
      </c>
      <c r="P20" s="64">
        <f t="shared" ref="P20:P21" si="3">+R16/R12</f>
        <v>0.83333333333333337</v>
      </c>
      <c r="Q20" s="64">
        <f>+O16/IF(ISERR(O12),1,O12)</f>
        <v>0.82758620689655171</v>
      </c>
      <c r="R20" s="64">
        <f>+P16/IF(ISERR(AC10),1,P12)</f>
        <v>1</v>
      </c>
      <c r="Y20" s="69" t="s">
        <v>662</v>
      </c>
      <c r="Z20" s="68">
        <v>2</v>
      </c>
      <c r="AC20" s="121"/>
      <c r="AD20" s="122"/>
    </row>
    <row r="21" spans="1:30" hidden="1" x14ac:dyDescent="0.25">
      <c r="A21" s="172">
        <v>207318</v>
      </c>
      <c r="B21" s="172" t="s">
        <v>1396</v>
      </c>
      <c r="C21" s="172" t="s">
        <v>33</v>
      </c>
      <c r="D21" s="172" t="s">
        <v>1397</v>
      </c>
      <c r="E21" s="172" t="s">
        <v>89</v>
      </c>
      <c r="F21" s="172">
        <v>3</v>
      </c>
      <c r="G21" s="172" t="str">
        <f t="shared" si="0"/>
        <v>U</v>
      </c>
      <c r="H21" s="173"/>
      <c r="I21" s="173"/>
      <c r="J21" s="160"/>
      <c r="K21" s="69" t="s">
        <v>122</v>
      </c>
      <c r="L21" s="68">
        <v>57</v>
      </c>
      <c r="M21" s="68"/>
      <c r="N21" s="160" t="s">
        <v>3</v>
      </c>
      <c r="O21" s="64">
        <f>+R17/O13</f>
        <v>1.2142857142857142</v>
      </c>
      <c r="P21" s="64">
        <f t="shared" si="3"/>
        <v>0.72340425531914898</v>
      </c>
      <c r="Q21" s="64">
        <f>+O17/IF(ISERR(O13),1,O13)</f>
        <v>0.6785714285714286</v>
      </c>
      <c r="R21" s="64">
        <f>+P17/IF(ISERR(AC11),1,P13)</f>
        <v>0.78947368421052633</v>
      </c>
      <c r="Y21" s="69" t="s">
        <v>81</v>
      </c>
      <c r="Z21" s="68"/>
      <c r="AC21" s="121"/>
      <c r="AD21" s="122"/>
    </row>
    <row r="22" spans="1:30" hidden="1" x14ac:dyDescent="0.25">
      <c r="A22" s="160">
        <v>207570</v>
      </c>
      <c r="B22" s="160" t="s">
        <v>1394</v>
      </c>
      <c r="C22" s="160" t="s">
        <v>34</v>
      </c>
      <c r="D22" s="160" t="s">
        <v>1395</v>
      </c>
      <c r="E22" s="160" t="s">
        <v>112</v>
      </c>
      <c r="F22" s="160">
        <v>3</v>
      </c>
      <c r="G22" s="73" t="str">
        <f t="shared" si="0"/>
        <v>U</v>
      </c>
      <c r="H22" s="105"/>
      <c r="I22" s="109" t="s">
        <v>35</v>
      </c>
      <c r="J22" s="160"/>
      <c r="K22" s="71" t="s">
        <v>37</v>
      </c>
      <c r="L22" s="68">
        <v>29</v>
      </c>
      <c r="M22" s="68"/>
      <c r="Y22" s="71" t="s">
        <v>32</v>
      </c>
      <c r="Z22" s="68"/>
      <c r="AC22" s="121">
        <f>+GETPIVOTDATA("Story Points",$N$34,"Project","A","Added After",)</f>
        <v>24</v>
      </c>
      <c r="AD22" s="122">
        <f>+GETPIVOTDATA("Story Points",$N$34,"Project","A","Added After","Y")</f>
        <v>1</v>
      </c>
    </row>
    <row r="23" spans="1:30" ht="15.75" hidden="1" thickBot="1" x14ac:dyDescent="0.3">
      <c r="A23" s="160">
        <v>207571</v>
      </c>
      <c r="B23" s="160" t="s">
        <v>1392</v>
      </c>
      <c r="C23" s="160" t="s">
        <v>34</v>
      </c>
      <c r="D23" s="160" t="s">
        <v>1393</v>
      </c>
      <c r="E23" s="160" t="s">
        <v>112</v>
      </c>
      <c r="F23" s="160">
        <v>3</v>
      </c>
      <c r="G23" s="73" t="str">
        <f t="shared" si="0"/>
        <v>U</v>
      </c>
      <c r="H23" s="105"/>
      <c r="I23" s="109" t="s">
        <v>35</v>
      </c>
      <c r="J23" s="160"/>
      <c r="K23" s="70" t="s">
        <v>34</v>
      </c>
      <c r="L23" s="68">
        <v>24</v>
      </c>
      <c r="M23" s="68"/>
      <c r="N23" s="160" t="s">
        <v>49</v>
      </c>
      <c r="O23" s="160" t="s">
        <v>126</v>
      </c>
      <c r="P23" s="160" t="s">
        <v>125</v>
      </c>
      <c r="Q23" s="80" t="s">
        <v>239</v>
      </c>
      <c r="R23" s="160" t="s">
        <v>129</v>
      </c>
      <c r="Y23" s="70" t="s">
        <v>1340</v>
      </c>
      <c r="Z23" s="68">
        <v>1</v>
      </c>
      <c r="AC23" s="123">
        <f>+GETPIVOTDATA("Story Points",$N$34,"Project","U","Added After",)</f>
        <v>19</v>
      </c>
      <c r="AD23" s="124">
        <f>+GETPIVOTDATA("Story Points",$N$34,"Project","U","Added After","Y")</f>
        <v>15</v>
      </c>
    </row>
    <row r="24" spans="1:30" hidden="1" x14ac:dyDescent="0.25">
      <c r="A24" s="160">
        <v>207582</v>
      </c>
      <c r="B24" s="160" t="s">
        <v>1390</v>
      </c>
      <c r="C24" s="160" t="s">
        <v>34</v>
      </c>
      <c r="D24" s="160" t="s">
        <v>1391</v>
      </c>
      <c r="E24" s="160" t="s">
        <v>112</v>
      </c>
      <c r="F24" s="160">
        <v>2</v>
      </c>
      <c r="G24" s="160" t="str">
        <f t="shared" si="0"/>
        <v>U</v>
      </c>
      <c r="H24" s="105"/>
      <c r="I24" s="109" t="s">
        <v>35</v>
      </c>
      <c r="J24" s="160"/>
      <c r="K24" s="70" t="s">
        <v>33</v>
      </c>
      <c r="L24" s="68">
        <v>5</v>
      </c>
      <c r="M24" s="68"/>
      <c r="N24" s="160" t="s">
        <v>2</v>
      </c>
      <c r="O24" s="160">
        <f>IFERROR(AC22,0)</f>
        <v>24</v>
      </c>
      <c r="P24" s="160">
        <f>IFERROR(AD22,0)</f>
        <v>1</v>
      </c>
      <c r="Q24" s="160">
        <f>+O12-Q12-Table7222936435750647178859299106113120127[[#This Row],[Committed Done]]</f>
        <v>5</v>
      </c>
      <c r="R24" s="160">
        <f>+Table7222936435750647178859299106113120127[[#This Row],[Committed Done]]+Table7222936435750647178859299106113120127[[#This Row],[Added Done]]</f>
        <v>25</v>
      </c>
      <c r="Y24" s="71" t="s">
        <v>668</v>
      </c>
      <c r="Z24" s="68">
        <v>1</v>
      </c>
    </row>
    <row r="25" spans="1:30" hidden="1" x14ac:dyDescent="0.25">
      <c r="A25" s="160">
        <v>207771</v>
      </c>
      <c r="B25" s="160" t="s">
        <v>1388</v>
      </c>
      <c r="C25" s="160" t="s">
        <v>32</v>
      </c>
      <c r="D25" s="160" t="s">
        <v>1389</v>
      </c>
      <c r="E25" s="160" t="s">
        <v>92</v>
      </c>
      <c r="F25" s="160">
        <v>1</v>
      </c>
      <c r="G25" s="160" t="str">
        <f t="shared" si="0"/>
        <v>U</v>
      </c>
      <c r="H25" s="105"/>
      <c r="I25" s="109"/>
      <c r="J25" s="160"/>
      <c r="K25" s="71" t="s">
        <v>36</v>
      </c>
      <c r="L25" s="68">
        <v>28</v>
      </c>
      <c r="M25" s="68"/>
      <c r="N25" s="160" t="s">
        <v>3</v>
      </c>
      <c r="O25" s="160">
        <f>IFERROR(AC23,0)</f>
        <v>19</v>
      </c>
      <c r="P25" s="160">
        <f>IFERROR(AD23,0)</f>
        <v>15</v>
      </c>
      <c r="Q25" s="160">
        <f>+O13-Q13-Table7222936435750647178859299106113120127[[#This Row],[Committed Done]]</f>
        <v>9</v>
      </c>
      <c r="R25" s="160">
        <f>+Table7222936435750647178859299106113120127[[#This Row],[Committed Done]]+Table7222936435750647178859299106113120127[[#This Row],[Added Done]]</f>
        <v>34</v>
      </c>
      <c r="Y25" s="69" t="s">
        <v>663</v>
      </c>
      <c r="Z25" s="68">
        <v>1</v>
      </c>
    </row>
    <row r="26" spans="1:30" hidden="1" x14ac:dyDescent="0.25">
      <c r="A26" s="160">
        <v>207772</v>
      </c>
      <c r="B26" s="160" t="s">
        <v>1386</v>
      </c>
      <c r="C26" s="160" t="s">
        <v>34</v>
      </c>
      <c r="D26" s="160" t="s">
        <v>1387</v>
      </c>
      <c r="E26" s="160" t="s">
        <v>92</v>
      </c>
      <c r="F26" s="160">
        <v>2</v>
      </c>
      <c r="G26" s="160" t="str">
        <f t="shared" si="0"/>
        <v>U</v>
      </c>
      <c r="H26" s="105"/>
      <c r="I26" s="109" t="s">
        <v>35</v>
      </c>
      <c r="J26" s="160"/>
      <c r="K26" s="70" t="s">
        <v>32</v>
      </c>
      <c r="L26" s="68">
        <v>3</v>
      </c>
      <c r="Y26" s="69" t="s">
        <v>122</v>
      </c>
      <c r="Z26" s="68"/>
    </row>
    <row r="27" spans="1:30" hidden="1" x14ac:dyDescent="0.25">
      <c r="A27" s="160">
        <v>207447</v>
      </c>
      <c r="B27" s="160" t="s">
        <v>1384</v>
      </c>
      <c r="C27" s="160" t="s">
        <v>33</v>
      </c>
      <c r="D27" s="160" t="s">
        <v>1385</v>
      </c>
      <c r="E27" s="160" t="s">
        <v>235</v>
      </c>
      <c r="F27" s="160">
        <v>3</v>
      </c>
      <c r="G27" s="160" t="str">
        <f t="shared" si="0"/>
        <v>U</v>
      </c>
      <c r="H27" s="105"/>
      <c r="I27" s="109"/>
      <c r="J27" s="160"/>
      <c r="K27" s="70" t="s">
        <v>34</v>
      </c>
      <c r="L27" s="68">
        <v>19</v>
      </c>
      <c r="M27" s="68"/>
      <c r="N27" s="160" t="s">
        <v>49</v>
      </c>
      <c r="O27" s="160" t="s">
        <v>123</v>
      </c>
      <c r="P27" s="160" t="s">
        <v>124</v>
      </c>
      <c r="Q27" s="160" t="s">
        <v>126</v>
      </c>
      <c r="R27" s="160" t="s">
        <v>130</v>
      </c>
      <c r="Y27" s="71" t="s">
        <v>122</v>
      </c>
      <c r="Z27" s="68"/>
    </row>
    <row r="28" spans="1:30" hidden="1" x14ac:dyDescent="0.25">
      <c r="A28" s="160">
        <v>207594</v>
      </c>
      <c r="B28" s="160" t="s">
        <v>1382</v>
      </c>
      <c r="C28" s="160" t="s">
        <v>34</v>
      </c>
      <c r="D28" s="160" t="s">
        <v>1383</v>
      </c>
      <c r="E28" s="160" t="s">
        <v>92</v>
      </c>
      <c r="F28" s="160">
        <v>5</v>
      </c>
      <c r="G28" s="90" t="str">
        <f t="shared" si="0"/>
        <v>U</v>
      </c>
      <c r="H28" s="105"/>
      <c r="I28" s="109" t="s">
        <v>35</v>
      </c>
      <c r="J28" s="160"/>
      <c r="K28" s="70" t="s">
        <v>33</v>
      </c>
      <c r="L28" s="68">
        <v>6</v>
      </c>
      <c r="M28" s="68"/>
      <c r="N28" s="160" t="s">
        <v>2</v>
      </c>
      <c r="O28" s="64">
        <f>R24/IF(O12=0, 1,O12)</f>
        <v>0.86206896551724133</v>
      </c>
      <c r="P28" s="64">
        <f>R24/IF(R12=0,1,R12)</f>
        <v>0.83333333333333337</v>
      </c>
      <c r="Q28" s="64">
        <f>O24/IF(O12=0,1,O12)</f>
        <v>0.82758620689655171</v>
      </c>
      <c r="R28" s="64">
        <f>+P24/IF(P12=0,1,P12)</f>
        <v>1</v>
      </c>
      <c r="Y28" s="70" t="s">
        <v>122</v>
      </c>
      <c r="Z28" s="68"/>
    </row>
    <row r="29" spans="1:30" hidden="1" x14ac:dyDescent="0.25">
      <c r="A29" s="160">
        <v>207595</v>
      </c>
      <c r="B29" s="160" t="s">
        <v>1380</v>
      </c>
      <c r="C29" s="160" t="s">
        <v>34</v>
      </c>
      <c r="D29" s="160" t="s">
        <v>1381</v>
      </c>
      <c r="E29" s="160" t="s">
        <v>84</v>
      </c>
      <c r="F29" s="160">
        <v>2</v>
      </c>
      <c r="G29" s="160" t="str">
        <f t="shared" si="0"/>
        <v>U</v>
      </c>
      <c r="H29" s="105"/>
      <c r="I29" s="109" t="s">
        <v>35</v>
      </c>
      <c r="J29" s="160"/>
      <c r="K29" s="71" t="s">
        <v>735</v>
      </c>
      <c r="L29" s="68"/>
      <c r="M29" s="68"/>
      <c r="N29" s="160" t="s">
        <v>3</v>
      </c>
      <c r="O29" s="64">
        <f>R25/IF(R17=0, 1,O13)</f>
        <v>1.2142857142857142</v>
      </c>
      <c r="P29" s="64">
        <f>R25/IF(R13=0,1,R13)</f>
        <v>0.72340425531914898</v>
      </c>
      <c r="Q29" s="64">
        <f>O25/IF(O13=0,1,O13)</f>
        <v>0.6785714285714286</v>
      </c>
      <c r="R29" s="64">
        <f>+P25/IF(P13=0,1,P13)</f>
        <v>0.78947368421052633</v>
      </c>
      <c r="Y29" s="71" t="s">
        <v>1373</v>
      </c>
      <c r="Z29" s="68"/>
    </row>
    <row r="30" spans="1:30" x14ac:dyDescent="0.25">
      <c r="A30" s="160">
        <v>208638</v>
      </c>
      <c r="B30" s="160" t="s">
        <v>1378</v>
      </c>
      <c r="C30" s="160" t="s">
        <v>34</v>
      </c>
      <c r="D30" s="160" t="s">
        <v>1379</v>
      </c>
      <c r="E30" s="160" t="s">
        <v>81</v>
      </c>
      <c r="F30" s="160">
        <v>1</v>
      </c>
      <c r="G30" s="73" t="str">
        <f t="shared" si="0"/>
        <v>U</v>
      </c>
      <c r="H30" s="105" t="s">
        <v>35</v>
      </c>
      <c r="I30" s="109" t="s">
        <v>35</v>
      </c>
      <c r="J30" s="160"/>
      <c r="K30" s="70" t="s">
        <v>122</v>
      </c>
      <c r="L30" s="68"/>
      <c r="M30" s="68"/>
      <c r="Y30" s="69" t="s">
        <v>1373</v>
      </c>
      <c r="Z30" s="68"/>
    </row>
    <row r="31" spans="1:30" x14ac:dyDescent="0.25">
      <c r="A31" s="160">
        <v>209978</v>
      </c>
      <c r="B31" s="160" t="s">
        <v>1376</v>
      </c>
      <c r="C31" s="160" t="s">
        <v>34</v>
      </c>
      <c r="D31" s="160" t="s">
        <v>1377</v>
      </c>
      <c r="E31" s="160" t="s">
        <v>72</v>
      </c>
      <c r="F31" s="160">
        <v>1</v>
      </c>
      <c r="G31" s="90" t="str">
        <f t="shared" si="0"/>
        <v>U</v>
      </c>
      <c r="H31" s="105" t="s">
        <v>35</v>
      </c>
      <c r="I31" s="109" t="s">
        <v>35</v>
      </c>
      <c r="J31" s="160"/>
      <c r="K31" s="69" t="s">
        <v>35</v>
      </c>
      <c r="L31" s="68">
        <v>20</v>
      </c>
      <c r="M31" s="68"/>
      <c r="Y31" s="69" t="s">
        <v>31</v>
      </c>
      <c r="Z31" s="68">
        <v>6</v>
      </c>
    </row>
    <row r="32" spans="1:30" x14ac:dyDescent="0.25">
      <c r="A32" s="160">
        <v>210284</v>
      </c>
      <c r="B32" s="160" t="s">
        <v>1428</v>
      </c>
      <c r="C32" s="160" t="s">
        <v>34</v>
      </c>
      <c r="D32" s="160" t="s">
        <v>1429</v>
      </c>
      <c r="E32" s="160" t="s">
        <v>89</v>
      </c>
      <c r="F32" s="160">
        <v>3</v>
      </c>
      <c r="G32" s="160" t="str">
        <f t="shared" si="0"/>
        <v>U</v>
      </c>
      <c r="H32" s="105" t="s">
        <v>35</v>
      </c>
      <c r="I32" s="109" t="s">
        <v>35</v>
      </c>
      <c r="J32" s="160"/>
      <c r="K32" s="71" t="s">
        <v>37</v>
      </c>
      <c r="L32" s="68">
        <v>1</v>
      </c>
      <c r="N32" s="72" t="s">
        <v>144</v>
      </c>
      <c r="O32" s="160" t="s">
        <v>35</v>
      </c>
    </row>
    <row r="33" spans="1:15" x14ac:dyDescent="0.25">
      <c r="A33" s="160">
        <v>211590</v>
      </c>
      <c r="B33" s="160" t="s">
        <v>1430</v>
      </c>
      <c r="C33" s="160" t="s">
        <v>34</v>
      </c>
      <c r="D33" s="160" t="s">
        <v>1431</v>
      </c>
      <c r="E33" s="160" t="s">
        <v>81</v>
      </c>
      <c r="F33" s="160">
        <v>3</v>
      </c>
      <c r="G33" s="90" t="str">
        <f t="shared" si="0"/>
        <v>U</v>
      </c>
      <c r="H33" s="105" t="s">
        <v>35</v>
      </c>
      <c r="I33" s="109" t="s">
        <v>35</v>
      </c>
      <c r="J33" s="160"/>
      <c r="K33" s="70" t="s">
        <v>34</v>
      </c>
      <c r="L33" s="68">
        <v>1</v>
      </c>
    </row>
    <row r="34" spans="1:15" x14ac:dyDescent="0.25">
      <c r="A34" s="160">
        <v>211592</v>
      </c>
      <c r="B34" s="160" t="s">
        <v>1432</v>
      </c>
      <c r="C34" s="160" t="s">
        <v>32</v>
      </c>
      <c r="D34" s="160" t="s">
        <v>1433</v>
      </c>
      <c r="E34" s="160" t="s">
        <v>81</v>
      </c>
      <c r="F34" s="160">
        <v>1</v>
      </c>
      <c r="G34" s="160" t="str">
        <f t="shared" ref="G34:G53" si="4">MID(B34,4,1)</f>
        <v>U</v>
      </c>
      <c r="H34" s="105" t="s">
        <v>35</v>
      </c>
      <c r="I34" s="109"/>
      <c r="J34" s="160"/>
      <c r="K34" s="71" t="s">
        <v>36</v>
      </c>
      <c r="L34" s="68">
        <v>19</v>
      </c>
      <c r="N34" s="72" t="s">
        <v>655</v>
      </c>
      <c r="O34" t="s">
        <v>50</v>
      </c>
    </row>
    <row r="35" spans="1:15" x14ac:dyDescent="0.25">
      <c r="A35" s="160">
        <v>211593</v>
      </c>
      <c r="B35" s="160" t="s">
        <v>1434</v>
      </c>
      <c r="C35" s="160" t="s">
        <v>34</v>
      </c>
      <c r="D35" s="160" t="s">
        <v>1435</v>
      </c>
      <c r="E35" s="160" t="s">
        <v>81</v>
      </c>
      <c r="F35" s="160">
        <v>1</v>
      </c>
      <c r="G35" s="160" t="str">
        <f t="shared" si="4"/>
        <v>U</v>
      </c>
      <c r="H35" s="105" t="s">
        <v>35</v>
      </c>
      <c r="I35" s="109" t="s">
        <v>35</v>
      </c>
      <c r="J35" s="160"/>
      <c r="K35" s="70" t="s">
        <v>32</v>
      </c>
      <c r="L35" s="68">
        <v>1</v>
      </c>
      <c r="N35" s="69" t="s">
        <v>37</v>
      </c>
      <c r="O35" s="68"/>
    </row>
    <row r="36" spans="1:15" hidden="1" x14ac:dyDescent="0.25">
      <c r="C36" s="160"/>
      <c r="G36" s="160" t="str">
        <f t="shared" si="4"/>
        <v/>
      </c>
      <c r="H36" s="105"/>
      <c r="I36" s="109"/>
      <c r="J36" s="160"/>
      <c r="K36" s="70" t="s">
        <v>34</v>
      </c>
      <c r="L36" s="68">
        <v>15</v>
      </c>
      <c r="N36" s="71" t="s">
        <v>122</v>
      </c>
      <c r="O36" s="68">
        <v>24</v>
      </c>
    </row>
    <row r="37" spans="1:15" hidden="1" x14ac:dyDescent="0.25">
      <c r="C37" s="160"/>
      <c r="G37" s="73" t="str">
        <f t="shared" si="4"/>
        <v/>
      </c>
      <c r="H37" s="105"/>
      <c r="I37" s="109"/>
      <c r="J37" s="160"/>
      <c r="K37" s="70" t="s">
        <v>33</v>
      </c>
      <c r="L37" s="68">
        <v>3</v>
      </c>
      <c r="N37" s="71" t="s">
        <v>35</v>
      </c>
      <c r="O37" s="68">
        <v>1</v>
      </c>
    </row>
    <row r="38" spans="1:15" hidden="1" x14ac:dyDescent="0.25">
      <c r="C38" s="160"/>
      <c r="G38" s="160" t="str">
        <f t="shared" si="4"/>
        <v/>
      </c>
      <c r="H38" s="105"/>
      <c r="I38" s="109"/>
      <c r="J38" s="160"/>
      <c r="K38" s="69" t="s">
        <v>234</v>
      </c>
      <c r="L38" s="68">
        <v>13</v>
      </c>
      <c r="N38" s="71" t="s">
        <v>234</v>
      </c>
      <c r="O38" s="68">
        <v>13</v>
      </c>
    </row>
    <row r="39" spans="1:15" hidden="1" x14ac:dyDescent="0.25">
      <c r="C39" s="160"/>
      <c r="G39" s="160" t="str">
        <f t="shared" si="4"/>
        <v/>
      </c>
      <c r="H39" s="105"/>
      <c r="I39" s="109"/>
      <c r="J39" s="160"/>
      <c r="K39" s="71" t="s">
        <v>37</v>
      </c>
      <c r="L39" s="68">
        <v>13</v>
      </c>
      <c r="M39" s="68"/>
      <c r="N39" s="69" t="s">
        <v>131</v>
      </c>
      <c r="O39" s="68">
        <v>38</v>
      </c>
    </row>
    <row r="40" spans="1:15" hidden="1" x14ac:dyDescent="0.25">
      <c r="C40" s="160"/>
      <c r="G40" s="90" t="str">
        <f t="shared" si="4"/>
        <v/>
      </c>
      <c r="H40" s="105"/>
      <c r="I40" s="109"/>
      <c r="J40" s="160"/>
      <c r="K40" s="70" t="s">
        <v>34</v>
      </c>
      <c r="L40" s="68">
        <v>13</v>
      </c>
      <c r="M40" s="68"/>
      <c r="N40" s="69" t="s">
        <v>36</v>
      </c>
      <c r="O40" s="68"/>
    </row>
    <row r="41" spans="1:15" hidden="1" x14ac:dyDescent="0.25">
      <c r="C41" s="160"/>
      <c r="G41" s="90" t="str">
        <f t="shared" si="4"/>
        <v/>
      </c>
      <c r="H41" s="105"/>
      <c r="I41" s="109"/>
      <c r="J41" s="160"/>
      <c r="K41" s="69" t="s">
        <v>31</v>
      </c>
      <c r="L41" s="68">
        <v>90</v>
      </c>
      <c r="M41" s="68"/>
      <c r="N41" s="71" t="s">
        <v>122</v>
      </c>
      <c r="O41" s="68">
        <v>19</v>
      </c>
    </row>
    <row r="42" spans="1:15" hidden="1" x14ac:dyDescent="0.25">
      <c r="C42" s="160"/>
      <c r="G42" s="90" t="str">
        <f t="shared" si="4"/>
        <v/>
      </c>
      <c r="H42" s="105"/>
      <c r="I42" s="109"/>
      <c r="J42" s="160"/>
      <c r="M42" s="68"/>
      <c r="N42" s="71" t="s">
        <v>35</v>
      </c>
      <c r="O42" s="68">
        <v>15</v>
      </c>
    </row>
    <row r="43" spans="1:15" hidden="1" x14ac:dyDescent="0.25">
      <c r="C43" s="160"/>
      <c r="G43" s="90" t="str">
        <f t="shared" si="4"/>
        <v/>
      </c>
      <c r="H43" s="105"/>
      <c r="I43" s="109"/>
      <c r="J43" s="160"/>
      <c r="M43" s="68"/>
      <c r="N43" s="69" t="s">
        <v>132</v>
      </c>
      <c r="O43" s="68">
        <v>34</v>
      </c>
    </row>
    <row r="44" spans="1:15" hidden="1" x14ac:dyDescent="0.25">
      <c r="C44" s="160"/>
      <c r="G44" s="90" t="str">
        <f t="shared" si="4"/>
        <v/>
      </c>
      <c r="H44" s="105"/>
      <c r="I44" s="109"/>
      <c r="J44" s="160"/>
      <c r="M44" s="68"/>
      <c r="N44" s="69" t="s">
        <v>31</v>
      </c>
      <c r="O44" s="68">
        <v>72</v>
      </c>
    </row>
    <row r="45" spans="1:15" hidden="1" x14ac:dyDescent="0.25">
      <c r="C45" s="160"/>
      <c r="G45" s="90" t="str">
        <f t="shared" si="4"/>
        <v/>
      </c>
      <c r="H45" s="105"/>
      <c r="I45" s="109"/>
      <c r="J45" s="160"/>
      <c r="M45" s="68"/>
    </row>
    <row r="46" spans="1:15" hidden="1" x14ac:dyDescent="0.25">
      <c r="A46" s="90"/>
      <c r="B46" s="105"/>
      <c r="C46" s="105"/>
      <c r="D46" s="105"/>
      <c r="E46" s="107"/>
      <c r="F46" s="105"/>
      <c r="G46" s="90" t="str">
        <f t="shared" si="4"/>
        <v/>
      </c>
      <c r="H46" s="105"/>
      <c r="I46" s="109"/>
      <c r="J46" s="160"/>
      <c r="M46" s="68"/>
    </row>
    <row r="47" spans="1:15" hidden="1" x14ac:dyDescent="0.25">
      <c r="A47" s="73"/>
      <c r="C47" s="160"/>
      <c r="G47" s="73" t="str">
        <f t="shared" si="4"/>
        <v/>
      </c>
      <c r="H47" s="105"/>
      <c r="I47" s="109"/>
      <c r="J47" s="160"/>
      <c r="M47" s="68"/>
    </row>
    <row r="48" spans="1:15" hidden="1" x14ac:dyDescent="0.25">
      <c r="A48" s="90"/>
      <c r="C48" s="160"/>
      <c r="G48" s="90" t="str">
        <f t="shared" si="4"/>
        <v/>
      </c>
      <c r="H48" s="105"/>
      <c r="I48" s="109"/>
      <c r="J48" s="160"/>
    </row>
    <row r="49" spans="1:13" hidden="1" x14ac:dyDescent="0.25">
      <c r="A49" s="90"/>
      <c r="C49" s="160"/>
      <c r="G49" s="90" t="str">
        <f t="shared" si="4"/>
        <v/>
      </c>
      <c r="H49" s="105"/>
      <c r="I49" s="109"/>
      <c r="J49" s="160"/>
    </row>
    <row r="50" spans="1:13" hidden="1" x14ac:dyDescent="0.25">
      <c r="A50" s="73"/>
      <c r="C50" s="160"/>
      <c r="F50" s="13"/>
      <c r="G50" s="73" t="str">
        <f t="shared" si="4"/>
        <v/>
      </c>
      <c r="H50" s="105"/>
      <c r="I50" s="109"/>
      <c r="J50" s="160"/>
    </row>
    <row r="51" spans="1:13" hidden="1" x14ac:dyDescent="0.25">
      <c r="A51" s="90"/>
      <c r="C51" s="160"/>
      <c r="G51" s="90" t="str">
        <f t="shared" si="4"/>
        <v/>
      </c>
      <c r="H51" s="105"/>
      <c r="I51" s="109"/>
      <c r="J51" s="160"/>
    </row>
    <row r="52" spans="1:13" hidden="1" x14ac:dyDescent="0.25">
      <c r="A52" s="90"/>
      <c r="C52" s="160"/>
      <c r="G52" s="90" t="str">
        <f t="shared" si="4"/>
        <v/>
      </c>
      <c r="H52" s="105"/>
      <c r="I52" s="109"/>
      <c r="J52" s="160"/>
    </row>
    <row r="53" spans="1:13" hidden="1" x14ac:dyDescent="0.25">
      <c r="A53" s="90"/>
      <c r="C53" s="160"/>
      <c r="G53" s="90" t="str">
        <f t="shared" si="4"/>
        <v/>
      </c>
      <c r="H53" s="105"/>
      <c r="I53" s="109"/>
      <c r="J53" s="160"/>
      <c r="K53" s="160" t="s">
        <v>669</v>
      </c>
    </row>
    <row r="54" spans="1:13" x14ac:dyDescent="0.25">
      <c r="B54" s="106"/>
      <c r="D54" s="106"/>
      <c r="E54" s="106"/>
      <c r="F54" s="106"/>
      <c r="J54" s="160"/>
      <c r="M54" s="68"/>
    </row>
    <row r="55" spans="1:13" x14ac:dyDescent="0.25">
      <c r="B55" s="106"/>
      <c r="D55" s="106"/>
      <c r="E55" s="106"/>
      <c r="F55" s="106"/>
      <c r="J55" s="160"/>
      <c r="M55" s="68"/>
    </row>
    <row r="56" spans="1:13" x14ac:dyDescent="0.25">
      <c r="J56" s="160"/>
      <c r="K56" s="71"/>
      <c r="L56" s="68"/>
      <c r="M56" s="68"/>
    </row>
    <row r="57" spans="1:13" x14ac:dyDescent="0.25">
      <c r="J57" s="160"/>
      <c r="K57" s="69"/>
      <c r="L57" s="68"/>
    </row>
    <row r="58" spans="1:13" x14ac:dyDescent="0.25">
      <c r="J58" s="160"/>
      <c r="K58" s="69"/>
      <c r="L58" s="68"/>
    </row>
    <row r="59" spans="1:13" x14ac:dyDescent="0.25">
      <c r="J59" s="160"/>
    </row>
    <row r="60" spans="1:13" x14ac:dyDescent="0.25">
      <c r="J60" s="160"/>
    </row>
    <row r="61" spans="1:13" x14ac:dyDescent="0.25">
      <c r="J61" s="160"/>
    </row>
    <row r="62" spans="1:13" x14ac:dyDescent="0.25">
      <c r="J62" s="160"/>
    </row>
  </sheetData>
  <sheetProtection sort="0" autoFilter="0" pivotTables="0"/>
  <mergeCells count="1">
    <mergeCell ref="AC9:AD9"/>
  </mergeCells>
  <conditionalFormatting sqref="I2:I53">
    <cfRule type="expression" dxfId="896" priority="40">
      <formula>$C2="Done"</formula>
    </cfRule>
  </conditionalFormatting>
  <conditionalFormatting sqref="C2:C48">
    <cfRule type="expression" dxfId="895" priority="38">
      <formula>C2="Blocked"</formula>
    </cfRule>
    <cfRule type="expression" dxfId="894" priority="39">
      <formula>C2="Done"</formula>
    </cfRule>
  </conditionalFormatting>
  <conditionalFormatting sqref="I2:I53">
    <cfRule type="expression" dxfId="893" priority="37" stopIfTrue="1">
      <formula>IF(C2="Done", IF(I2&lt;&gt;"Y",TRUE,FALSE),FALSE)</formula>
    </cfRule>
  </conditionalFormatting>
  <conditionalFormatting sqref="S2:S4">
    <cfRule type="expression" dxfId="892" priority="36">
      <formula>IF(S2&lt;0.8, TRUE, IF(S2&gt;1.2, TRUE, FALSE))</formula>
    </cfRule>
  </conditionalFormatting>
  <conditionalFormatting sqref="D32:E40">
    <cfRule type="expression" dxfId="891" priority="34">
      <formula>D32="Blocked"</formula>
    </cfRule>
    <cfRule type="expression" dxfId="890" priority="35">
      <formula>D32="Done"</formula>
    </cfRule>
  </conditionalFormatting>
  <conditionalFormatting sqref="C49">
    <cfRule type="expression" dxfId="889" priority="32">
      <formula>C49="Blocked"</formula>
    </cfRule>
    <cfRule type="expression" dxfId="888" priority="33">
      <formula>C49="Done"</formula>
    </cfRule>
  </conditionalFormatting>
  <conditionalFormatting sqref="C50:C52">
    <cfRule type="expression" dxfId="887" priority="30">
      <formula>C50="Blocked"</formula>
    </cfRule>
    <cfRule type="expression" dxfId="886" priority="31">
      <formula>C50="Done"</formula>
    </cfRule>
  </conditionalFormatting>
  <conditionalFormatting sqref="C53">
    <cfRule type="expression" dxfId="885" priority="28">
      <formula>C53="Blocked"</formula>
    </cfRule>
    <cfRule type="expression" dxfId="884" priority="29">
      <formula>C53="Done"</formula>
    </cfRule>
  </conditionalFormatting>
  <conditionalFormatting sqref="T7:U7">
    <cfRule type="expression" dxfId="883" priority="11">
      <formula>T7&gt;0.2</formula>
    </cfRule>
    <cfRule type="expression" dxfId="882" priority="12">
      <formula>T7&gt;0.4</formula>
    </cfRule>
  </conditionalFormatting>
  <conditionalFormatting sqref="T6:U6">
    <cfRule type="expression" dxfId="881" priority="8">
      <formula>T6&gt;0.2</formula>
    </cfRule>
    <cfRule type="expression" dxfId="880" priority="9">
      <formula>T6&gt;0.4</formula>
    </cfRule>
  </conditionalFormatting>
  <conditionalFormatting sqref="P7:R8">
    <cfRule type="expression" dxfId="879" priority="2">
      <formula>P7&gt;0.2</formula>
    </cfRule>
    <cfRule type="expression" dxfId="878" priority="3">
      <formula>P7&gt;0.4</formula>
    </cfRule>
  </conditionalFormatting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0769" r:id="rId8" name="Button 1">
              <controlPr defaultSize="0" print="0" autoFill="0" autoPict="0" macro="[0]!ResetAndLock">
                <anchor moveWithCells="1" sizeWithCells="1">
                  <from>
                    <xdr:col>18</xdr:col>
                    <xdr:colOff>952500</xdr:colOff>
                    <xdr:row>8</xdr:row>
                    <xdr:rowOff>9525</xdr:rowOff>
                  </from>
                  <to>
                    <xdr:col>23</xdr:col>
                    <xdr:colOff>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8">
    <tablePart r:id="rId9"/>
    <tablePart r:id="rId10"/>
    <tablePart r:id="rId11"/>
    <tablePart r:id="rId12"/>
    <tablePart r:id="rId13"/>
    <tablePart r:id="rId14"/>
    <tablePart r:id="rId15"/>
    <tablePart r:id="rId1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0" id="{65B1CBDC-CDEB-4EB2-908E-737F7F1C6BFD}">
            <x14:iconSet iconSet="4Arrows" custom="1">
              <x14:cfvo type="percent">
                <xm:f>0</xm:f>
              </x14:cfvo>
              <x14:cfvo type="num">
                <xm:f>0.2</xm:f>
              </x14:cfvo>
              <x14:cfvo type="num">
                <xm:f>0.3</xm:f>
              </x14:cfvo>
              <x14:cfvo type="num">
                <xm:f>0.5</xm:f>
              </x14:cfvo>
              <x14:cfIcon iconSet="3Symbols2" iconId="2"/>
              <x14:cfIcon iconSet="3Flags" iconId="1"/>
              <x14:cfIcon iconSet="3Symbols" iconId="1"/>
              <x14:cfIcon iconSet="3Symbols" iconId="0"/>
            </x14:iconSet>
          </x14:cfRule>
          <xm:sqref>T7:U7</xm:sqref>
        </x14:conditionalFormatting>
        <x14:conditionalFormatting xmlns:xm="http://schemas.microsoft.com/office/excel/2006/main">
          <x14:cfRule type="iconSet" priority="7" id="{4BFF4B63-6922-49DF-ADED-109DB3C93505}">
            <x14:iconSet iconSet="4Arrows" custom="1">
              <x14:cfvo type="percent">
                <xm:f>0</xm:f>
              </x14:cfvo>
              <x14:cfvo type="num">
                <xm:f>0.2</xm:f>
              </x14:cfvo>
              <x14:cfvo type="num">
                <xm:f>0.3</xm:f>
              </x14:cfvo>
              <x14:cfvo type="num">
                <xm:f>0.5</xm:f>
              </x14:cfvo>
              <x14:cfIcon iconSet="3Symbols2" iconId="2"/>
              <x14:cfIcon iconSet="3Flags" iconId="1"/>
              <x14:cfIcon iconSet="3Symbols" iconId="1"/>
              <x14:cfIcon iconSet="3Symbols" iconId="0"/>
            </x14:iconSet>
          </x14:cfRule>
          <xm:sqref>T6:U6</xm:sqref>
        </x14:conditionalFormatting>
        <x14:conditionalFormatting xmlns:xm="http://schemas.microsoft.com/office/excel/2006/main">
          <x14:cfRule type="iconSet" priority="1" id="{C415CBCD-5250-4C23-A1AA-79B3B8526EDD}">
            <x14:iconSet iconSet="4Arrows" custom="1">
              <x14:cfvo type="percent">
                <xm:f>0</xm:f>
              </x14:cfvo>
              <x14:cfvo type="num">
                <xm:f>0.2</xm:f>
              </x14:cfvo>
              <x14:cfvo type="num">
                <xm:f>0.3</xm:f>
              </x14:cfvo>
              <x14:cfvo type="num">
                <xm:f>0.5</xm:f>
              </x14:cfvo>
              <x14:cfIcon iconSet="3Symbols2" iconId="2"/>
              <x14:cfIcon iconSet="3Flags" iconId="1"/>
              <x14:cfIcon iconSet="3Symbols" iconId="1"/>
              <x14:cfIcon iconSet="3Symbols" iconId="0"/>
            </x14:iconSet>
          </x14:cfRule>
          <xm:sqref>P7:R8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CB956-4633-46E6-8626-40DA005830DA}">
  <sheetPr codeName="Sheet20"/>
  <dimension ref="A1:AD62"/>
  <sheetViews>
    <sheetView zoomScale="84" zoomScaleNormal="84" workbookViewId="0">
      <selection activeCell="P7" sqref="P7"/>
    </sheetView>
  </sheetViews>
  <sheetFormatPr defaultRowHeight="15" x14ac:dyDescent="0.25"/>
  <cols>
    <col min="1" max="1" width="9.140625" style="160"/>
    <col min="2" max="2" width="12.28515625" style="160" customWidth="1"/>
    <col min="3" max="3" width="11" style="106" customWidth="1"/>
    <col min="4" max="4" width="56.28515625" style="160" customWidth="1"/>
    <col min="5" max="5" width="13.140625" style="160" customWidth="1"/>
    <col min="6" max="6" width="13.85546875" style="160" bestFit="1" customWidth="1"/>
    <col min="7" max="7" width="9.140625" style="160"/>
    <col min="8" max="8" width="14.140625" style="160" bestFit="1" customWidth="1"/>
    <col min="9" max="9" width="14.140625" style="106" bestFit="1" customWidth="1"/>
    <col min="10" max="10" width="10.85546875" style="106" customWidth="1"/>
    <col min="11" max="11" width="17.140625" style="160" bestFit="1" customWidth="1"/>
    <col min="12" max="12" width="6.5703125" style="160" bestFit="1" customWidth="1"/>
    <col min="13" max="13" width="6.42578125" style="160" bestFit="1" customWidth="1"/>
    <col min="14" max="14" width="11.42578125" style="160" bestFit="1" customWidth="1"/>
    <col min="15" max="15" width="18.42578125" style="160" bestFit="1" customWidth="1"/>
    <col min="16" max="16" width="18.42578125" style="160" customWidth="1"/>
    <col min="17" max="17" width="19" style="160" customWidth="1"/>
    <col min="18" max="18" width="16.28515625" style="160" customWidth="1"/>
    <col min="19" max="19" width="16.5703125" style="160" customWidth="1"/>
    <col min="20" max="20" width="14.5703125" style="160" customWidth="1"/>
    <col min="21" max="21" width="18.140625" style="160" customWidth="1"/>
    <col min="22" max="22" width="1.42578125" style="160" customWidth="1"/>
    <col min="23" max="23" width="11" style="160" customWidth="1"/>
    <col min="24" max="24" width="10.85546875" style="160" customWidth="1"/>
    <col min="25" max="25" width="74.28515625" style="160" bestFit="1" customWidth="1"/>
    <col min="26" max="26" width="14.5703125" style="160" bestFit="1" customWidth="1"/>
    <col min="27" max="27" width="14.5703125" style="160" customWidth="1"/>
    <col min="28" max="28" width="9.140625" style="160" customWidth="1"/>
    <col min="29" max="29" width="11.5703125" style="160" customWidth="1"/>
    <col min="30" max="32" width="9.140625" style="160" customWidth="1"/>
    <col min="33" max="16384" width="9.140625" style="160"/>
  </cols>
  <sheetData>
    <row r="1" spans="1:30" ht="30.75" customHeight="1" x14ac:dyDescent="0.25">
      <c r="A1" s="160" t="s">
        <v>231</v>
      </c>
      <c r="B1" s="160" t="s">
        <v>48</v>
      </c>
      <c r="C1" s="106" t="s">
        <v>47</v>
      </c>
      <c r="D1" s="160" t="s">
        <v>46</v>
      </c>
      <c r="E1" s="160" t="s">
        <v>45</v>
      </c>
      <c r="F1" s="160" t="s">
        <v>38</v>
      </c>
      <c r="G1" s="160" t="s">
        <v>44</v>
      </c>
      <c r="H1" s="106" t="s">
        <v>43</v>
      </c>
      <c r="I1" s="106" t="s">
        <v>144</v>
      </c>
      <c r="J1" s="160"/>
      <c r="N1" s="160" t="s">
        <v>133</v>
      </c>
      <c r="O1" s="160" t="s">
        <v>134</v>
      </c>
      <c r="P1" s="160" t="s">
        <v>41</v>
      </c>
      <c r="Q1" s="160" t="s">
        <v>135</v>
      </c>
      <c r="R1" s="160" t="s">
        <v>136</v>
      </c>
      <c r="S1" s="86" t="s">
        <v>143</v>
      </c>
      <c r="T1" s="86" t="s">
        <v>141</v>
      </c>
      <c r="U1" s="159" t="s">
        <v>142</v>
      </c>
      <c r="V1" s="86" t="s">
        <v>1108</v>
      </c>
      <c r="W1" s="86" t="s">
        <v>145</v>
      </c>
      <c r="Y1" s="72" t="s">
        <v>39</v>
      </c>
      <c r="Z1" t="s">
        <v>666</v>
      </c>
    </row>
    <row r="2" spans="1:30" x14ac:dyDescent="0.25">
      <c r="A2" s="160">
        <v>205872</v>
      </c>
      <c r="B2" s="160" t="s">
        <v>1318</v>
      </c>
      <c r="C2" s="160" t="s">
        <v>34</v>
      </c>
      <c r="D2" s="160" t="s">
        <v>1319</v>
      </c>
      <c r="E2" s="160" t="s">
        <v>89</v>
      </c>
      <c r="F2" s="160">
        <v>3</v>
      </c>
      <c r="G2" s="160" t="str">
        <f t="shared" ref="G2:G53" si="0">MID(B2,4,1)</f>
        <v>U</v>
      </c>
      <c r="H2" s="105" t="s">
        <v>35</v>
      </c>
      <c r="I2" s="109" t="s">
        <v>35</v>
      </c>
      <c r="J2" s="160"/>
      <c r="K2" s="72" t="s">
        <v>119</v>
      </c>
      <c r="L2" t="s">
        <v>120</v>
      </c>
      <c r="N2" s="160" t="s">
        <v>2</v>
      </c>
      <c r="O2" s="160">
        <f>+O12-Table92431384559526673808794101108115122[[#This Row],[Blocked]]</f>
        <v>31</v>
      </c>
      <c r="P2" s="160">
        <f>IF(ISERR(P12),0,P12)</f>
        <v>8</v>
      </c>
      <c r="Q2" s="160">
        <f>IF(ISERR(Q12),0,Q12)</f>
        <v>5</v>
      </c>
      <c r="R2" s="160">
        <f>+IF(ISERR(R16),0,R16)</f>
        <v>34</v>
      </c>
      <c r="S2" s="88">
        <f>Table92431384559526673808794101108115122[[#This Row],[Completed]]/Table92431384559526673808794101108115122[[#This Row],[Committed]]</f>
        <v>1.096774193548387</v>
      </c>
      <c r="T2" s="83">
        <f>Table92431384559526673808794101108115122[[#This Row],[Completed]]/(Table92431384559526673808794101108115122[[#This Row],[Added]]+Table92431384559526673808794101108115122[[#This Row],[Committed]])</f>
        <v>0.87179487179487181</v>
      </c>
      <c r="V2" s="84" t="str">
        <f>IF(ISERR(O16),0,O16) &amp; "  (" &amp;TEXT(IF(ISERR(O16),0,O16)/Table92431384559526673808794101108115122[[#This Row],[Committed]],"#%") &amp; ")"</f>
        <v>26  (84%)</v>
      </c>
      <c r="W2" s="85" t="str">
        <f>+IF(ISERR(P16),0,P16) &amp; " (" &amp; TEXT(R20, "#%") &amp; ")"</f>
        <v>8 (100%)</v>
      </c>
      <c r="Y2" s="69" t="s">
        <v>61</v>
      </c>
      <c r="Z2" s="68"/>
    </row>
    <row r="3" spans="1:30" x14ac:dyDescent="0.25">
      <c r="A3" s="160">
        <v>203745</v>
      </c>
      <c r="B3" s="160" t="s">
        <v>1320</v>
      </c>
      <c r="C3" s="160" t="s">
        <v>34</v>
      </c>
      <c r="D3" s="160" t="s">
        <v>965</v>
      </c>
      <c r="E3" s="160" t="s">
        <v>84</v>
      </c>
      <c r="F3" s="160">
        <v>2</v>
      </c>
      <c r="G3" s="160" t="str">
        <f t="shared" si="0"/>
        <v>U</v>
      </c>
      <c r="H3" s="105"/>
      <c r="I3" s="109" t="s">
        <v>35</v>
      </c>
      <c r="J3" s="160"/>
      <c r="K3" s="69" t="s">
        <v>37</v>
      </c>
      <c r="L3" s="68">
        <v>44</v>
      </c>
      <c r="N3" s="160" t="s">
        <v>3</v>
      </c>
      <c r="O3" s="160">
        <f>+O13-Table92431384559526673808794101108115122[[#This Row],[Blocked]]</f>
        <v>36</v>
      </c>
      <c r="P3" s="160">
        <f>IF(ISERR(P13),0,P13)</f>
        <v>3</v>
      </c>
      <c r="Q3" s="160">
        <f>IF(ISERR(Q13),0,Q13)</f>
        <v>2</v>
      </c>
      <c r="R3" s="160">
        <f>+IF(ISERR(R17),0,R17)</f>
        <v>24</v>
      </c>
      <c r="S3" s="88">
        <f>Table92431384559526673808794101108115122[[#This Row],[Completed]]/Table92431384559526673808794101108115122[[#This Row],[Committed]]</f>
        <v>0.66666666666666663</v>
      </c>
      <c r="T3" s="83">
        <f>Table92431384559526673808794101108115122[[#This Row],[Completed]]/(Table92431384559526673808794101108115122[[#This Row],[Added]]+Table92431384559526673808794101108115122[[#This Row],[Committed]])</f>
        <v>0.61538461538461542</v>
      </c>
      <c r="V3" s="84" t="str">
        <f>IF(ISERR(O17),0,O17) &amp; "  (" &amp;TEXT(IF(ISERR(O17),0,O17)/Table92431384559526673808794101108115122[[#This Row],[Committed]],"#%") &amp; ")"</f>
        <v>21  (58%)</v>
      </c>
      <c r="W3" s="85" t="str">
        <f>+IF(ISERR(P17),0,P17) &amp; " (" &amp; TEXT(R21, "#%") &amp; ")"</f>
        <v>3 (100%)</v>
      </c>
      <c r="Y3" s="71" t="s">
        <v>33</v>
      </c>
      <c r="Z3" s="68"/>
    </row>
    <row r="4" spans="1:30" x14ac:dyDescent="0.25">
      <c r="A4" s="160">
        <v>203847</v>
      </c>
      <c r="B4" s="160" t="s">
        <v>1321</v>
      </c>
      <c r="C4" s="160" t="s">
        <v>34</v>
      </c>
      <c r="D4" s="160" t="s">
        <v>1322</v>
      </c>
      <c r="E4" s="160" t="s">
        <v>92</v>
      </c>
      <c r="F4" s="160">
        <v>3</v>
      </c>
      <c r="G4" s="90" t="str">
        <f t="shared" si="0"/>
        <v>U</v>
      </c>
      <c r="H4" s="105"/>
      <c r="I4" s="109" t="s">
        <v>35</v>
      </c>
      <c r="J4" s="160"/>
      <c r="K4" s="71" t="s">
        <v>34</v>
      </c>
      <c r="L4" s="68">
        <v>34</v>
      </c>
      <c r="N4" s="160" t="s">
        <v>303</v>
      </c>
      <c r="O4" s="68">
        <f>SUM(O2:O3)</f>
        <v>67</v>
      </c>
      <c r="P4" s="160">
        <f>SUM(P2:P3)</f>
        <v>11</v>
      </c>
      <c r="Q4" s="68">
        <f>SUM(Q2:Q3)</f>
        <v>7</v>
      </c>
      <c r="R4" s="68">
        <f>SUM(R2:R3)</f>
        <v>58</v>
      </c>
      <c r="S4" s="88">
        <f>Table92431384559526673808794101108115122[[#This Row],[Completed]]/Table92431384559526673808794101108115122[[#This Row],[Committed]]</f>
        <v>0.86567164179104472</v>
      </c>
      <c r="T4" s="83">
        <f>Table92431384559526673808794101108115122[[#This Row],[Completed]]/(Table92431384559526673808794101108115122[[#This Row],[Added]]+Table92431384559526673808794101108115122[[#This Row],[Committed]])</f>
        <v>0.74358974358974361</v>
      </c>
      <c r="V4" s="108" t="str">
        <f>IF(ISERR(SUM(O16:O17)),0,SUM(O16:O17)) &amp;"  ("&amp;TEXT(SUM(O16:O17)/O4,"#%") &amp;")"</f>
        <v>47  (70%)</v>
      </c>
      <c r="W4" s="85" t="str">
        <f>R4-SUM(O16:O17)&amp;" ("&amp;TEXT((R4-SUM(O16:O17))/IF(P4=0,1,P4),"#%")&amp;")"</f>
        <v>11 (100%)</v>
      </c>
      <c r="Y4" s="70" t="s">
        <v>1317</v>
      </c>
      <c r="Z4" s="68">
        <v>1</v>
      </c>
    </row>
    <row r="5" spans="1:30" x14ac:dyDescent="0.25">
      <c r="A5" s="160">
        <v>203731</v>
      </c>
      <c r="B5" s="160" t="s">
        <v>1323</v>
      </c>
      <c r="C5" s="160" t="s">
        <v>34</v>
      </c>
      <c r="D5" s="160" t="s">
        <v>1324</v>
      </c>
      <c r="E5" s="160" t="s">
        <v>92</v>
      </c>
      <c r="F5" s="160">
        <v>1</v>
      </c>
      <c r="G5" s="160" t="str">
        <f t="shared" si="0"/>
        <v>U</v>
      </c>
      <c r="H5" s="106"/>
      <c r="I5" s="109" t="s">
        <v>35</v>
      </c>
      <c r="J5" s="160"/>
      <c r="K5" s="71" t="s">
        <v>33</v>
      </c>
      <c r="L5" s="68">
        <v>5</v>
      </c>
      <c r="O5" s="160" t="s">
        <v>140</v>
      </c>
      <c r="S5" s="160" t="s">
        <v>220</v>
      </c>
      <c r="Y5" s="71" t="s">
        <v>667</v>
      </c>
      <c r="Z5" s="68">
        <v>1</v>
      </c>
    </row>
    <row r="6" spans="1:30" x14ac:dyDescent="0.25">
      <c r="A6" s="160">
        <v>203729</v>
      </c>
      <c r="B6" s="160" t="s">
        <v>1325</v>
      </c>
      <c r="C6" s="160" t="s">
        <v>33</v>
      </c>
      <c r="D6" s="160" t="s">
        <v>1326</v>
      </c>
      <c r="E6" s="160" t="s">
        <v>92</v>
      </c>
      <c r="F6" s="160">
        <v>3</v>
      </c>
      <c r="G6" s="73" t="str">
        <f t="shared" si="0"/>
        <v>U</v>
      </c>
      <c r="H6" s="105"/>
      <c r="I6" s="109" t="s">
        <v>35</v>
      </c>
      <c r="J6" s="160"/>
      <c r="K6" s="71" t="s">
        <v>135</v>
      </c>
      <c r="L6" s="68">
        <v>5</v>
      </c>
      <c r="O6" s="175" t="s">
        <v>40</v>
      </c>
      <c r="P6" s="174" t="s">
        <v>2</v>
      </c>
      <c r="Q6" s="174" t="s">
        <v>137</v>
      </c>
      <c r="R6" s="174" t="s">
        <v>1436</v>
      </c>
      <c r="Y6" s="69" t="s">
        <v>656</v>
      </c>
      <c r="Z6" s="68">
        <v>1</v>
      </c>
    </row>
    <row r="7" spans="1:30" x14ac:dyDescent="0.25">
      <c r="A7" s="160">
        <v>203691</v>
      </c>
      <c r="B7" s="160" t="s">
        <v>1327</v>
      </c>
      <c r="C7" s="160" t="s">
        <v>32</v>
      </c>
      <c r="D7" s="160" t="s">
        <v>1328</v>
      </c>
      <c r="E7" s="160" t="s">
        <v>89</v>
      </c>
      <c r="F7" s="160">
        <v>3</v>
      </c>
      <c r="G7" s="160" t="str">
        <f t="shared" si="0"/>
        <v>U</v>
      </c>
      <c r="H7" s="105"/>
      <c r="I7" s="109"/>
      <c r="J7" s="160"/>
      <c r="K7" s="69" t="s">
        <v>36</v>
      </c>
      <c r="L7" s="68">
        <v>41</v>
      </c>
      <c r="O7" s="174" t="s">
        <v>1437</v>
      </c>
      <c r="P7" s="87">
        <f>+P2/(P2+O2)</f>
        <v>0.20512820512820512</v>
      </c>
      <c r="Q7" s="87">
        <f>P2/O2</f>
        <v>0.25806451612903225</v>
      </c>
      <c r="R7" s="87">
        <f>P4/(O4+P4)</f>
        <v>0.14102564102564102</v>
      </c>
      <c r="Y7" s="69" t="s">
        <v>92</v>
      </c>
      <c r="Z7" s="68"/>
    </row>
    <row r="8" spans="1:30" ht="15.75" thickBot="1" x14ac:dyDescent="0.3">
      <c r="A8" s="160">
        <v>203837</v>
      </c>
      <c r="B8" s="160" t="s">
        <v>1329</v>
      </c>
      <c r="C8" s="160" t="s">
        <v>34</v>
      </c>
      <c r="D8" s="160" t="s">
        <v>1330</v>
      </c>
      <c r="E8" s="160" t="s">
        <v>112</v>
      </c>
      <c r="F8" s="160">
        <v>2</v>
      </c>
      <c r="G8" s="90" t="str">
        <f t="shared" si="0"/>
        <v>U</v>
      </c>
      <c r="H8" s="105"/>
      <c r="I8" s="109" t="s">
        <v>35</v>
      </c>
      <c r="J8" s="160"/>
      <c r="K8" s="71" t="s">
        <v>32</v>
      </c>
      <c r="L8" s="68">
        <v>6</v>
      </c>
      <c r="M8" s="68"/>
      <c r="O8" s="174" t="s">
        <v>1438</v>
      </c>
      <c r="P8" s="87">
        <f>+P3/(P3+O3)</f>
        <v>7.6923076923076927E-2</v>
      </c>
      <c r="Q8" s="87">
        <f>P3/O3</f>
        <v>8.3333333333333329E-2</v>
      </c>
      <c r="R8" s="87">
        <f>P4/O4</f>
        <v>0.16417910447761194</v>
      </c>
      <c r="Y8" s="71" t="s">
        <v>33</v>
      </c>
      <c r="Z8" s="68"/>
    </row>
    <row r="9" spans="1:30" ht="15.75" thickBot="1" x14ac:dyDescent="0.3">
      <c r="A9" s="160">
        <v>203836</v>
      </c>
      <c r="B9" s="160" t="s">
        <v>1331</v>
      </c>
      <c r="C9" s="160" t="s">
        <v>34</v>
      </c>
      <c r="D9" s="160" t="s">
        <v>1332</v>
      </c>
      <c r="E9" s="160" t="s">
        <v>112</v>
      </c>
      <c r="F9" s="160">
        <v>3</v>
      </c>
      <c r="G9" s="160" t="str">
        <f t="shared" si="0"/>
        <v>U</v>
      </c>
      <c r="H9" s="105"/>
      <c r="I9" s="109" t="s">
        <v>35</v>
      </c>
      <c r="J9" s="160"/>
      <c r="K9" s="71" t="s">
        <v>34</v>
      </c>
      <c r="L9" s="68">
        <v>24</v>
      </c>
      <c r="M9" s="68"/>
      <c r="O9" s="174"/>
      <c r="P9" s="87"/>
      <c r="Q9" s="87"/>
      <c r="R9" s="87"/>
      <c r="Y9" s="70" t="s">
        <v>1326</v>
      </c>
      <c r="Z9" s="68">
        <v>1</v>
      </c>
      <c r="AC9" s="195" t="s">
        <v>634</v>
      </c>
      <c r="AD9" s="196"/>
    </row>
    <row r="10" spans="1:30" ht="15.75" thickTop="1" x14ac:dyDescent="0.25">
      <c r="A10" s="160">
        <v>203721</v>
      </c>
      <c r="B10" s="160" t="s">
        <v>1333</v>
      </c>
      <c r="C10" s="160" t="s">
        <v>135</v>
      </c>
      <c r="D10" s="160" t="s">
        <v>1334</v>
      </c>
      <c r="E10" s="160" t="s">
        <v>235</v>
      </c>
      <c r="F10" s="160">
        <v>2</v>
      </c>
      <c r="G10" s="160" t="str">
        <f t="shared" si="0"/>
        <v>U</v>
      </c>
      <c r="H10" s="105"/>
      <c r="I10" s="109"/>
      <c r="J10" s="160"/>
      <c r="K10" s="71" t="s">
        <v>33</v>
      </c>
      <c r="L10" s="68">
        <v>9</v>
      </c>
      <c r="M10" s="68"/>
      <c r="N10" s="160" t="s">
        <v>139</v>
      </c>
      <c r="R10" s="160" t="s">
        <v>138</v>
      </c>
      <c r="V10" s="13"/>
      <c r="W10" s="13"/>
      <c r="Y10" s="70" t="s">
        <v>1266</v>
      </c>
      <c r="Z10" s="68">
        <v>1</v>
      </c>
      <c r="AC10" s="121">
        <f>+GETPIVOTDATA("Story Points2",$K$20,"Project","A","Added After","Y")</f>
        <v>8</v>
      </c>
      <c r="AD10" s="122">
        <f>GETPIVOTDATA("Story Points2",$K$2,"Status","Blocked","Project","A")</f>
        <v>5</v>
      </c>
    </row>
    <row r="11" spans="1:30" x14ac:dyDescent="0.25">
      <c r="A11" s="160">
        <v>203585</v>
      </c>
      <c r="B11" s="160" t="s">
        <v>1335</v>
      </c>
      <c r="C11" s="160" t="s">
        <v>34</v>
      </c>
      <c r="D11" s="160" t="s">
        <v>1336</v>
      </c>
      <c r="E11" s="160" t="s">
        <v>89</v>
      </c>
      <c r="F11" s="160">
        <v>2</v>
      </c>
      <c r="G11" s="160" t="str">
        <f t="shared" si="0"/>
        <v>U</v>
      </c>
      <c r="H11" s="105"/>
      <c r="I11" s="109" t="s">
        <v>35</v>
      </c>
      <c r="J11" s="160"/>
      <c r="K11" s="71" t="s">
        <v>135</v>
      </c>
      <c r="L11" s="68">
        <v>2</v>
      </c>
      <c r="M11" s="68"/>
      <c r="N11" s="160" t="s">
        <v>133</v>
      </c>
      <c r="O11" s="160" t="s">
        <v>42</v>
      </c>
      <c r="P11" s="160" t="s">
        <v>41</v>
      </c>
      <c r="Q11" s="82" t="s">
        <v>135</v>
      </c>
      <c r="R11" s="160" t="s">
        <v>128</v>
      </c>
      <c r="V11" s="13"/>
      <c r="W11" s="13"/>
      <c r="Y11" s="71" t="s">
        <v>667</v>
      </c>
      <c r="Z11" s="68">
        <v>2</v>
      </c>
      <c r="AC11" s="121">
        <f>+GETPIVOTDATA("Story Points2",$K$20,"Project","U","Added After","Y")</f>
        <v>3</v>
      </c>
      <c r="AD11" s="122">
        <f>GETPIVOTDATA("Story Points2",$K$2,"Status","Blocked","Project","U")</f>
        <v>2</v>
      </c>
    </row>
    <row r="12" spans="1:30" x14ac:dyDescent="0.25">
      <c r="A12" s="160">
        <v>203454</v>
      </c>
      <c r="B12" s="160" t="s">
        <v>1337</v>
      </c>
      <c r="C12" s="160" t="s">
        <v>33</v>
      </c>
      <c r="D12" s="160" t="s">
        <v>1338</v>
      </c>
      <c r="E12" s="160" t="s">
        <v>89</v>
      </c>
      <c r="F12" s="160">
        <v>3</v>
      </c>
      <c r="G12" s="160" t="str">
        <f t="shared" si="0"/>
        <v>U</v>
      </c>
      <c r="H12" s="105"/>
      <c r="I12" s="109"/>
      <c r="J12" s="160"/>
      <c r="K12" s="69" t="s">
        <v>735</v>
      </c>
      <c r="L12" s="68"/>
      <c r="M12" s="68"/>
      <c r="N12" s="160" t="s">
        <v>2</v>
      </c>
      <c r="O12" s="160">
        <f>+GETPIVOTDATA("Story Points2",$K$20,"Project","A","Added After",)</f>
        <v>36</v>
      </c>
      <c r="P12" s="160">
        <f>IFERROR(AC10,0)</f>
        <v>8</v>
      </c>
      <c r="Q12" s="81">
        <f>IFERROR(AD10,0)</f>
        <v>5</v>
      </c>
      <c r="R12" s="160">
        <f t="shared" ref="R12:R13" si="1">+IF(ISERR(P12),0,P12)+IF(ISERR(O12),0,O12)</f>
        <v>44</v>
      </c>
      <c r="V12" s="13"/>
      <c r="W12" s="13"/>
      <c r="Y12" s="69" t="s">
        <v>659</v>
      </c>
      <c r="Z12" s="68">
        <v>2</v>
      </c>
      <c r="AC12" s="121"/>
      <c r="AD12" s="122"/>
    </row>
    <row r="13" spans="1:30" x14ac:dyDescent="0.25">
      <c r="A13" s="160">
        <v>203507</v>
      </c>
      <c r="B13" s="160" t="s">
        <v>1339</v>
      </c>
      <c r="C13" s="160" t="s">
        <v>32</v>
      </c>
      <c r="D13" s="160" t="s">
        <v>1340</v>
      </c>
      <c r="E13" s="160" t="s">
        <v>81</v>
      </c>
      <c r="F13" s="160">
        <v>3</v>
      </c>
      <c r="G13" s="73" t="str">
        <f t="shared" si="0"/>
        <v>U</v>
      </c>
      <c r="H13" s="105"/>
      <c r="I13" s="109"/>
      <c r="J13" s="160"/>
      <c r="K13" s="71" t="s">
        <v>122</v>
      </c>
      <c r="L13" s="68"/>
      <c r="M13" s="68"/>
      <c r="N13" s="160" t="s">
        <v>3</v>
      </c>
      <c r="O13" s="160">
        <f>+GETPIVOTDATA("Story Points2",$K$20,"Project","U","Added After",)</f>
        <v>38</v>
      </c>
      <c r="P13" s="160">
        <f>IFERROR(AC11,0)</f>
        <v>3</v>
      </c>
      <c r="Q13" s="81">
        <f>IFERROR(AD11,0)</f>
        <v>2</v>
      </c>
      <c r="R13" s="160">
        <f t="shared" si="1"/>
        <v>41</v>
      </c>
      <c r="V13" s="13"/>
      <c r="W13" s="13"/>
      <c r="Y13" s="69" t="s">
        <v>89</v>
      </c>
      <c r="Z13" s="68"/>
      <c r="AC13" s="121"/>
      <c r="AD13" s="122"/>
    </row>
    <row r="14" spans="1:30" x14ac:dyDescent="0.25">
      <c r="A14" s="160">
        <v>203504</v>
      </c>
      <c r="B14" s="160" t="s">
        <v>1341</v>
      </c>
      <c r="C14" s="160" t="s">
        <v>34</v>
      </c>
      <c r="D14" s="160" t="s">
        <v>1342</v>
      </c>
      <c r="E14" s="160" t="s">
        <v>81</v>
      </c>
      <c r="F14" s="160">
        <v>2</v>
      </c>
      <c r="G14" s="160" t="str">
        <f t="shared" si="0"/>
        <v>U</v>
      </c>
      <c r="H14" s="105"/>
      <c r="I14" s="109" t="s">
        <v>35</v>
      </c>
      <c r="J14" s="160"/>
      <c r="K14" s="69" t="s">
        <v>31</v>
      </c>
      <c r="L14" s="68">
        <v>85</v>
      </c>
      <c r="M14" s="68"/>
      <c r="V14" s="13"/>
      <c r="W14" s="13"/>
      <c r="Y14" s="71" t="s">
        <v>33</v>
      </c>
      <c r="Z14" s="68"/>
      <c r="AC14" s="121">
        <f>+GETPIVOTDATA("Story Points2",$K$20,"Status","Done","Project","A","Added After",)</f>
        <v>26</v>
      </c>
      <c r="AD14" s="122">
        <f>+GETPIVOTDATA("Story Points2",$K$20,"Status","Done","Project","A","Added After","Y")</f>
        <v>8</v>
      </c>
    </row>
    <row r="15" spans="1:30" x14ac:dyDescent="0.25">
      <c r="A15" s="160">
        <v>198916</v>
      </c>
      <c r="B15" s="160" t="s">
        <v>1265</v>
      </c>
      <c r="C15" s="160" t="s">
        <v>33</v>
      </c>
      <c r="D15" s="160" t="s">
        <v>1266</v>
      </c>
      <c r="E15" s="160" t="s">
        <v>92</v>
      </c>
      <c r="F15" s="160">
        <v>3</v>
      </c>
      <c r="G15" s="73" t="str">
        <f t="shared" si="0"/>
        <v>U</v>
      </c>
      <c r="H15" s="105"/>
      <c r="I15" s="109"/>
      <c r="J15" s="160"/>
      <c r="N15" s="160" t="s">
        <v>34</v>
      </c>
      <c r="O15" s="160" t="s">
        <v>126</v>
      </c>
      <c r="P15" s="160" t="s">
        <v>125</v>
      </c>
      <c r="Q15" s="80" t="s">
        <v>40</v>
      </c>
      <c r="R15" s="160" t="s">
        <v>127</v>
      </c>
      <c r="V15" s="13"/>
      <c r="W15" s="13"/>
      <c r="Y15" s="70" t="s">
        <v>1338</v>
      </c>
      <c r="Z15" s="68">
        <v>1</v>
      </c>
      <c r="AC15" s="121">
        <f>+GETPIVOTDATA("Story Points2",$K$20,"Status","Done","Project","U","Added After",)</f>
        <v>21</v>
      </c>
      <c r="AD15" s="122">
        <f>+GETPIVOTDATA("Story Points2",$K$20,"Status","Done","Project","U","Added After","Y")</f>
        <v>3</v>
      </c>
    </row>
    <row r="16" spans="1:30" x14ac:dyDescent="0.25">
      <c r="A16" s="160">
        <v>195518</v>
      </c>
      <c r="B16" s="160" t="s">
        <v>1343</v>
      </c>
      <c r="C16" s="160" t="s">
        <v>34</v>
      </c>
      <c r="D16" s="160" t="s">
        <v>1344</v>
      </c>
      <c r="E16" s="160" t="s">
        <v>112</v>
      </c>
      <c r="F16" s="160">
        <v>2</v>
      </c>
      <c r="G16" s="73" t="str">
        <f t="shared" si="0"/>
        <v>U</v>
      </c>
      <c r="H16" s="105"/>
      <c r="I16" s="109" t="s">
        <v>35</v>
      </c>
      <c r="J16" s="160"/>
      <c r="N16" s="160" t="s">
        <v>2</v>
      </c>
      <c r="O16" s="160">
        <f>IFERROR(AC14,0)</f>
        <v>26</v>
      </c>
      <c r="P16" s="160">
        <f>IFERROR(AD14,0)</f>
        <v>8</v>
      </c>
      <c r="R16" s="160">
        <f t="shared" ref="R16:R17" si="2">+IF(ISERR(P16),0,P16)+IF(ISERR(O16),0,O16)</f>
        <v>34</v>
      </c>
      <c r="Y16" s="71" t="s">
        <v>667</v>
      </c>
      <c r="Z16" s="68">
        <v>1</v>
      </c>
      <c r="AC16" s="121"/>
      <c r="AD16" s="122"/>
    </row>
    <row r="17" spans="1:30" ht="14.25" customHeight="1" x14ac:dyDescent="0.25">
      <c r="A17" s="160">
        <v>187404</v>
      </c>
      <c r="B17" s="160" t="s">
        <v>1119</v>
      </c>
      <c r="C17" s="160" t="s">
        <v>34</v>
      </c>
      <c r="D17" s="160" t="s">
        <v>1120</v>
      </c>
      <c r="E17" s="160" t="s">
        <v>84</v>
      </c>
      <c r="F17" s="160">
        <v>2</v>
      </c>
      <c r="G17" s="160" t="str">
        <f t="shared" si="0"/>
        <v>U</v>
      </c>
      <c r="H17" s="105"/>
      <c r="I17" s="109" t="s">
        <v>35</v>
      </c>
      <c r="J17" s="160"/>
      <c r="N17" s="160" t="s">
        <v>3</v>
      </c>
      <c r="O17" s="160">
        <f>IFERROR(AC15,0)</f>
        <v>21</v>
      </c>
      <c r="P17" s="160">
        <f>IFERROR(AD15,0)</f>
        <v>3</v>
      </c>
      <c r="R17" s="160">
        <f t="shared" si="2"/>
        <v>24</v>
      </c>
      <c r="T17" s="197"/>
      <c r="U17" s="197"/>
      <c r="V17" s="197"/>
      <c r="W17" s="197"/>
      <c r="Y17" s="71" t="s">
        <v>32</v>
      </c>
      <c r="Z17" s="68"/>
      <c r="AC17" s="121"/>
      <c r="AD17" s="122"/>
    </row>
    <row r="18" spans="1:30" x14ac:dyDescent="0.25">
      <c r="A18" s="160">
        <v>187403</v>
      </c>
      <c r="B18" s="160" t="s">
        <v>1121</v>
      </c>
      <c r="C18" s="160" t="s">
        <v>34</v>
      </c>
      <c r="D18" s="160" t="s">
        <v>1122</v>
      </c>
      <c r="E18" s="160" t="s">
        <v>84</v>
      </c>
      <c r="F18" s="160">
        <v>1</v>
      </c>
      <c r="G18" s="73" t="str">
        <f t="shared" si="0"/>
        <v>U</v>
      </c>
      <c r="H18" s="105"/>
      <c r="I18" s="109" t="s">
        <v>35</v>
      </c>
      <c r="J18" s="160"/>
      <c r="T18" s="197"/>
      <c r="U18" s="197"/>
      <c r="V18" s="197"/>
      <c r="W18" s="197"/>
      <c r="Y18" s="70" t="s">
        <v>1328</v>
      </c>
      <c r="Z18" s="68">
        <v>1</v>
      </c>
      <c r="AC18" s="121"/>
      <c r="AD18" s="122"/>
    </row>
    <row r="19" spans="1:30" x14ac:dyDescent="0.25">
      <c r="A19" s="160">
        <v>147871</v>
      </c>
      <c r="B19" s="160" t="s">
        <v>911</v>
      </c>
      <c r="C19" s="160" t="s">
        <v>34</v>
      </c>
      <c r="D19" s="160" t="s">
        <v>912</v>
      </c>
      <c r="E19" s="160" t="s">
        <v>235</v>
      </c>
      <c r="F19" s="160">
        <v>1</v>
      </c>
      <c r="G19" s="90" t="str">
        <f t="shared" si="0"/>
        <v>U</v>
      </c>
      <c r="H19" s="105"/>
      <c r="I19" s="109" t="s">
        <v>35</v>
      </c>
      <c r="J19" s="160"/>
      <c r="M19" s="68"/>
      <c r="N19" s="160" t="s">
        <v>34</v>
      </c>
      <c r="O19" s="160" t="s">
        <v>123</v>
      </c>
      <c r="P19" s="160" t="s">
        <v>124</v>
      </c>
      <c r="Q19" s="160" t="s">
        <v>126</v>
      </c>
      <c r="R19" s="160" t="s">
        <v>125</v>
      </c>
      <c r="T19" s="197"/>
      <c r="U19" s="197"/>
      <c r="V19" s="197"/>
      <c r="W19" s="197"/>
      <c r="Y19" s="71" t="s">
        <v>668</v>
      </c>
      <c r="Z19" s="68">
        <v>1</v>
      </c>
      <c r="AC19" s="121"/>
      <c r="AD19" s="122"/>
    </row>
    <row r="20" spans="1:30" x14ac:dyDescent="0.25">
      <c r="A20" s="160">
        <v>206762</v>
      </c>
      <c r="B20" s="160" t="s">
        <v>1345</v>
      </c>
      <c r="C20" s="160" t="s">
        <v>34</v>
      </c>
      <c r="D20" s="160" t="s">
        <v>1346</v>
      </c>
      <c r="E20" s="160" t="s">
        <v>72</v>
      </c>
      <c r="F20" s="160">
        <v>2</v>
      </c>
      <c r="G20" s="160" t="str">
        <f t="shared" si="0"/>
        <v>A</v>
      </c>
      <c r="H20" s="105" t="s">
        <v>35</v>
      </c>
      <c r="I20" s="109" t="s">
        <v>35</v>
      </c>
      <c r="J20" s="160"/>
      <c r="K20" s="72" t="s">
        <v>396</v>
      </c>
      <c r="L20" t="s">
        <v>120</v>
      </c>
      <c r="M20" s="68"/>
      <c r="N20" s="160" t="s">
        <v>2</v>
      </c>
      <c r="O20" s="64">
        <f>+R16/O12</f>
        <v>0.94444444444444442</v>
      </c>
      <c r="P20" s="64">
        <f t="shared" ref="P20:P21" si="3">+R16/R12</f>
        <v>0.77272727272727271</v>
      </c>
      <c r="Q20" s="64">
        <f>+O16/IF(ISERR(O12),1,O12)</f>
        <v>0.72222222222222221</v>
      </c>
      <c r="R20" s="64">
        <f>+P16/IF(ISERR(AC10),1,P12)</f>
        <v>1</v>
      </c>
      <c r="T20" s="197"/>
      <c r="U20" s="197"/>
      <c r="V20" s="197"/>
      <c r="W20" s="197"/>
      <c r="Y20" s="69" t="s">
        <v>662</v>
      </c>
      <c r="Z20" s="68">
        <v>2</v>
      </c>
      <c r="AC20" s="121"/>
      <c r="AD20" s="122"/>
    </row>
    <row r="21" spans="1:30" x14ac:dyDescent="0.25">
      <c r="A21" s="160">
        <v>206556</v>
      </c>
      <c r="B21" s="160" t="s">
        <v>1347</v>
      </c>
      <c r="C21" s="160" t="s">
        <v>34</v>
      </c>
      <c r="D21" s="160" t="s">
        <v>1348</v>
      </c>
      <c r="E21" s="160" t="s">
        <v>64</v>
      </c>
      <c r="F21" s="160">
        <v>1</v>
      </c>
      <c r="G21" s="73" t="str">
        <f t="shared" si="0"/>
        <v>A</v>
      </c>
      <c r="H21" s="105" t="s">
        <v>35</v>
      </c>
      <c r="I21" s="109" t="s">
        <v>35</v>
      </c>
      <c r="J21" s="160"/>
      <c r="K21" s="69" t="s">
        <v>122</v>
      </c>
      <c r="L21" s="68">
        <v>74</v>
      </c>
      <c r="M21" s="68"/>
      <c r="N21" s="160" t="s">
        <v>3</v>
      </c>
      <c r="O21" s="64">
        <f>+R17/O13</f>
        <v>0.63157894736842102</v>
      </c>
      <c r="P21" s="64">
        <f t="shared" si="3"/>
        <v>0.58536585365853655</v>
      </c>
      <c r="Q21" s="64">
        <f>+O17/IF(ISERR(O13),1,O13)</f>
        <v>0.55263157894736847</v>
      </c>
      <c r="R21" s="64">
        <f>+P17/IF(ISERR(AC11),1,P13)</f>
        <v>1</v>
      </c>
      <c r="T21" s="197"/>
      <c r="U21" s="197"/>
      <c r="V21" s="197"/>
      <c r="W21" s="197"/>
      <c r="Y21" s="69" t="s">
        <v>81</v>
      </c>
      <c r="Z21" s="68"/>
      <c r="AC21" s="121"/>
      <c r="AD21" s="122"/>
    </row>
    <row r="22" spans="1:30" x14ac:dyDescent="0.25">
      <c r="A22" s="160">
        <v>206555</v>
      </c>
      <c r="B22" s="160" t="s">
        <v>1349</v>
      </c>
      <c r="C22" s="160" t="s">
        <v>34</v>
      </c>
      <c r="D22" s="160" t="s">
        <v>1350</v>
      </c>
      <c r="E22" s="160" t="s">
        <v>236</v>
      </c>
      <c r="F22" s="160">
        <v>2</v>
      </c>
      <c r="G22" s="90" t="str">
        <f t="shared" si="0"/>
        <v>A</v>
      </c>
      <c r="H22" s="105" t="s">
        <v>35</v>
      </c>
      <c r="I22" s="109" t="s">
        <v>35</v>
      </c>
      <c r="J22" s="160"/>
      <c r="K22" s="71" t="s">
        <v>37</v>
      </c>
      <c r="L22" s="68">
        <v>36</v>
      </c>
      <c r="M22" s="68"/>
      <c r="T22" s="197"/>
      <c r="U22" s="197"/>
      <c r="V22" s="197"/>
      <c r="W22" s="197"/>
      <c r="Y22" s="71" t="s">
        <v>32</v>
      </c>
      <c r="Z22" s="68"/>
      <c r="AC22" s="121">
        <f>+GETPIVOTDATA("Story Points",$N$34,"Project","A","Added After",)</f>
        <v>26</v>
      </c>
      <c r="AD22" s="122">
        <f>+GETPIVOTDATA("Story Points",$N$34,"Project","A","Added After","Y")</f>
        <v>8</v>
      </c>
    </row>
    <row r="23" spans="1:30" ht="15.75" thickBot="1" x14ac:dyDescent="0.3">
      <c r="A23" s="160">
        <v>203694</v>
      </c>
      <c r="B23" s="160" t="s">
        <v>1351</v>
      </c>
      <c r="C23" s="160" t="s">
        <v>34</v>
      </c>
      <c r="D23" s="160" t="s">
        <v>1352</v>
      </c>
      <c r="E23" s="160" t="s">
        <v>61</v>
      </c>
      <c r="F23" s="160">
        <v>1</v>
      </c>
      <c r="G23" s="90" t="str">
        <f t="shared" si="0"/>
        <v>A</v>
      </c>
      <c r="H23" s="105"/>
      <c r="I23" s="109" t="s">
        <v>35</v>
      </c>
      <c r="J23" s="160"/>
      <c r="K23" s="70" t="s">
        <v>34</v>
      </c>
      <c r="L23" s="68">
        <v>26</v>
      </c>
      <c r="M23" s="68"/>
      <c r="N23" s="160" t="s">
        <v>49</v>
      </c>
      <c r="O23" s="160" t="s">
        <v>126</v>
      </c>
      <c r="P23" s="160" t="s">
        <v>125</v>
      </c>
      <c r="Q23" s="80" t="s">
        <v>239</v>
      </c>
      <c r="R23" s="160" t="s">
        <v>129</v>
      </c>
      <c r="T23" s="197"/>
      <c r="U23" s="197"/>
      <c r="V23" s="197"/>
      <c r="W23" s="197"/>
      <c r="Y23" s="70" t="s">
        <v>1340</v>
      </c>
      <c r="Z23" s="68">
        <v>1</v>
      </c>
      <c r="AC23" s="123">
        <f>+GETPIVOTDATA("Story Points",$N$34,"Project","U","Added After",)</f>
        <v>27</v>
      </c>
      <c r="AD23" s="124">
        <f>+GETPIVOTDATA("Story Points",$N$34,"Project","U","Added After","Y")</f>
        <v>3</v>
      </c>
    </row>
    <row r="24" spans="1:30" x14ac:dyDescent="0.25">
      <c r="A24" s="160">
        <v>203739</v>
      </c>
      <c r="B24" s="160" t="s">
        <v>1353</v>
      </c>
      <c r="C24" s="160" t="s">
        <v>34</v>
      </c>
      <c r="D24" s="160" t="s">
        <v>1354</v>
      </c>
      <c r="E24" s="160" t="s">
        <v>236</v>
      </c>
      <c r="F24" s="160">
        <v>1</v>
      </c>
      <c r="G24" s="160" t="str">
        <f t="shared" si="0"/>
        <v>A</v>
      </c>
      <c r="H24" s="105"/>
      <c r="I24" s="109" t="s">
        <v>35</v>
      </c>
      <c r="J24" s="160"/>
      <c r="K24" s="70" t="s">
        <v>33</v>
      </c>
      <c r="L24" s="68">
        <v>5</v>
      </c>
      <c r="M24" s="68"/>
      <c r="N24" s="160" t="s">
        <v>2</v>
      </c>
      <c r="O24" s="160">
        <f>IFERROR(AC22,0)</f>
        <v>26</v>
      </c>
      <c r="P24" s="160">
        <f>IFERROR(AD22,0)</f>
        <v>8</v>
      </c>
      <c r="Q24" s="160">
        <f>+O12-Q12-Table7222936435750647178859299106113120[[#This Row],[Committed Done]]</f>
        <v>5</v>
      </c>
      <c r="R24" s="160">
        <f>+Table7222936435750647178859299106113120[[#This Row],[Committed Done]]+Table7222936435750647178859299106113120[[#This Row],[Added Done]]</f>
        <v>34</v>
      </c>
      <c r="T24" s="197"/>
      <c r="U24" s="197"/>
      <c r="V24" s="197"/>
      <c r="W24" s="197"/>
      <c r="Y24" s="71" t="s">
        <v>668</v>
      </c>
      <c r="Z24" s="68">
        <v>1</v>
      </c>
    </row>
    <row r="25" spans="1:30" x14ac:dyDescent="0.25">
      <c r="A25" s="160">
        <v>203682</v>
      </c>
      <c r="B25" s="160" t="s">
        <v>1355</v>
      </c>
      <c r="C25" s="160" t="s">
        <v>135</v>
      </c>
      <c r="D25" s="160" t="s">
        <v>1356</v>
      </c>
      <c r="E25" s="160" t="s">
        <v>61</v>
      </c>
      <c r="F25" s="160">
        <v>2</v>
      </c>
      <c r="G25" s="160" t="str">
        <f t="shared" si="0"/>
        <v>A</v>
      </c>
      <c r="H25" s="105"/>
      <c r="I25" s="109"/>
      <c r="J25" s="160"/>
      <c r="K25" s="70" t="s">
        <v>135</v>
      </c>
      <c r="L25" s="68">
        <v>5</v>
      </c>
      <c r="M25" s="68"/>
      <c r="N25" s="160" t="s">
        <v>3</v>
      </c>
      <c r="O25" s="160">
        <f>IFERROR(AC23,0)</f>
        <v>27</v>
      </c>
      <c r="P25" s="160">
        <f>IFERROR(AD23,0)</f>
        <v>3</v>
      </c>
      <c r="Q25" s="160">
        <f>+O13-Q13-Table7222936435750647178859299106113120[[#This Row],[Committed Done]]</f>
        <v>9</v>
      </c>
      <c r="R25" s="160">
        <f>+Table7222936435750647178859299106113120[[#This Row],[Committed Done]]+Table7222936435750647178859299106113120[[#This Row],[Added Done]]</f>
        <v>30</v>
      </c>
      <c r="T25" s="197"/>
      <c r="U25" s="197"/>
      <c r="V25" s="197"/>
      <c r="W25" s="197"/>
      <c r="Y25" s="69" t="s">
        <v>663</v>
      </c>
      <c r="Z25" s="68">
        <v>1</v>
      </c>
    </row>
    <row r="26" spans="1:30" x14ac:dyDescent="0.25">
      <c r="A26" s="160">
        <v>203704</v>
      </c>
      <c r="B26" s="160" t="s">
        <v>1357</v>
      </c>
      <c r="C26" s="160" t="s">
        <v>34</v>
      </c>
      <c r="D26" s="160" t="s">
        <v>1358</v>
      </c>
      <c r="E26" s="160" t="s">
        <v>64</v>
      </c>
      <c r="F26" s="160">
        <v>3</v>
      </c>
      <c r="G26" s="73" t="str">
        <f t="shared" si="0"/>
        <v>A</v>
      </c>
      <c r="H26" s="105"/>
      <c r="I26" s="109" t="s">
        <v>35</v>
      </c>
      <c r="J26" s="160"/>
      <c r="K26" s="71" t="s">
        <v>36</v>
      </c>
      <c r="L26" s="68">
        <v>38</v>
      </c>
      <c r="T26" s="197"/>
      <c r="U26" s="197"/>
      <c r="V26" s="197"/>
      <c r="W26" s="197"/>
      <c r="Y26" s="69" t="s">
        <v>122</v>
      </c>
      <c r="Z26" s="68"/>
    </row>
    <row r="27" spans="1:30" x14ac:dyDescent="0.25">
      <c r="A27" s="160">
        <v>203703</v>
      </c>
      <c r="B27" s="160" t="s">
        <v>1359</v>
      </c>
      <c r="C27" s="160" t="s">
        <v>34</v>
      </c>
      <c r="D27" s="160" t="s">
        <v>1360</v>
      </c>
      <c r="E27" s="160" t="s">
        <v>72</v>
      </c>
      <c r="F27" s="160">
        <v>5</v>
      </c>
      <c r="G27" s="160" t="str">
        <f t="shared" si="0"/>
        <v>A</v>
      </c>
      <c r="H27" s="105"/>
      <c r="I27" s="109" t="s">
        <v>35</v>
      </c>
      <c r="J27" s="160"/>
      <c r="K27" s="70" t="s">
        <v>32</v>
      </c>
      <c r="L27" s="68">
        <v>6</v>
      </c>
      <c r="M27" s="68"/>
      <c r="N27" s="160" t="s">
        <v>49</v>
      </c>
      <c r="O27" s="160" t="s">
        <v>123</v>
      </c>
      <c r="P27" s="160" t="s">
        <v>124</v>
      </c>
      <c r="Q27" s="160" t="s">
        <v>126</v>
      </c>
      <c r="R27" s="160" t="s">
        <v>130</v>
      </c>
      <c r="T27" s="197"/>
      <c r="U27" s="197"/>
      <c r="V27" s="197"/>
      <c r="W27" s="197"/>
      <c r="Y27" s="71" t="s">
        <v>122</v>
      </c>
      <c r="Z27" s="68"/>
    </row>
    <row r="28" spans="1:30" x14ac:dyDescent="0.25">
      <c r="A28" s="160">
        <v>203702</v>
      </c>
      <c r="B28" s="160" t="s">
        <v>1361</v>
      </c>
      <c r="C28" s="160" t="s">
        <v>34</v>
      </c>
      <c r="D28" s="160" t="s">
        <v>1362</v>
      </c>
      <c r="E28" s="160" t="s">
        <v>72</v>
      </c>
      <c r="F28" s="160">
        <v>5</v>
      </c>
      <c r="G28" s="160" t="str">
        <f t="shared" si="0"/>
        <v>A</v>
      </c>
      <c r="H28" s="105"/>
      <c r="I28" s="109" t="s">
        <v>35</v>
      </c>
      <c r="J28" s="160"/>
      <c r="K28" s="70" t="s">
        <v>34</v>
      </c>
      <c r="L28" s="68">
        <v>21</v>
      </c>
      <c r="M28" s="68"/>
      <c r="N28" s="160" t="s">
        <v>2</v>
      </c>
      <c r="O28" s="64">
        <f>R24/IF(O12=0, 1,O12)</f>
        <v>0.94444444444444442</v>
      </c>
      <c r="P28" s="64">
        <f>R24/IF(R12=0,1,R12)</f>
        <v>0.77272727272727271</v>
      </c>
      <c r="Q28" s="64">
        <f>O24/IF(O12=0,1,O12)</f>
        <v>0.72222222222222221</v>
      </c>
      <c r="R28" s="64">
        <f>+P24/IF(P12=0,1,P12)</f>
        <v>1</v>
      </c>
      <c r="T28" s="197"/>
      <c r="U28" s="197"/>
      <c r="V28" s="197"/>
      <c r="W28" s="197"/>
      <c r="Y28" s="70" t="s">
        <v>122</v>
      </c>
      <c r="Z28" s="68"/>
    </row>
    <row r="29" spans="1:30" x14ac:dyDescent="0.25">
      <c r="A29" s="160">
        <v>193019</v>
      </c>
      <c r="B29" s="160" t="s">
        <v>1363</v>
      </c>
      <c r="C29" s="160" t="s">
        <v>34</v>
      </c>
      <c r="D29" s="160" t="s">
        <v>1364</v>
      </c>
      <c r="E29" s="160" t="s">
        <v>64</v>
      </c>
      <c r="F29" s="160">
        <v>3</v>
      </c>
      <c r="G29" s="73" t="str">
        <f t="shared" si="0"/>
        <v>A</v>
      </c>
      <c r="H29" s="105" t="s">
        <v>35</v>
      </c>
      <c r="I29" s="109" t="s">
        <v>35</v>
      </c>
      <c r="J29" s="160"/>
      <c r="K29" s="70" t="s">
        <v>33</v>
      </c>
      <c r="L29" s="68">
        <v>9</v>
      </c>
      <c r="M29" s="68"/>
      <c r="N29" s="160" t="s">
        <v>3</v>
      </c>
      <c r="O29" s="64">
        <f>R25/IF(R17=0, 1,O13)</f>
        <v>0.78947368421052633</v>
      </c>
      <c r="P29" s="64">
        <f>R25/IF(R13=0,1,R13)</f>
        <v>0.73170731707317072</v>
      </c>
      <c r="Q29" s="64">
        <f>O25/IF(O13=0,1,O13)</f>
        <v>0.71052631578947367</v>
      </c>
      <c r="R29" s="64">
        <f>+P25/IF(P13=0,1,P13)</f>
        <v>1</v>
      </c>
      <c r="T29" s="197"/>
      <c r="U29" s="197"/>
      <c r="V29" s="197"/>
      <c r="W29" s="197"/>
      <c r="Y29" s="71" t="s">
        <v>1373</v>
      </c>
      <c r="Z29" s="68"/>
    </row>
    <row r="30" spans="1:30" x14ac:dyDescent="0.25">
      <c r="A30" s="160">
        <v>193018</v>
      </c>
      <c r="B30" s="160" t="s">
        <v>1365</v>
      </c>
      <c r="C30" s="160" t="s">
        <v>34</v>
      </c>
      <c r="D30" s="160" t="s">
        <v>1366</v>
      </c>
      <c r="E30" s="160" t="s">
        <v>64</v>
      </c>
      <c r="F30" s="160">
        <v>3</v>
      </c>
      <c r="G30" s="73" t="str">
        <f t="shared" si="0"/>
        <v>A</v>
      </c>
      <c r="H30" s="105"/>
      <c r="I30" s="109" t="s">
        <v>35</v>
      </c>
      <c r="J30" s="160"/>
      <c r="K30" s="70" t="s">
        <v>135</v>
      </c>
      <c r="L30" s="68">
        <v>2</v>
      </c>
      <c r="M30" s="68"/>
      <c r="T30" s="197"/>
      <c r="U30" s="197"/>
      <c r="V30" s="197"/>
      <c r="W30" s="197"/>
      <c r="Y30" s="69" t="s">
        <v>1373</v>
      </c>
      <c r="Z30" s="68"/>
    </row>
    <row r="31" spans="1:30" x14ac:dyDescent="0.25">
      <c r="A31" s="160">
        <v>193017</v>
      </c>
      <c r="B31" s="160" t="s">
        <v>1367</v>
      </c>
      <c r="C31" s="160" t="s">
        <v>34</v>
      </c>
      <c r="D31" s="160" t="s">
        <v>1368</v>
      </c>
      <c r="E31" s="160" t="s">
        <v>64</v>
      </c>
      <c r="F31" s="160">
        <v>3</v>
      </c>
      <c r="G31" s="90" t="str">
        <f t="shared" si="0"/>
        <v>A</v>
      </c>
      <c r="H31" s="105"/>
      <c r="I31" s="109" t="s">
        <v>35</v>
      </c>
      <c r="J31" s="160"/>
      <c r="K31" s="71" t="s">
        <v>735</v>
      </c>
      <c r="L31" s="68"/>
      <c r="M31" s="68"/>
      <c r="T31" s="197"/>
      <c r="U31" s="197"/>
      <c r="V31" s="197"/>
      <c r="W31" s="197"/>
      <c r="Y31" s="69" t="s">
        <v>31</v>
      </c>
      <c r="Z31" s="68">
        <v>6</v>
      </c>
    </row>
    <row r="32" spans="1:30" x14ac:dyDescent="0.25">
      <c r="A32" s="160">
        <v>193016</v>
      </c>
      <c r="B32" s="160" t="s">
        <v>1369</v>
      </c>
      <c r="C32" s="160" t="s">
        <v>34</v>
      </c>
      <c r="D32" s="160" t="s">
        <v>1370</v>
      </c>
      <c r="E32" s="160" t="s">
        <v>64</v>
      </c>
      <c r="F32" s="160">
        <v>3</v>
      </c>
      <c r="G32" s="160" t="str">
        <f t="shared" si="0"/>
        <v>A</v>
      </c>
      <c r="H32" s="105"/>
      <c r="I32" s="109" t="s">
        <v>35</v>
      </c>
      <c r="J32" s="160"/>
      <c r="K32" s="70" t="s">
        <v>122</v>
      </c>
      <c r="L32" s="68"/>
      <c r="N32" s="72" t="s">
        <v>144</v>
      </c>
      <c r="O32" s="160" t="s">
        <v>35</v>
      </c>
      <c r="T32" s="197"/>
      <c r="U32" s="197"/>
      <c r="V32" s="197"/>
      <c r="W32" s="197"/>
      <c r="Y32"/>
      <c r="Z32"/>
    </row>
    <row r="33" spans="1:26" x14ac:dyDescent="0.25">
      <c r="A33" s="160">
        <v>164835</v>
      </c>
      <c r="B33" s="160" t="s">
        <v>943</v>
      </c>
      <c r="C33" s="160" t="s">
        <v>34</v>
      </c>
      <c r="D33" s="160" t="s">
        <v>1315</v>
      </c>
      <c r="E33" s="160" t="s">
        <v>112</v>
      </c>
      <c r="F33" s="160">
        <v>2</v>
      </c>
      <c r="G33" s="90" t="str">
        <f t="shared" si="0"/>
        <v>A</v>
      </c>
      <c r="H33" s="105"/>
      <c r="I33" s="109" t="s">
        <v>35</v>
      </c>
      <c r="J33" s="160"/>
      <c r="K33" s="69" t="s">
        <v>35</v>
      </c>
      <c r="L33" s="68">
        <v>11</v>
      </c>
      <c r="T33" s="197"/>
      <c r="U33" s="197"/>
      <c r="V33" s="197"/>
      <c r="W33" s="197"/>
      <c r="Y33"/>
      <c r="Z33"/>
    </row>
    <row r="34" spans="1:26" x14ac:dyDescent="0.25">
      <c r="A34" s="160">
        <v>136367</v>
      </c>
      <c r="B34" s="160" t="s">
        <v>1316</v>
      </c>
      <c r="C34" s="160" t="s">
        <v>33</v>
      </c>
      <c r="D34" s="160" t="s">
        <v>1317</v>
      </c>
      <c r="E34" s="160" t="s">
        <v>61</v>
      </c>
      <c r="F34" s="160">
        <v>5</v>
      </c>
      <c r="G34" s="160" t="str">
        <f t="shared" si="0"/>
        <v>A</v>
      </c>
      <c r="H34" s="105"/>
      <c r="I34" s="109"/>
      <c r="J34" s="160"/>
      <c r="K34" s="71" t="s">
        <v>37</v>
      </c>
      <c r="L34" s="68">
        <v>8</v>
      </c>
      <c r="N34" s="72" t="s">
        <v>655</v>
      </c>
      <c r="O34" t="s">
        <v>50</v>
      </c>
      <c r="T34" s="197"/>
      <c r="U34" s="197"/>
      <c r="V34" s="197"/>
      <c r="W34" s="197"/>
      <c r="Y34"/>
      <c r="Z34"/>
    </row>
    <row r="35" spans="1:26" x14ac:dyDescent="0.25">
      <c r="A35" s="160">
        <v>136362</v>
      </c>
      <c r="B35" s="160" t="s">
        <v>1371</v>
      </c>
      <c r="C35" s="160" t="s">
        <v>135</v>
      </c>
      <c r="D35" s="160" t="s">
        <v>1372</v>
      </c>
      <c r="E35" s="160" t="s">
        <v>61</v>
      </c>
      <c r="F35" s="160">
        <v>3</v>
      </c>
      <c r="G35" s="160" t="str">
        <f t="shared" si="0"/>
        <v>A</v>
      </c>
      <c r="H35" s="105"/>
      <c r="I35" s="109"/>
      <c r="J35" s="160"/>
      <c r="K35" s="70" t="s">
        <v>34</v>
      </c>
      <c r="L35" s="68">
        <v>8</v>
      </c>
      <c r="N35" s="69" t="s">
        <v>37</v>
      </c>
      <c r="O35" s="68"/>
      <c r="Q35" s="160">
        <f>77/99</f>
        <v>0.77777777777777779</v>
      </c>
      <c r="T35" s="197"/>
      <c r="U35" s="197"/>
      <c r="V35" s="197"/>
      <c r="W35" s="197"/>
      <c r="Y35"/>
      <c r="Z35"/>
    </row>
    <row r="36" spans="1:26" x14ac:dyDescent="0.25">
      <c r="C36" s="160"/>
      <c r="G36" s="160" t="str">
        <f t="shared" si="0"/>
        <v/>
      </c>
      <c r="H36" s="105"/>
      <c r="I36" s="109"/>
      <c r="J36" s="160"/>
      <c r="K36" s="71" t="s">
        <v>36</v>
      </c>
      <c r="L36" s="68">
        <v>3</v>
      </c>
      <c r="N36" s="71" t="s">
        <v>122</v>
      </c>
      <c r="O36" s="68">
        <v>26</v>
      </c>
      <c r="T36" s="197"/>
      <c r="U36" s="197"/>
      <c r="V36" s="197"/>
      <c r="W36" s="197"/>
      <c r="Y36"/>
      <c r="Z36"/>
    </row>
    <row r="37" spans="1:26" x14ac:dyDescent="0.25">
      <c r="C37" s="160"/>
      <c r="G37" s="73" t="str">
        <f t="shared" si="0"/>
        <v/>
      </c>
      <c r="H37" s="105"/>
      <c r="I37" s="109"/>
      <c r="J37" s="160"/>
      <c r="K37" s="70" t="s">
        <v>34</v>
      </c>
      <c r="L37" s="68">
        <v>3</v>
      </c>
      <c r="N37" s="71" t="s">
        <v>35</v>
      </c>
      <c r="O37" s="68">
        <v>8</v>
      </c>
      <c r="T37" s="197"/>
      <c r="U37" s="197"/>
      <c r="V37" s="197"/>
      <c r="W37" s="197"/>
      <c r="Y37"/>
      <c r="Z37"/>
    </row>
    <row r="38" spans="1:26" x14ac:dyDescent="0.25">
      <c r="C38" s="160"/>
      <c r="G38" s="160" t="str">
        <f t="shared" si="0"/>
        <v/>
      </c>
      <c r="H38" s="105"/>
      <c r="I38" s="109"/>
      <c r="J38" s="160"/>
      <c r="K38" s="69" t="s">
        <v>31</v>
      </c>
      <c r="L38" s="68">
        <v>85</v>
      </c>
      <c r="N38" s="69" t="s">
        <v>131</v>
      </c>
      <c r="O38" s="68">
        <v>34</v>
      </c>
      <c r="T38" s="197"/>
      <c r="U38" s="197"/>
      <c r="V38" s="197"/>
      <c r="W38" s="197"/>
      <c r="Y38"/>
      <c r="Z38"/>
    </row>
    <row r="39" spans="1:26" x14ac:dyDescent="0.25">
      <c r="C39" s="160"/>
      <c r="G39" s="160" t="str">
        <f t="shared" si="0"/>
        <v/>
      </c>
      <c r="H39" s="105"/>
      <c r="I39" s="109"/>
      <c r="J39" s="160"/>
      <c r="K39"/>
      <c r="L39"/>
      <c r="M39" s="68"/>
      <c r="N39" s="69" t="s">
        <v>36</v>
      </c>
      <c r="O39" s="68"/>
      <c r="T39" s="197"/>
      <c r="U39" s="197"/>
      <c r="V39" s="197"/>
      <c r="W39" s="197"/>
      <c r="Y39"/>
      <c r="Z39"/>
    </row>
    <row r="40" spans="1:26" x14ac:dyDescent="0.25">
      <c r="C40" s="160"/>
      <c r="G40" s="90" t="str">
        <f t="shared" si="0"/>
        <v/>
      </c>
      <c r="H40" s="105"/>
      <c r="I40" s="109"/>
      <c r="J40" s="160"/>
      <c r="M40" s="68"/>
      <c r="N40" s="71" t="s">
        <v>122</v>
      </c>
      <c r="O40" s="68">
        <v>27</v>
      </c>
      <c r="T40" s="197"/>
      <c r="U40" s="197"/>
      <c r="V40" s="197"/>
      <c r="W40" s="197"/>
      <c r="Y40"/>
      <c r="Z40"/>
    </row>
    <row r="41" spans="1:26" x14ac:dyDescent="0.25">
      <c r="C41" s="160"/>
      <c r="G41" s="90" t="str">
        <f t="shared" si="0"/>
        <v/>
      </c>
      <c r="H41" s="105"/>
      <c r="I41" s="109"/>
      <c r="J41" s="160"/>
      <c r="M41" s="68"/>
      <c r="N41" s="71" t="s">
        <v>35</v>
      </c>
      <c r="O41" s="68">
        <v>3</v>
      </c>
      <c r="Y41"/>
      <c r="Z41"/>
    </row>
    <row r="42" spans="1:26" x14ac:dyDescent="0.25">
      <c r="C42" s="160"/>
      <c r="G42" s="90" t="str">
        <f t="shared" si="0"/>
        <v/>
      </c>
      <c r="H42" s="105"/>
      <c r="I42" s="109"/>
      <c r="J42" s="160"/>
      <c r="M42" s="68"/>
      <c r="N42" s="69" t="s">
        <v>132</v>
      </c>
      <c r="O42" s="68">
        <v>30</v>
      </c>
      <c r="Y42"/>
      <c r="Z42"/>
    </row>
    <row r="43" spans="1:26" x14ac:dyDescent="0.25">
      <c r="C43" s="160"/>
      <c r="G43" s="90" t="str">
        <f t="shared" si="0"/>
        <v/>
      </c>
      <c r="H43" s="105"/>
      <c r="I43" s="109"/>
      <c r="J43" s="160"/>
      <c r="M43" s="68"/>
      <c r="N43" s="69" t="s">
        <v>31</v>
      </c>
      <c r="O43" s="68">
        <v>64</v>
      </c>
      <c r="Y43"/>
      <c r="Z43"/>
    </row>
    <row r="44" spans="1:26" x14ac:dyDescent="0.25">
      <c r="C44" s="160"/>
      <c r="G44" s="90" t="str">
        <f t="shared" si="0"/>
        <v/>
      </c>
      <c r="H44" s="105"/>
      <c r="I44" s="109"/>
      <c r="J44" s="160"/>
      <c r="M44" s="68"/>
      <c r="Y44"/>
      <c r="Z44"/>
    </row>
    <row r="45" spans="1:26" x14ac:dyDescent="0.25">
      <c r="C45" s="160"/>
      <c r="G45" s="90" t="str">
        <f t="shared" si="0"/>
        <v/>
      </c>
      <c r="H45" s="105"/>
      <c r="I45" s="109"/>
      <c r="J45" s="160"/>
      <c r="M45" s="68"/>
      <c r="Y45"/>
      <c r="Z45"/>
    </row>
    <row r="46" spans="1:26" x14ac:dyDescent="0.25">
      <c r="A46" s="90"/>
      <c r="B46" s="105"/>
      <c r="C46" s="105"/>
      <c r="D46" s="105"/>
      <c r="E46" s="107"/>
      <c r="F46" s="105"/>
      <c r="G46" s="90" t="str">
        <f t="shared" si="0"/>
        <v/>
      </c>
      <c r="H46" s="105"/>
      <c r="I46" s="109"/>
      <c r="J46" s="160"/>
      <c r="M46" s="68"/>
      <c r="Y46"/>
      <c r="Z46"/>
    </row>
    <row r="47" spans="1:26" x14ac:dyDescent="0.25">
      <c r="A47" s="73"/>
      <c r="C47" s="160"/>
      <c r="G47" s="73" t="str">
        <f t="shared" si="0"/>
        <v/>
      </c>
      <c r="H47" s="105"/>
      <c r="I47" s="109"/>
      <c r="J47" s="160"/>
      <c r="M47" s="68"/>
      <c r="Y47"/>
      <c r="Z47"/>
    </row>
    <row r="48" spans="1:26" x14ac:dyDescent="0.25">
      <c r="A48" s="90"/>
      <c r="C48" s="160"/>
      <c r="G48" s="90" t="str">
        <f t="shared" si="0"/>
        <v/>
      </c>
      <c r="H48" s="105"/>
      <c r="I48" s="109"/>
      <c r="J48" s="160"/>
      <c r="Y48"/>
      <c r="Z48"/>
    </row>
    <row r="49" spans="1:26" x14ac:dyDescent="0.25">
      <c r="A49" s="90"/>
      <c r="C49" s="160"/>
      <c r="G49" s="90" t="str">
        <f t="shared" si="0"/>
        <v/>
      </c>
      <c r="H49" s="105"/>
      <c r="I49" s="109"/>
      <c r="J49" s="160"/>
      <c r="Y49"/>
      <c r="Z49"/>
    </row>
    <row r="50" spans="1:26" x14ac:dyDescent="0.25">
      <c r="A50" s="73"/>
      <c r="C50" s="160"/>
      <c r="F50" s="13"/>
      <c r="G50" s="73" t="str">
        <f t="shared" si="0"/>
        <v/>
      </c>
      <c r="H50" s="105"/>
      <c r="I50" s="109"/>
      <c r="J50" s="160"/>
      <c r="Y50"/>
      <c r="Z50"/>
    </row>
    <row r="51" spans="1:26" x14ac:dyDescent="0.25">
      <c r="A51" s="90"/>
      <c r="C51" s="160"/>
      <c r="G51" s="90" t="str">
        <f t="shared" si="0"/>
        <v/>
      </c>
      <c r="H51" s="105"/>
      <c r="I51" s="109"/>
      <c r="J51" s="160"/>
      <c r="Y51"/>
      <c r="Z51"/>
    </row>
    <row r="52" spans="1:26" x14ac:dyDescent="0.25">
      <c r="A52" s="90"/>
      <c r="C52" s="160"/>
      <c r="G52" s="90" t="str">
        <f t="shared" si="0"/>
        <v/>
      </c>
      <c r="H52" s="105"/>
      <c r="I52" s="109"/>
      <c r="J52" s="160"/>
      <c r="Y52"/>
      <c r="Z52"/>
    </row>
    <row r="53" spans="1:26" x14ac:dyDescent="0.25">
      <c r="A53" s="90"/>
      <c r="C53" s="160"/>
      <c r="G53" s="90" t="str">
        <f t="shared" si="0"/>
        <v/>
      </c>
      <c r="H53" s="105"/>
      <c r="I53" s="109"/>
      <c r="J53" s="160"/>
      <c r="K53" s="160" t="s">
        <v>669</v>
      </c>
      <c r="Y53"/>
      <c r="Z53"/>
    </row>
    <row r="54" spans="1:26" x14ac:dyDescent="0.25">
      <c r="B54" s="106"/>
      <c r="D54" s="106"/>
      <c r="E54" s="106"/>
      <c r="F54" s="106"/>
      <c r="J54" s="160"/>
      <c r="M54" s="68"/>
      <c r="Y54"/>
      <c r="Z54"/>
    </row>
    <row r="55" spans="1:26" x14ac:dyDescent="0.25">
      <c r="B55" s="106"/>
      <c r="D55" s="106"/>
      <c r="E55" s="106"/>
      <c r="F55" s="106"/>
      <c r="J55" s="160"/>
      <c r="M55" s="68"/>
      <c r="Y55"/>
      <c r="Z55"/>
    </row>
    <row r="56" spans="1:26" x14ac:dyDescent="0.25">
      <c r="J56" s="160"/>
      <c r="K56" s="71"/>
      <c r="L56" s="68"/>
      <c r="M56" s="68"/>
      <c r="Y56"/>
      <c r="Z56"/>
    </row>
    <row r="57" spans="1:26" x14ac:dyDescent="0.25">
      <c r="J57" s="160"/>
      <c r="K57" s="69"/>
      <c r="L57" s="68"/>
      <c r="Y57"/>
      <c r="Z57"/>
    </row>
    <row r="58" spans="1:26" x14ac:dyDescent="0.25">
      <c r="J58" s="160"/>
      <c r="K58" s="69"/>
      <c r="L58" s="68"/>
      <c r="Y58"/>
      <c r="Z58"/>
    </row>
    <row r="59" spans="1:26" x14ac:dyDescent="0.25">
      <c r="J59" s="160"/>
      <c r="Y59"/>
      <c r="Z59"/>
    </row>
    <row r="60" spans="1:26" x14ac:dyDescent="0.25">
      <c r="J60" s="160"/>
      <c r="Y60"/>
      <c r="Z60"/>
    </row>
    <row r="61" spans="1:26" x14ac:dyDescent="0.25">
      <c r="J61" s="160"/>
      <c r="Y61"/>
      <c r="Z61"/>
    </row>
    <row r="62" spans="1:26" x14ac:dyDescent="0.25">
      <c r="J62" s="160"/>
      <c r="Y62"/>
      <c r="Z62"/>
    </row>
  </sheetData>
  <sheetProtection sort="0" autoFilter="0" pivotTables="0"/>
  <mergeCells count="2">
    <mergeCell ref="AC9:AD9"/>
    <mergeCell ref="T17:W40"/>
  </mergeCells>
  <conditionalFormatting sqref="I2:I53">
    <cfRule type="expression" dxfId="838" priority="25">
      <formula>$C2="Done"</formula>
    </cfRule>
  </conditionalFormatting>
  <conditionalFormatting sqref="C2:C48">
    <cfRule type="expression" dxfId="837" priority="23">
      <formula>C2="Blocked"</formula>
    </cfRule>
    <cfRule type="expression" dxfId="836" priority="24">
      <formula>C2="Done"</formula>
    </cfRule>
  </conditionalFormatting>
  <conditionalFormatting sqref="I2:I53">
    <cfRule type="expression" dxfId="835" priority="22" stopIfTrue="1">
      <formula>IF(C2="Done", IF(I2&lt;&gt;"Y",TRUE,FALSE),FALSE)</formula>
    </cfRule>
  </conditionalFormatting>
  <conditionalFormatting sqref="S2:S4">
    <cfRule type="expression" dxfId="834" priority="21">
      <formula>IF(S2&lt;0.8, TRUE, IF(S2&gt;1.2, TRUE, FALSE))</formula>
    </cfRule>
  </conditionalFormatting>
  <conditionalFormatting sqref="D34:E40">
    <cfRule type="expression" dxfId="833" priority="19">
      <formula>D34="Blocked"</formula>
    </cfRule>
    <cfRule type="expression" dxfId="832" priority="20">
      <formula>D34="Done"</formula>
    </cfRule>
  </conditionalFormatting>
  <conditionalFormatting sqref="C49">
    <cfRule type="expression" dxfId="831" priority="17">
      <formula>C49="Blocked"</formula>
    </cfRule>
    <cfRule type="expression" dxfId="830" priority="18">
      <formula>C49="Done"</formula>
    </cfRule>
  </conditionalFormatting>
  <conditionalFormatting sqref="C50:C52">
    <cfRule type="expression" dxfId="829" priority="15">
      <formula>C50="Blocked"</formula>
    </cfRule>
    <cfRule type="expression" dxfId="828" priority="16">
      <formula>C50="Done"</formula>
    </cfRule>
  </conditionalFormatting>
  <conditionalFormatting sqref="C53">
    <cfRule type="expression" dxfId="827" priority="13">
      <formula>C53="Blocked"</formula>
    </cfRule>
    <cfRule type="expression" dxfId="826" priority="14">
      <formula>C53="Done"</formula>
    </cfRule>
  </conditionalFormatting>
  <conditionalFormatting sqref="P7:R9">
    <cfRule type="expression" dxfId="825" priority="2">
      <formula>P7&gt;0.2</formula>
    </cfRule>
    <cfRule type="expression" dxfId="824" priority="3">
      <formula>P7&gt;0.4</formula>
    </cfRule>
  </conditionalFormatting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61" r:id="rId8" name="Button 1">
              <controlPr defaultSize="0" print="0" autoFill="0" autoPict="0" macro="[0]!ResetAndLock">
                <anchor moveWithCells="1" sizeWithCells="1">
                  <from>
                    <xdr:col>18</xdr:col>
                    <xdr:colOff>952500</xdr:colOff>
                    <xdr:row>8</xdr:row>
                    <xdr:rowOff>9525</xdr:rowOff>
                  </from>
                  <to>
                    <xdr:col>23</xdr:col>
                    <xdr:colOff>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8">
    <tablePart r:id="rId9"/>
    <tablePart r:id="rId10"/>
    <tablePart r:id="rId11"/>
    <tablePart r:id="rId12"/>
    <tablePart r:id="rId13"/>
    <tablePart r:id="rId14"/>
    <tablePart r:id="rId15"/>
    <tablePart r:id="rId1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AFF4A720-81B6-4042-AD7A-49764E8A1D6B}">
            <x14:iconSet iconSet="4Arrows" custom="1">
              <x14:cfvo type="percent">
                <xm:f>0</xm:f>
              </x14:cfvo>
              <x14:cfvo type="num">
                <xm:f>0.2</xm:f>
              </x14:cfvo>
              <x14:cfvo type="num">
                <xm:f>0.3</xm:f>
              </x14:cfvo>
              <x14:cfvo type="num">
                <xm:f>0.5</xm:f>
              </x14:cfvo>
              <x14:cfIcon iconSet="3Symbols2" iconId="2"/>
              <x14:cfIcon iconSet="3Flags" iconId="1"/>
              <x14:cfIcon iconSet="3Symbols" iconId="1"/>
              <x14:cfIcon iconSet="3Symbols" iconId="0"/>
            </x14:iconSet>
          </x14:cfRule>
          <xm:sqref>P7:R9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8062C-AD6F-49BF-B712-83AA1F97AE6A}">
  <sheetPr codeName="Sheet19"/>
  <dimension ref="A1:AD62"/>
  <sheetViews>
    <sheetView zoomScale="84" zoomScaleNormal="84" workbookViewId="0">
      <selection activeCell="O6" sqref="O6:R8"/>
    </sheetView>
  </sheetViews>
  <sheetFormatPr defaultRowHeight="15" x14ac:dyDescent="0.25"/>
  <cols>
    <col min="2" max="2" width="12.28515625" customWidth="1"/>
    <col min="3" max="3" width="11" style="106" customWidth="1"/>
    <col min="4" max="4" width="56.28515625" customWidth="1"/>
    <col min="5" max="5" width="13.140625" customWidth="1"/>
    <col min="6" max="6" width="13.85546875" bestFit="1" customWidth="1"/>
    <col min="8" max="8" width="14.140625" bestFit="1" customWidth="1"/>
    <col min="9" max="9" width="14.140625" style="106" bestFit="1" customWidth="1"/>
    <col min="10" max="10" width="10.85546875" style="106" customWidth="1"/>
    <col min="11" max="11" width="17.140625" bestFit="1" customWidth="1"/>
    <col min="12" max="12" width="6.5703125" bestFit="1" customWidth="1"/>
    <col min="13" max="13" width="6.42578125" bestFit="1" customWidth="1"/>
    <col min="14" max="14" width="11.42578125" bestFit="1" customWidth="1"/>
    <col min="15" max="15" width="18.42578125" bestFit="1" customWidth="1"/>
    <col min="16" max="16" width="18.42578125" customWidth="1"/>
    <col min="17" max="17" width="19" customWidth="1"/>
    <col min="18" max="18" width="16.28515625" customWidth="1"/>
    <col min="19" max="19" width="16.5703125" customWidth="1"/>
    <col min="20" max="20" width="14.5703125" customWidth="1"/>
    <col min="21" max="21" width="18.140625" customWidth="1"/>
    <col min="22" max="22" width="1.42578125" customWidth="1"/>
    <col min="23" max="23" width="11" customWidth="1"/>
    <col min="24" max="24" width="10.85546875" customWidth="1"/>
    <col min="25" max="25" width="9.140625" customWidth="1"/>
    <col min="26" max="26" width="78.85546875" customWidth="1"/>
    <col min="27" max="27" width="14.5703125" customWidth="1"/>
    <col min="28" max="28" width="9.140625" customWidth="1"/>
    <col min="29" max="29" width="11.5703125" customWidth="1"/>
    <col min="30" max="32" width="9.140625" customWidth="1"/>
  </cols>
  <sheetData>
    <row r="1" spans="1:30" ht="30.75" customHeight="1" x14ac:dyDescent="0.25">
      <c r="A1" t="s">
        <v>231</v>
      </c>
      <c r="B1" t="s">
        <v>48</v>
      </c>
      <c r="C1" s="106" t="s">
        <v>47</v>
      </c>
      <c r="D1" t="s">
        <v>46</v>
      </c>
      <c r="E1" t="s">
        <v>45</v>
      </c>
      <c r="F1" t="s">
        <v>38</v>
      </c>
      <c r="G1" t="s">
        <v>44</v>
      </c>
      <c r="H1" s="106" t="s">
        <v>43</v>
      </c>
      <c r="I1" s="106" t="s">
        <v>144</v>
      </c>
      <c r="J1"/>
      <c r="N1" t="s">
        <v>133</v>
      </c>
      <c r="O1" t="s">
        <v>134</v>
      </c>
      <c r="P1" t="s">
        <v>41</v>
      </c>
      <c r="Q1" t="s">
        <v>135</v>
      </c>
      <c r="R1" t="s">
        <v>136</v>
      </c>
      <c r="S1" s="86" t="s">
        <v>143</v>
      </c>
      <c r="T1" s="86" t="s">
        <v>141</v>
      </c>
      <c r="U1" s="159" t="s">
        <v>142</v>
      </c>
      <c r="V1" s="86" t="s">
        <v>1108</v>
      </c>
      <c r="W1" s="86" t="s">
        <v>145</v>
      </c>
      <c r="Y1" t="s">
        <v>39</v>
      </c>
      <c r="Z1" t="s">
        <v>666</v>
      </c>
    </row>
    <row r="2" spans="1:30" x14ac:dyDescent="0.25">
      <c r="A2" s="160">
        <v>202341</v>
      </c>
      <c r="B2" s="160" t="s">
        <v>1252</v>
      </c>
      <c r="C2" s="160" t="s">
        <v>34</v>
      </c>
      <c r="D2" s="160" t="s">
        <v>1253</v>
      </c>
      <c r="E2" s="160" t="s">
        <v>89</v>
      </c>
      <c r="F2" s="160">
        <v>2</v>
      </c>
      <c r="G2" t="str">
        <f t="shared" ref="G2:G53" si="0">MID(B2,4,1)</f>
        <v>U</v>
      </c>
      <c r="H2" s="105" t="s">
        <v>35</v>
      </c>
      <c r="I2" s="109" t="s">
        <v>35</v>
      </c>
      <c r="J2"/>
      <c r="K2" s="72" t="s">
        <v>119</v>
      </c>
      <c r="L2" t="s">
        <v>120</v>
      </c>
      <c r="N2" t="s">
        <v>2</v>
      </c>
      <c r="O2">
        <f>+O12-Table92431384559526673808794101108115[[#This Row],[Blocked]]</f>
        <v>34</v>
      </c>
      <c r="P2">
        <f>IF(ISERR(P12),0,P12)</f>
        <v>2</v>
      </c>
      <c r="Q2">
        <f>IF(ISERR(Q12),0,Q12)</f>
        <v>0</v>
      </c>
      <c r="R2">
        <f>+IF(ISERR(R16),0,R16)</f>
        <v>26</v>
      </c>
      <c r="S2" s="88">
        <f>Table92431384559526673808794101108115[[#This Row],[Completed]]/Table92431384559526673808794101108115[[#This Row],[Committed]]</f>
        <v>0.76470588235294112</v>
      </c>
      <c r="T2" s="83">
        <f>Table92431384559526673808794101108115[[#This Row],[Completed]]/(Table92431384559526673808794101108115[[#This Row],[Added]]+Table92431384559526673808794101108115[[#This Row],[Committed]])</f>
        <v>0.72222222222222221</v>
      </c>
      <c r="V2" s="84" t="str">
        <f>IF(ISERR(O16),0,O16) &amp; "  (" &amp;TEXT(IF(ISERR(O16),0,O16)/Table92431384559526673808794101108115[[#This Row],[Committed]],"#%") &amp; ")"</f>
        <v>24  (71%)</v>
      </c>
      <c r="W2" s="85" t="str">
        <f>+IF(ISERR(P16),0,P16) &amp; " (" &amp; TEXT(R20, "#%") &amp; ")"</f>
        <v>2 (100%)</v>
      </c>
      <c r="Y2" s="69" t="s">
        <v>61</v>
      </c>
      <c r="Z2" s="68"/>
    </row>
    <row r="3" spans="1:30" x14ac:dyDescent="0.25">
      <c r="A3" s="160">
        <v>201812</v>
      </c>
      <c r="B3" s="160" t="s">
        <v>1254</v>
      </c>
      <c r="C3" s="160" t="s">
        <v>34</v>
      </c>
      <c r="D3" s="160" t="s">
        <v>1255</v>
      </c>
      <c r="E3" s="160" t="s">
        <v>89</v>
      </c>
      <c r="F3" s="160">
        <v>3</v>
      </c>
      <c r="G3" t="str">
        <f t="shared" si="0"/>
        <v>U</v>
      </c>
      <c r="H3" s="105" t="s">
        <v>35</v>
      </c>
      <c r="I3" s="109" t="s">
        <v>35</v>
      </c>
      <c r="J3"/>
      <c r="K3" s="69" t="s">
        <v>37</v>
      </c>
      <c r="L3" s="68">
        <v>36</v>
      </c>
      <c r="N3" t="s">
        <v>3</v>
      </c>
      <c r="O3">
        <f>+O13-Table92431384559526673808794101108115[[#This Row],[Blocked]]</f>
        <v>44</v>
      </c>
      <c r="P3">
        <f>IF(ISERR(P13),0,P13)</f>
        <v>8</v>
      </c>
      <c r="Q3">
        <f>IF(ISERR(Q13),0,Q13)</f>
        <v>2</v>
      </c>
      <c r="R3">
        <f>+IF(ISERR(R17),0,R17)</f>
        <v>46</v>
      </c>
      <c r="S3" s="88">
        <f>Table92431384559526673808794101108115[[#This Row],[Completed]]/Table92431384559526673808794101108115[[#This Row],[Committed]]</f>
        <v>1.0454545454545454</v>
      </c>
      <c r="T3" s="83">
        <f>Table92431384559526673808794101108115[[#This Row],[Completed]]/(Table92431384559526673808794101108115[[#This Row],[Added]]+Table92431384559526673808794101108115[[#This Row],[Committed]])</f>
        <v>0.88461538461538458</v>
      </c>
      <c r="V3" s="84" t="str">
        <f>IF(ISERR(O17),0,O17) &amp; "  (" &amp;TEXT(IF(ISERR(O17),0,O17)/Table92431384559526673808794101108115[[#This Row],[Committed]],"#%") &amp; ")"</f>
        <v>38  (86%)</v>
      </c>
      <c r="W3" s="85" t="str">
        <f>+IF(ISERR(P17),0,P17) &amp; " (" &amp; TEXT(R21, "#%") &amp; ")"</f>
        <v>8 (100%)</v>
      </c>
      <c r="Y3" s="71" t="s">
        <v>33</v>
      </c>
      <c r="Z3" s="68"/>
    </row>
    <row r="4" spans="1:30" x14ac:dyDescent="0.25">
      <c r="A4" s="160">
        <v>200687</v>
      </c>
      <c r="B4" s="160" t="s">
        <v>1256</v>
      </c>
      <c r="C4" s="160" t="s">
        <v>34</v>
      </c>
      <c r="D4" s="160" t="s">
        <v>1257</v>
      </c>
      <c r="E4" s="160" t="s">
        <v>72</v>
      </c>
      <c r="F4" s="160">
        <v>1</v>
      </c>
      <c r="G4" s="90" t="str">
        <f t="shared" si="0"/>
        <v>U</v>
      </c>
      <c r="H4" s="105" t="s">
        <v>35</v>
      </c>
      <c r="I4" s="109" t="s">
        <v>35</v>
      </c>
      <c r="J4"/>
      <c r="K4" s="71" t="s">
        <v>32</v>
      </c>
      <c r="L4" s="68">
        <v>3</v>
      </c>
      <c r="N4" t="s">
        <v>303</v>
      </c>
      <c r="O4" s="68">
        <f>SUM(O2:O3)</f>
        <v>78</v>
      </c>
      <c r="P4">
        <f>SUM(P2:P3)</f>
        <v>10</v>
      </c>
      <c r="Q4" s="68">
        <f>SUM(Q2:Q3)</f>
        <v>2</v>
      </c>
      <c r="R4" s="68">
        <f>SUM(R2:R3)</f>
        <v>72</v>
      </c>
      <c r="S4" s="88">
        <f>Table92431384559526673808794101108115[[#This Row],[Completed]]/Table92431384559526673808794101108115[[#This Row],[Committed]]</f>
        <v>0.92307692307692313</v>
      </c>
      <c r="T4" s="83">
        <f>Table92431384559526673808794101108115[[#This Row],[Completed]]/(Table92431384559526673808794101108115[[#This Row],[Added]]+Table92431384559526673808794101108115[[#This Row],[Committed]])</f>
        <v>0.81818181818181823</v>
      </c>
      <c r="V4" s="108" t="str">
        <f>IF(ISERR(SUM(O16:O17)),0,SUM(O16:O17)) &amp;"  ("&amp;TEXT(SUM(O16:O17)/O4,"#%") &amp;")"</f>
        <v>62  (79%)</v>
      </c>
      <c r="W4" s="85" t="str">
        <f>R4-SUM(O16:O17)&amp;" ("&amp;TEXT((R4-SUM(O16:O17))/IF(P4=0,1,P4),"#%")&amp;")"</f>
        <v>10 (100%)</v>
      </c>
      <c r="Y4" s="70" t="s">
        <v>625</v>
      </c>
      <c r="Z4" s="68">
        <v>1</v>
      </c>
    </row>
    <row r="5" spans="1:30" x14ac:dyDescent="0.25">
      <c r="A5" s="160">
        <v>200817</v>
      </c>
      <c r="B5" s="160" t="s">
        <v>1258</v>
      </c>
      <c r="C5" s="160" t="s">
        <v>34</v>
      </c>
      <c r="D5" s="160" t="s">
        <v>1259</v>
      </c>
      <c r="E5" s="160" t="s">
        <v>72</v>
      </c>
      <c r="F5" s="160">
        <v>1</v>
      </c>
      <c r="G5" t="str">
        <f t="shared" si="0"/>
        <v>U</v>
      </c>
      <c r="H5" s="106" t="s">
        <v>35</v>
      </c>
      <c r="I5" s="109" t="s">
        <v>35</v>
      </c>
      <c r="J5"/>
      <c r="K5" s="71" t="s">
        <v>34</v>
      </c>
      <c r="L5" s="68">
        <v>26</v>
      </c>
      <c r="O5" t="s">
        <v>140</v>
      </c>
      <c r="S5" t="s">
        <v>220</v>
      </c>
      <c r="Y5" s="71" t="s">
        <v>667</v>
      </c>
      <c r="Z5" s="68">
        <v>1</v>
      </c>
    </row>
    <row r="6" spans="1:30" x14ac:dyDescent="0.25">
      <c r="A6" s="160">
        <v>199244</v>
      </c>
      <c r="B6" s="160" t="s">
        <v>1260</v>
      </c>
      <c r="C6" s="160" t="s">
        <v>34</v>
      </c>
      <c r="D6" s="160" t="s">
        <v>1261</v>
      </c>
      <c r="E6" s="160" t="s">
        <v>81</v>
      </c>
      <c r="F6" s="160">
        <v>1</v>
      </c>
      <c r="G6" s="73" t="str">
        <f t="shared" si="0"/>
        <v>U</v>
      </c>
      <c r="H6" s="105" t="s">
        <v>35</v>
      </c>
      <c r="I6" s="109" t="s">
        <v>35</v>
      </c>
      <c r="J6"/>
      <c r="K6" s="71" t="s">
        <v>33</v>
      </c>
      <c r="L6" s="68">
        <v>7</v>
      </c>
      <c r="O6" s="175" t="s">
        <v>40</v>
      </c>
      <c r="P6" s="174" t="s">
        <v>2</v>
      </c>
      <c r="Q6" s="174" t="s">
        <v>137</v>
      </c>
      <c r="R6" s="174" t="s">
        <v>1436</v>
      </c>
      <c r="Y6" s="71" t="s">
        <v>32</v>
      </c>
      <c r="Z6" s="68"/>
    </row>
    <row r="7" spans="1:30" x14ac:dyDescent="0.25">
      <c r="A7" s="160">
        <v>199123</v>
      </c>
      <c r="B7" s="160" t="s">
        <v>1262</v>
      </c>
      <c r="C7" s="160" t="s">
        <v>34</v>
      </c>
      <c r="D7" s="160" t="s">
        <v>693</v>
      </c>
      <c r="E7" s="160" t="s">
        <v>84</v>
      </c>
      <c r="F7" s="160">
        <v>2</v>
      </c>
      <c r="G7" t="str">
        <f t="shared" si="0"/>
        <v>U</v>
      </c>
      <c r="H7" s="105"/>
      <c r="I7" s="109" t="s">
        <v>35</v>
      </c>
      <c r="J7"/>
      <c r="K7" s="69" t="s">
        <v>36</v>
      </c>
      <c r="L7" s="68">
        <v>54</v>
      </c>
      <c r="O7" s="174" t="s">
        <v>1437</v>
      </c>
      <c r="P7" s="87">
        <f>+P2/(P2+O2)</f>
        <v>5.5555555555555552E-2</v>
      </c>
      <c r="Q7" s="87">
        <f>P3/(O3+P3)</f>
        <v>0.15384615384615385</v>
      </c>
      <c r="R7" s="87">
        <f>P4/(O4+P4)</f>
        <v>0.11363636363636363</v>
      </c>
      <c r="Y7" s="70" t="s">
        <v>525</v>
      </c>
      <c r="Z7" s="68">
        <v>1</v>
      </c>
    </row>
    <row r="8" spans="1:30" ht="15.75" thickBot="1" x14ac:dyDescent="0.3">
      <c r="A8" s="160">
        <v>198917</v>
      </c>
      <c r="B8" s="160" t="s">
        <v>1263</v>
      </c>
      <c r="C8" s="160" t="s">
        <v>135</v>
      </c>
      <c r="D8" s="160" t="s">
        <v>1264</v>
      </c>
      <c r="E8" s="160" t="s">
        <v>92</v>
      </c>
      <c r="F8" s="160">
        <v>2</v>
      </c>
      <c r="G8" s="90" t="str">
        <f t="shared" si="0"/>
        <v>U</v>
      </c>
      <c r="H8" s="105"/>
      <c r="I8" s="109"/>
      <c r="J8"/>
      <c r="K8" s="71" t="s">
        <v>32</v>
      </c>
      <c r="L8" s="68">
        <v>2</v>
      </c>
      <c r="M8" s="68"/>
      <c r="N8" s="160"/>
      <c r="O8" s="174" t="s">
        <v>1438</v>
      </c>
      <c r="P8" s="87">
        <f>+P2/O2</f>
        <v>5.8823529411764705E-2</v>
      </c>
      <c r="Q8" s="87">
        <f>P3/O3</f>
        <v>0.18181818181818182</v>
      </c>
      <c r="R8" s="87">
        <f>P4/O4</f>
        <v>0.12820512820512819</v>
      </c>
      <c r="Y8" s="70" t="s">
        <v>623</v>
      </c>
      <c r="Z8" s="68">
        <v>1</v>
      </c>
    </row>
    <row r="9" spans="1:30" ht="15.75" thickBot="1" x14ac:dyDescent="0.3">
      <c r="A9" s="160">
        <v>198916</v>
      </c>
      <c r="B9" s="160" t="s">
        <v>1265</v>
      </c>
      <c r="C9" s="160" t="s">
        <v>33</v>
      </c>
      <c r="D9" s="160" t="s">
        <v>1266</v>
      </c>
      <c r="E9" s="160" t="s">
        <v>92</v>
      </c>
      <c r="F9" s="160">
        <v>3</v>
      </c>
      <c r="G9" t="str">
        <f t="shared" si="0"/>
        <v>U</v>
      </c>
      <c r="H9" s="105"/>
      <c r="I9" s="109"/>
      <c r="J9"/>
      <c r="K9" s="71" t="s">
        <v>34</v>
      </c>
      <c r="L9" s="68">
        <v>46</v>
      </c>
      <c r="M9" s="68"/>
      <c r="N9" s="160"/>
      <c r="O9" s="174"/>
      <c r="P9" s="87"/>
      <c r="Q9" s="87"/>
      <c r="R9" s="87"/>
      <c r="Y9" s="71" t="s">
        <v>668</v>
      </c>
      <c r="Z9" s="68">
        <v>2</v>
      </c>
      <c r="AC9" s="195" t="s">
        <v>634</v>
      </c>
      <c r="AD9" s="196"/>
    </row>
    <row r="10" spans="1:30" ht="15.75" thickTop="1" x14ac:dyDescent="0.25">
      <c r="A10" s="160">
        <v>198915</v>
      </c>
      <c r="B10" s="160" t="s">
        <v>1267</v>
      </c>
      <c r="C10" s="160" t="s">
        <v>34</v>
      </c>
      <c r="D10" s="160" t="s">
        <v>1268</v>
      </c>
      <c r="E10" s="160" t="s">
        <v>92</v>
      </c>
      <c r="F10" s="160">
        <v>1</v>
      </c>
      <c r="G10" t="str">
        <f t="shared" si="0"/>
        <v>U</v>
      </c>
      <c r="H10" s="105"/>
      <c r="I10" s="109" t="s">
        <v>35</v>
      </c>
      <c r="J10"/>
      <c r="K10" s="71" t="s">
        <v>33</v>
      </c>
      <c r="L10" s="68">
        <v>4</v>
      </c>
      <c r="M10" s="68"/>
      <c r="N10" t="s">
        <v>139</v>
      </c>
      <c r="R10" t="s">
        <v>138</v>
      </c>
      <c r="V10" s="13"/>
      <c r="W10" s="13"/>
      <c r="Y10" s="69" t="s">
        <v>656</v>
      </c>
      <c r="Z10" s="68">
        <v>3</v>
      </c>
      <c r="AC10" s="121">
        <f>+GETPIVOTDATA("Story Points2",$K$20,"Project","A","Added After","Y")</f>
        <v>2</v>
      </c>
      <c r="AD10" s="122" t="e">
        <f>GETPIVOTDATA("Story Points2",$K$2,"Status","Blocked","Project","A")</f>
        <v>#REF!</v>
      </c>
    </row>
    <row r="11" spans="1:30" x14ac:dyDescent="0.25">
      <c r="A11" s="160">
        <v>198914</v>
      </c>
      <c r="B11" s="160" t="s">
        <v>1269</v>
      </c>
      <c r="C11" s="160" t="s">
        <v>34</v>
      </c>
      <c r="D11" s="160" t="s">
        <v>1270</v>
      </c>
      <c r="E11" s="160" t="s">
        <v>92</v>
      </c>
      <c r="F11" s="160">
        <v>1</v>
      </c>
      <c r="G11" t="str">
        <f t="shared" si="0"/>
        <v>U</v>
      </c>
      <c r="H11" s="105"/>
      <c r="I11" s="109" t="s">
        <v>35</v>
      </c>
      <c r="J11"/>
      <c r="K11" s="71" t="s">
        <v>135</v>
      </c>
      <c r="L11" s="68">
        <v>2</v>
      </c>
      <c r="M11" s="68"/>
      <c r="N11" t="s">
        <v>133</v>
      </c>
      <c r="O11" t="s">
        <v>42</v>
      </c>
      <c r="P11" t="s">
        <v>41</v>
      </c>
      <c r="Q11" s="82" t="s">
        <v>135</v>
      </c>
      <c r="R11" t="s">
        <v>128</v>
      </c>
      <c r="V11" s="13"/>
      <c r="W11" s="13"/>
      <c r="Y11" s="69" t="s">
        <v>112</v>
      </c>
      <c r="Z11" s="68"/>
      <c r="AC11" s="121">
        <f>+GETPIVOTDATA("Story Points2",$K$20,"Project","U","Added After","Y")</f>
        <v>8</v>
      </c>
      <c r="AD11" s="122">
        <f>GETPIVOTDATA("Story Points2",$K$2,"Status","Blocked","Project","U")</f>
        <v>2</v>
      </c>
    </row>
    <row r="12" spans="1:30" x14ac:dyDescent="0.25">
      <c r="A12" s="160">
        <v>198913</v>
      </c>
      <c r="B12" s="160" t="s">
        <v>1271</v>
      </c>
      <c r="C12" s="160" t="s">
        <v>34</v>
      </c>
      <c r="D12" s="160" t="s">
        <v>1272</v>
      </c>
      <c r="E12" s="160" t="s">
        <v>92</v>
      </c>
      <c r="F12" s="160">
        <v>1</v>
      </c>
      <c r="G12" t="str">
        <f t="shared" si="0"/>
        <v>U</v>
      </c>
      <c r="H12" s="105"/>
      <c r="I12" s="109" t="s">
        <v>35</v>
      </c>
      <c r="J12"/>
      <c r="K12" s="69" t="s">
        <v>735</v>
      </c>
      <c r="L12" s="68"/>
      <c r="M12" s="68"/>
      <c r="N12" t="s">
        <v>2</v>
      </c>
      <c r="O12">
        <f>+GETPIVOTDATA("Story Points2",$K$20,"Project","A","Added After",)</f>
        <v>34</v>
      </c>
      <c r="P12">
        <f>IFERROR(AC10,0)</f>
        <v>2</v>
      </c>
      <c r="Q12" s="81">
        <f>IFERROR(AD10,0)</f>
        <v>0</v>
      </c>
      <c r="R12">
        <f t="shared" ref="R12:R13" si="1">+IF(ISERR(P12),0,P12)+IF(ISERR(O12),0,O12)</f>
        <v>36</v>
      </c>
      <c r="V12" s="13"/>
      <c r="W12" s="13"/>
      <c r="Y12" s="71" t="s">
        <v>33</v>
      </c>
      <c r="Z12" s="68"/>
      <c r="AC12" s="121"/>
      <c r="AD12" s="122"/>
    </row>
    <row r="13" spans="1:30" x14ac:dyDescent="0.25">
      <c r="A13" s="160">
        <v>198611</v>
      </c>
      <c r="B13" s="160" t="s">
        <v>1273</v>
      </c>
      <c r="C13" s="160" t="s">
        <v>34</v>
      </c>
      <c r="D13" s="160" t="s">
        <v>1274</v>
      </c>
      <c r="E13" s="160" t="s">
        <v>84</v>
      </c>
      <c r="F13" s="160">
        <v>3</v>
      </c>
      <c r="G13" s="73" t="str">
        <f t="shared" si="0"/>
        <v>U</v>
      </c>
      <c r="H13" s="105"/>
      <c r="I13" s="109" t="s">
        <v>35</v>
      </c>
      <c r="J13"/>
      <c r="K13" s="71" t="s">
        <v>122</v>
      </c>
      <c r="L13" s="68"/>
      <c r="M13" s="68"/>
      <c r="N13" t="s">
        <v>3</v>
      </c>
      <c r="O13">
        <f>+GETPIVOTDATA("Story Points2",$K$20,"Project","U","Added After",)</f>
        <v>46</v>
      </c>
      <c r="P13">
        <f>IFERROR(AC11,0)</f>
        <v>8</v>
      </c>
      <c r="Q13" s="81">
        <f>IFERROR(AD11,0)</f>
        <v>2</v>
      </c>
      <c r="R13">
        <f t="shared" si="1"/>
        <v>54</v>
      </c>
      <c r="V13" s="13"/>
      <c r="W13" s="13"/>
      <c r="Y13" s="70" t="s">
        <v>579</v>
      </c>
      <c r="Z13" s="68">
        <v>1</v>
      </c>
      <c r="AC13" s="121"/>
      <c r="AD13" s="122"/>
    </row>
    <row r="14" spans="1:30" x14ac:dyDescent="0.25">
      <c r="A14" s="160">
        <v>198610</v>
      </c>
      <c r="B14" s="160" t="s">
        <v>1275</v>
      </c>
      <c r="C14" s="160" t="s">
        <v>34</v>
      </c>
      <c r="D14" s="160" t="s">
        <v>1276</v>
      </c>
      <c r="E14" s="160" t="s">
        <v>89</v>
      </c>
      <c r="F14" s="160">
        <v>3</v>
      </c>
      <c r="G14" t="str">
        <f t="shared" si="0"/>
        <v>U</v>
      </c>
      <c r="H14" s="105"/>
      <c r="I14" s="109" t="s">
        <v>35</v>
      </c>
      <c r="J14"/>
      <c r="K14" s="69" t="s">
        <v>31</v>
      </c>
      <c r="L14" s="68">
        <v>90</v>
      </c>
      <c r="M14" s="68"/>
      <c r="V14" s="13"/>
      <c r="W14" s="13"/>
      <c r="Y14" s="70" t="s">
        <v>585</v>
      </c>
      <c r="Z14" s="68">
        <v>1</v>
      </c>
      <c r="AC14" s="121">
        <f>+GETPIVOTDATA("Story Points2",$K$20,"Status","Done","Project","A","Added After",)</f>
        <v>24</v>
      </c>
      <c r="AD14" s="122">
        <f>+GETPIVOTDATA("Story Points2",$K$20,"Status","Done","Project","A","Added After","Y")</f>
        <v>2</v>
      </c>
    </row>
    <row r="15" spans="1:30" x14ac:dyDescent="0.25">
      <c r="A15" s="160">
        <v>198380</v>
      </c>
      <c r="B15" s="160" t="s">
        <v>1277</v>
      </c>
      <c r="C15" s="160" t="s">
        <v>34</v>
      </c>
      <c r="D15" s="160" t="s">
        <v>1278</v>
      </c>
      <c r="E15" s="160" t="s">
        <v>235</v>
      </c>
      <c r="F15" s="160">
        <v>3</v>
      </c>
      <c r="G15" s="73" t="str">
        <f t="shared" si="0"/>
        <v>U</v>
      </c>
      <c r="H15" s="105"/>
      <c r="I15" s="109" t="s">
        <v>35</v>
      </c>
      <c r="J15"/>
      <c r="N15" t="s">
        <v>34</v>
      </c>
      <c r="O15" t="s">
        <v>126</v>
      </c>
      <c r="P15" t="s">
        <v>125</v>
      </c>
      <c r="Q15" s="80" t="s">
        <v>40</v>
      </c>
      <c r="R15" t="s">
        <v>127</v>
      </c>
      <c r="V15" s="13"/>
      <c r="W15" s="13"/>
      <c r="Y15" s="71" t="s">
        <v>667</v>
      </c>
      <c r="Z15" s="68">
        <v>2</v>
      </c>
      <c r="AC15" s="121">
        <f>+GETPIVOTDATA("Story Points2",$K$20,"Status","Done","Project","U","Added After",)</f>
        <v>38</v>
      </c>
      <c r="AD15" s="122">
        <f>+GETPIVOTDATA("Story Points2",$K$20,"Status","Done","Project","U","Added After","Y")</f>
        <v>8</v>
      </c>
    </row>
    <row r="16" spans="1:30" x14ac:dyDescent="0.25">
      <c r="A16" s="160">
        <v>198376</v>
      </c>
      <c r="B16" s="160" t="s">
        <v>1279</v>
      </c>
      <c r="C16" s="160" t="s">
        <v>34</v>
      </c>
      <c r="D16" s="160" t="s">
        <v>1280</v>
      </c>
      <c r="E16" s="160" t="s">
        <v>235</v>
      </c>
      <c r="F16" s="160">
        <v>2</v>
      </c>
      <c r="G16" s="73" t="str">
        <f t="shared" si="0"/>
        <v>U</v>
      </c>
      <c r="H16" s="105"/>
      <c r="I16" s="109" t="s">
        <v>35</v>
      </c>
      <c r="J16"/>
      <c r="N16" t="s">
        <v>2</v>
      </c>
      <c r="O16">
        <f>IFERROR(AC14,0)</f>
        <v>24</v>
      </c>
      <c r="P16">
        <f>IFERROR(AD14,0)</f>
        <v>2</v>
      </c>
      <c r="R16">
        <f t="shared" ref="R16:R17" si="2">+IF(ISERR(P16),0,P16)+IF(ISERR(O16),0,O16)</f>
        <v>26</v>
      </c>
      <c r="Y16" s="69" t="s">
        <v>657</v>
      </c>
      <c r="Z16" s="68">
        <v>2</v>
      </c>
      <c r="AC16" s="121"/>
      <c r="AD16" s="122"/>
    </row>
    <row r="17" spans="1:30" ht="14.25" customHeight="1" x14ac:dyDescent="0.25">
      <c r="A17" s="160">
        <v>198500</v>
      </c>
      <c r="B17" s="160" t="s">
        <v>1281</v>
      </c>
      <c r="C17" s="160" t="s">
        <v>34</v>
      </c>
      <c r="D17" s="160" t="s">
        <v>1282</v>
      </c>
      <c r="E17" s="160" t="s">
        <v>112</v>
      </c>
      <c r="F17" s="160">
        <v>2</v>
      </c>
      <c r="G17" t="str">
        <f t="shared" si="0"/>
        <v>U</v>
      </c>
      <c r="H17" s="105"/>
      <c r="I17" s="109" t="s">
        <v>35</v>
      </c>
      <c r="J17"/>
      <c r="N17" t="s">
        <v>3</v>
      </c>
      <c r="O17">
        <f>IFERROR(AC15,0)</f>
        <v>38</v>
      </c>
      <c r="P17">
        <f>IFERROR(AD15,0)</f>
        <v>8</v>
      </c>
      <c r="R17">
        <f t="shared" si="2"/>
        <v>46</v>
      </c>
      <c r="T17" s="197"/>
      <c r="U17" s="197"/>
      <c r="V17" s="197"/>
      <c r="W17" s="197"/>
      <c r="Y17" s="69" t="s">
        <v>64</v>
      </c>
      <c r="Z17" s="68"/>
      <c r="AC17" s="121"/>
      <c r="AD17" s="122"/>
    </row>
    <row r="18" spans="1:30" x14ac:dyDescent="0.25">
      <c r="A18" s="160">
        <v>198361</v>
      </c>
      <c r="B18" s="160" t="s">
        <v>1283</v>
      </c>
      <c r="C18" s="160" t="s">
        <v>34</v>
      </c>
      <c r="D18" s="160" t="s">
        <v>1284</v>
      </c>
      <c r="E18" s="160" t="s">
        <v>112</v>
      </c>
      <c r="F18" s="160">
        <v>2</v>
      </c>
      <c r="G18" s="73" t="str">
        <f t="shared" si="0"/>
        <v>U</v>
      </c>
      <c r="H18" s="105"/>
      <c r="I18" s="109" t="s">
        <v>35</v>
      </c>
      <c r="J18"/>
      <c r="T18" s="197"/>
      <c r="U18" s="197"/>
      <c r="V18" s="197"/>
      <c r="W18" s="197"/>
      <c r="Y18" s="71" t="s">
        <v>33</v>
      </c>
      <c r="Z18" s="68"/>
      <c r="AC18" s="121"/>
      <c r="AD18" s="122"/>
    </row>
    <row r="19" spans="1:30" x14ac:dyDescent="0.25">
      <c r="A19" s="160">
        <v>198358</v>
      </c>
      <c r="B19" s="160" t="s">
        <v>1285</v>
      </c>
      <c r="C19" s="160" t="s">
        <v>34</v>
      </c>
      <c r="D19" s="160" t="s">
        <v>1286</v>
      </c>
      <c r="E19" s="160" t="s">
        <v>112</v>
      </c>
      <c r="F19" s="160">
        <v>3</v>
      </c>
      <c r="G19" s="90" t="str">
        <f t="shared" si="0"/>
        <v>U</v>
      </c>
      <c r="H19" s="105"/>
      <c r="I19" s="109" t="s">
        <v>35</v>
      </c>
      <c r="J19"/>
      <c r="M19" s="68"/>
      <c r="N19" t="s">
        <v>34</v>
      </c>
      <c r="O19" t="s">
        <v>123</v>
      </c>
      <c r="P19" t="s">
        <v>124</v>
      </c>
      <c r="Q19" t="s">
        <v>126</v>
      </c>
      <c r="R19" t="s">
        <v>125</v>
      </c>
      <c r="T19" s="197"/>
      <c r="U19" s="197"/>
      <c r="V19" s="197"/>
      <c r="W19" s="197"/>
      <c r="Y19" s="70" t="s">
        <v>648</v>
      </c>
      <c r="Z19" s="68">
        <v>1</v>
      </c>
      <c r="AC19" s="121"/>
      <c r="AD19" s="122"/>
    </row>
    <row r="20" spans="1:30" x14ac:dyDescent="0.25">
      <c r="A20" s="160">
        <v>198357</v>
      </c>
      <c r="B20" s="160" t="s">
        <v>1287</v>
      </c>
      <c r="C20" s="160" t="s">
        <v>34</v>
      </c>
      <c r="D20" s="160" t="s">
        <v>1288</v>
      </c>
      <c r="E20" s="160" t="s">
        <v>112</v>
      </c>
      <c r="F20" s="160">
        <v>3</v>
      </c>
      <c r="G20" t="str">
        <f t="shared" si="0"/>
        <v>U</v>
      </c>
      <c r="H20" s="105"/>
      <c r="I20" s="109" t="s">
        <v>35</v>
      </c>
      <c r="J20"/>
      <c r="K20" s="72" t="s">
        <v>396</v>
      </c>
      <c r="L20" t="s">
        <v>120</v>
      </c>
      <c r="M20" s="68"/>
      <c r="N20" t="s">
        <v>2</v>
      </c>
      <c r="O20" s="64">
        <f>+R16/O12</f>
        <v>0.76470588235294112</v>
      </c>
      <c r="P20" s="64">
        <f t="shared" ref="P20:P21" si="3">+R16/R12</f>
        <v>0.72222222222222221</v>
      </c>
      <c r="Q20" s="64">
        <f>+O16/IF(ISERR(O12),1,O12)</f>
        <v>0.70588235294117652</v>
      </c>
      <c r="R20" s="64">
        <f>+P16/IF(ISERR(AC10),1,P12)</f>
        <v>1</v>
      </c>
      <c r="T20" s="197"/>
      <c r="U20" s="197"/>
      <c r="V20" s="197"/>
      <c r="W20" s="197"/>
      <c r="Y20" s="71" t="s">
        <v>667</v>
      </c>
      <c r="Z20" s="68">
        <v>1</v>
      </c>
      <c r="AC20" s="121"/>
      <c r="AD20" s="122"/>
    </row>
    <row r="21" spans="1:30" x14ac:dyDescent="0.25">
      <c r="A21" s="160">
        <v>198355</v>
      </c>
      <c r="B21" s="160" t="s">
        <v>1289</v>
      </c>
      <c r="C21" s="160" t="s">
        <v>34</v>
      </c>
      <c r="D21" s="160" t="s">
        <v>1290</v>
      </c>
      <c r="E21" s="160" t="s">
        <v>112</v>
      </c>
      <c r="F21" s="160">
        <v>3</v>
      </c>
      <c r="G21" s="73" t="str">
        <f t="shared" si="0"/>
        <v>U</v>
      </c>
      <c r="H21" s="105"/>
      <c r="I21" s="109" t="s">
        <v>35</v>
      </c>
      <c r="J21"/>
      <c r="K21" s="69" t="s">
        <v>122</v>
      </c>
      <c r="L21" s="68">
        <v>80</v>
      </c>
      <c r="M21" s="68"/>
      <c r="N21" t="s">
        <v>3</v>
      </c>
      <c r="O21" s="64">
        <f>+R17/O13</f>
        <v>1</v>
      </c>
      <c r="P21" s="64">
        <f t="shared" si="3"/>
        <v>0.85185185185185186</v>
      </c>
      <c r="Q21" s="64">
        <f>+O17/IF(ISERR(O13),1,O13)</f>
        <v>0.82608695652173914</v>
      </c>
      <c r="R21" s="64">
        <f>+P17/IF(ISERR(AC11),1,P13)</f>
        <v>1</v>
      </c>
      <c r="T21" s="197"/>
      <c r="U21" s="197"/>
      <c r="V21" s="197"/>
      <c r="W21" s="197"/>
      <c r="Y21" s="69" t="s">
        <v>658</v>
      </c>
      <c r="Z21" s="68">
        <v>1</v>
      </c>
      <c r="AC21" s="121"/>
      <c r="AD21" s="122"/>
    </row>
    <row r="22" spans="1:30" x14ac:dyDescent="0.25">
      <c r="A22" s="160">
        <v>198416</v>
      </c>
      <c r="B22" s="160" t="s">
        <v>1291</v>
      </c>
      <c r="C22" s="160" t="s">
        <v>34</v>
      </c>
      <c r="D22" s="160" t="s">
        <v>1292</v>
      </c>
      <c r="E22" s="160" t="s">
        <v>81</v>
      </c>
      <c r="F22" s="160">
        <v>3</v>
      </c>
      <c r="G22" s="90" t="str">
        <f t="shared" si="0"/>
        <v>U</v>
      </c>
      <c r="H22" s="105"/>
      <c r="I22" s="109" t="s">
        <v>35</v>
      </c>
      <c r="J22"/>
      <c r="K22" s="71" t="s">
        <v>37</v>
      </c>
      <c r="L22" s="68">
        <v>34</v>
      </c>
      <c r="M22" s="68"/>
      <c r="T22" s="197"/>
      <c r="U22" s="197"/>
      <c r="V22" s="197"/>
      <c r="W22" s="197"/>
      <c r="Y22" s="69" t="s">
        <v>92</v>
      </c>
      <c r="Z22" s="68"/>
      <c r="AC22" s="121">
        <f>+GETPIVOTDATA("Story Points",$N$34,"Project","A","Added After",)</f>
        <v>24</v>
      </c>
      <c r="AD22" s="122">
        <f>+GETPIVOTDATA("Story Points",$N$34,"Project","A","Added After","Y")</f>
        <v>2</v>
      </c>
    </row>
    <row r="23" spans="1:30" ht="15.75" thickBot="1" x14ac:dyDescent="0.3">
      <c r="A23" s="160">
        <v>198158</v>
      </c>
      <c r="B23" s="160" t="s">
        <v>1293</v>
      </c>
      <c r="C23" s="160" t="s">
        <v>34</v>
      </c>
      <c r="D23" s="160" t="s">
        <v>1294</v>
      </c>
      <c r="E23" s="160" t="s">
        <v>89</v>
      </c>
      <c r="F23" s="160">
        <v>3</v>
      </c>
      <c r="G23" s="90" t="str">
        <f t="shared" si="0"/>
        <v>U</v>
      </c>
      <c r="H23" s="105"/>
      <c r="I23" s="109" t="s">
        <v>35</v>
      </c>
      <c r="J23"/>
      <c r="K23" s="70" t="s">
        <v>32</v>
      </c>
      <c r="L23" s="68">
        <v>3</v>
      </c>
      <c r="M23" s="68"/>
      <c r="N23" t="s">
        <v>49</v>
      </c>
      <c r="O23" t="s">
        <v>126</v>
      </c>
      <c r="P23" t="s">
        <v>125</v>
      </c>
      <c r="Q23" s="80" t="s">
        <v>239</v>
      </c>
      <c r="R23" t="s">
        <v>129</v>
      </c>
      <c r="T23" s="197"/>
      <c r="U23" s="197"/>
      <c r="V23" s="197"/>
      <c r="W23" s="197"/>
      <c r="Y23" s="71" t="s">
        <v>32</v>
      </c>
      <c r="Z23" s="68"/>
      <c r="AC23" s="123">
        <f>+GETPIVOTDATA("Story Points",$N$34,"Project","U","Added After",)</f>
        <v>38</v>
      </c>
      <c r="AD23" s="124">
        <f>+GETPIVOTDATA("Story Points",$N$34,"Project","U","Added After","Y")</f>
        <v>8</v>
      </c>
    </row>
    <row r="24" spans="1:30" x14ac:dyDescent="0.25">
      <c r="A24" s="160">
        <v>197995</v>
      </c>
      <c r="B24" s="160" t="s">
        <v>1295</v>
      </c>
      <c r="C24" s="160" t="s">
        <v>34</v>
      </c>
      <c r="D24" s="160" t="s">
        <v>1296</v>
      </c>
      <c r="E24" s="160" t="s">
        <v>81</v>
      </c>
      <c r="F24" s="160">
        <v>3</v>
      </c>
      <c r="G24" t="str">
        <f t="shared" si="0"/>
        <v>U</v>
      </c>
      <c r="H24" s="105"/>
      <c r="I24" s="109" t="s">
        <v>35</v>
      </c>
      <c r="J24"/>
      <c r="K24" s="70" t="s">
        <v>34</v>
      </c>
      <c r="L24" s="68">
        <v>24</v>
      </c>
      <c r="M24" s="68"/>
      <c r="N24" t="s">
        <v>2</v>
      </c>
      <c r="O24">
        <f>IFERROR(AC22,0)</f>
        <v>24</v>
      </c>
      <c r="P24">
        <f>IFERROR(AD22,0)</f>
        <v>2</v>
      </c>
      <c r="Q24">
        <f>+O12-Q12-Table7222936435750647178859299106113[[#This Row],[Committed Done]]</f>
        <v>10</v>
      </c>
      <c r="R24">
        <f>+Table7222936435750647178859299106113[[#This Row],[Committed Done]]+Table7222936435750647178859299106113[[#This Row],[Added Done]]</f>
        <v>26</v>
      </c>
      <c r="T24" s="197"/>
      <c r="U24" s="197"/>
      <c r="V24" s="197"/>
      <c r="W24" s="197"/>
      <c r="Y24" s="70" t="s">
        <v>601</v>
      </c>
      <c r="Z24" s="68">
        <v>1</v>
      </c>
    </row>
    <row r="25" spans="1:30" x14ac:dyDescent="0.25">
      <c r="A25" s="160">
        <v>187404</v>
      </c>
      <c r="B25" s="160" t="s">
        <v>1119</v>
      </c>
      <c r="C25" s="160" t="s">
        <v>32</v>
      </c>
      <c r="D25" s="160" t="s">
        <v>1120</v>
      </c>
      <c r="E25" s="160" t="s">
        <v>84</v>
      </c>
      <c r="F25" s="160">
        <v>2</v>
      </c>
      <c r="G25" t="str">
        <f t="shared" si="0"/>
        <v>U</v>
      </c>
      <c r="H25" s="105"/>
      <c r="I25" s="109"/>
      <c r="J25"/>
      <c r="K25" s="70" t="s">
        <v>33</v>
      </c>
      <c r="L25" s="68">
        <v>7</v>
      </c>
      <c r="M25" s="68"/>
      <c r="N25" t="s">
        <v>3</v>
      </c>
      <c r="O25">
        <f>IFERROR(AC23,0)</f>
        <v>38</v>
      </c>
      <c r="P25">
        <f>IFERROR(AD23,0)</f>
        <v>8</v>
      </c>
      <c r="Q25">
        <f>+O13-Q13-Table7222936435750647178859299106113[[#This Row],[Committed Done]]</f>
        <v>6</v>
      </c>
      <c r="R25">
        <f>+Table7222936435750647178859299106113[[#This Row],[Committed Done]]+Table7222936435750647178859299106113[[#This Row],[Added Done]]</f>
        <v>46</v>
      </c>
      <c r="T25" s="197"/>
      <c r="U25" s="197"/>
      <c r="V25" s="197"/>
      <c r="W25" s="197"/>
      <c r="Y25" s="71" t="s">
        <v>668</v>
      </c>
      <c r="Z25" s="68">
        <v>1</v>
      </c>
    </row>
    <row r="26" spans="1:30" x14ac:dyDescent="0.25">
      <c r="A26" s="160">
        <v>187403</v>
      </c>
      <c r="B26" s="160" t="s">
        <v>1121</v>
      </c>
      <c r="C26" s="160" t="s">
        <v>33</v>
      </c>
      <c r="D26" s="160" t="s">
        <v>1122</v>
      </c>
      <c r="E26" s="160" t="s">
        <v>84</v>
      </c>
      <c r="F26" s="160">
        <v>1</v>
      </c>
      <c r="G26" s="73" t="str">
        <f t="shared" si="0"/>
        <v>U</v>
      </c>
      <c r="H26" s="105"/>
      <c r="I26" s="109"/>
      <c r="J26"/>
      <c r="K26" s="71" t="s">
        <v>36</v>
      </c>
      <c r="L26" s="68">
        <v>46</v>
      </c>
      <c r="T26" s="197"/>
      <c r="U26" s="197"/>
      <c r="V26" s="197"/>
      <c r="W26" s="197"/>
      <c r="Y26" s="69" t="s">
        <v>659</v>
      </c>
      <c r="Z26" s="68">
        <v>1</v>
      </c>
    </row>
    <row r="27" spans="1:30" x14ac:dyDescent="0.25">
      <c r="A27" s="160">
        <v>203359</v>
      </c>
      <c r="B27" s="160" t="s">
        <v>1297</v>
      </c>
      <c r="C27" s="160" t="s">
        <v>34</v>
      </c>
      <c r="D27" s="160" t="s">
        <v>1298</v>
      </c>
      <c r="E27" s="160" t="s">
        <v>61</v>
      </c>
      <c r="F27" s="160">
        <v>2</v>
      </c>
      <c r="G27" t="str">
        <f t="shared" si="0"/>
        <v>A</v>
      </c>
      <c r="H27" s="105" t="s">
        <v>35</v>
      </c>
      <c r="I27" s="109" t="s">
        <v>35</v>
      </c>
      <c r="J27"/>
      <c r="K27" s="70" t="s">
        <v>32</v>
      </c>
      <c r="L27" s="68">
        <v>2</v>
      </c>
      <c r="M27" s="68"/>
      <c r="N27" t="s">
        <v>49</v>
      </c>
      <c r="O27" t="s">
        <v>123</v>
      </c>
      <c r="P27" t="s">
        <v>124</v>
      </c>
      <c r="Q27" t="s">
        <v>126</v>
      </c>
      <c r="R27" t="s">
        <v>130</v>
      </c>
      <c r="T27" s="197"/>
      <c r="U27" s="197"/>
      <c r="V27" s="197"/>
      <c r="W27" s="197"/>
      <c r="Y27" s="69" t="s">
        <v>58</v>
      </c>
      <c r="Z27" s="68"/>
    </row>
    <row r="28" spans="1:30" x14ac:dyDescent="0.25">
      <c r="A28" s="160">
        <v>198736</v>
      </c>
      <c r="B28" s="160" t="s">
        <v>1299</v>
      </c>
      <c r="C28" s="160" t="s">
        <v>34</v>
      </c>
      <c r="D28" s="160" t="s">
        <v>953</v>
      </c>
      <c r="E28" s="160" t="s">
        <v>61</v>
      </c>
      <c r="F28" s="160">
        <v>2</v>
      </c>
      <c r="G28" t="str">
        <f t="shared" si="0"/>
        <v>A</v>
      </c>
      <c r="H28" s="105"/>
      <c r="I28" s="109" t="s">
        <v>35</v>
      </c>
      <c r="J28"/>
      <c r="K28" s="70" t="s">
        <v>34</v>
      </c>
      <c r="L28" s="68">
        <v>38</v>
      </c>
      <c r="M28" s="68"/>
      <c r="N28" t="s">
        <v>2</v>
      </c>
      <c r="O28" s="64">
        <f>R24/IF(O12=0, 1,O12)</f>
        <v>0.76470588235294112</v>
      </c>
      <c r="P28" s="64">
        <f>R24/IF(R12=0,1,R12)</f>
        <v>0.72222222222222221</v>
      </c>
      <c r="Q28" s="64">
        <f>O24/IF(O12=0,1,O12)</f>
        <v>0.70588235294117652</v>
      </c>
      <c r="R28" s="64">
        <f>+P24/IF(P12=0,1,P12)</f>
        <v>1</v>
      </c>
      <c r="T28" s="197"/>
      <c r="U28" s="197"/>
      <c r="V28" s="197"/>
      <c r="W28" s="197"/>
      <c r="Y28" s="71" t="s">
        <v>32</v>
      </c>
      <c r="Z28" s="68"/>
    </row>
    <row r="29" spans="1:30" x14ac:dyDescent="0.25">
      <c r="A29" s="160">
        <v>198739</v>
      </c>
      <c r="B29" s="160" t="s">
        <v>1300</v>
      </c>
      <c r="C29" s="160" t="s">
        <v>34</v>
      </c>
      <c r="D29" s="160" t="s">
        <v>1171</v>
      </c>
      <c r="E29" s="160" t="s">
        <v>61</v>
      </c>
      <c r="F29" s="160">
        <v>3</v>
      </c>
      <c r="G29" s="73" t="str">
        <f t="shared" si="0"/>
        <v>A</v>
      </c>
      <c r="H29" s="105"/>
      <c r="I29" s="109" t="s">
        <v>35</v>
      </c>
      <c r="J29"/>
      <c r="K29" s="70" t="s">
        <v>33</v>
      </c>
      <c r="L29" s="68">
        <v>4</v>
      </c>
      <c r="M29" s="68"/>
      <c r="N29" t="s">
        <v>3</v>
      </c>
      <c r="O29" s="64">
        <f>R25/IF(R17=0, 1,O13)</f>
        <v>1</v>
      </c>
      <c r="P29" s="64">
        <f>R25/IF(R13=0,1,R13)</f>
        <v>0.85185185185185186</v>
      </c>
      <c r="Q29" s="64">
        <f>O25/IF(O13=0,1,O13)</f>
        <v>0.82608695652173914</v>
      </c>
      <c r="R29" s="64">
        <f>+P25/IF(P13=0,1,P13)</f>
        <v>1</v>
      </c>
      <c r="T29" s="197"/>
      <c r="U29" s="197"/>
      <c r="V29" s="197"/>
      <c r="W29" s="197"/>
      <c r="Y29" s="70" t="s">
        <v>631</v>
      </c>
      <c r="Z29" s="68">
        <v>1</v>
      </c>
    </row>
    <row r="30" spans="1:30" x14ac:dyDescent="0.25">
      <c r="A30" s="160">
        <v>198738</v>
      </c>
      <c r="B30" s="160" t="s">
        <v>1301</v>
      </c>
      <c r="C30" s="160" t="s">
        <v>34</v>
      </c>
      <c r="D30" s="160" t="s">
        <v>1302</v>
      </c>
      <c r="E30" s="160" t="s">
        <v>72</v>
      </c>
      <c r="F30" s="160">
        <v>2</v>
      </c>
      <c r="G30" s="73" t="str">
        <f t="shared" si="0"/>
        <v>A</v>
      </c>
      <c r="H30" s="105"/>
      <c r="I30" s="109" t="s">
        <v>35</v>
      </c>
      <c r="J30"/>
      <c r="K30" s="70" t="s">
        <v>135</v>
      </c>
      <c r="L30" s="68">
        <v>2</v>
      </c>
      <c r="M30" s="68"/>
      <c r="T30" s="197"/>
      <c r="U30" s="197"/>
      <c r="V30" s="197"/>
      <c r="W30" s="197"/>
      <c r="Y30" s="71" t="s">
        <v>668</v>
      </c>
      <c r="Z30" s="68">
        <v>1</v>
      </c>
    </row>
    <row r="31" spans="1:30" x14ac:dyDescent="0.25">
      <c r="A31" s="160">
        <v>198737</v>
      </c>
      <c r="B31" s="160" t="s">
        <v>1303</v>
      </c>
      <c r="C31" s="160" t="s">
        <v>34</v>
      </c>
      <c r="D31" s="160" t="s">
        <v>1304</v>
      </c>
      <c r="E31" s="160" t="s">
        <v>236</v>
      </c>
      <c r="F31" s="160">
        <v>1</v>
      </c>
      <c r="G31" s="90" t="str">
        <f t="shared" si="0"/>
        <v>A</v>
      </c>
      <c r="H31" s="105"/>
      <c r="I31" s="109" t="s">
        <v>35</v>
      </c>
      <c r="J31"/>
      <c r="K31" s="71" t="s">
        <v>735</v>
      </c>
      <c r="L31" s="68"/>
      <c r="M31" s="68"/>
      <c r="T31" s="197"/>
      <c r="U31" s="197"/>
      <c r="V31" s="197"/>
      <c r="W31" s="197"/>
      <c r="Y31" s="69" t="s">
        <v>660</v>
      </c>
      <c r="Z31" s="68">
        <v>1</v>
      </c>
    </row>
    <row r="32" spans="1:30" x14ac:dyDescent="0.25">
      <c r="A32" s="160">
        <v>198631</v>
      </c>
      <c r="B32" s="160" t="s">
        <v>1305</v>
      </c>
      <c r="C32" s="160" t="s">
        <v>32</v>
      </c>
      <c r="D32" s="160" t="s">
        <v>1306</v>
      </c>
      <c r="E32" s="160" t="s">
        <v>72</v>
      </c>
      <c r="F32" s="160">
        <v>3</v>
      </c>
      <c r="G32" t="str">
        <f t="shared" si="0"/>
        <v>A</v>
      </c>
      <c r="H32" s="105"/>
      <c r="I32" s="109"/>
      <c r="J32"/>
      <c r="K32" s="70" t="s">
        <v>122</v>
      </c>
      <c r="L32" s="68"/>
      <c r="N32" s="72" t="s">
        <v>144</v>
      </c>
      <c r="O32" s="160" t="s">
        <v>35</v>
      </c>
      <c r="T32" s="197"/>
      <c r="U32" s="197"/>
      <c r="V32" s="197"/>
      <c r="W32" s="197"/>
      <c r="Y32" s="69" t="s">
        <v>235</v>
      </c>
      <c r="Z32" s="68"/>
    </row>
    <row r="33" spans="1:26" x14ac:dyDescent="0.25">
      <c r="A33" s="160">
        <v>198629</v>
      </c>
      <c r="B33" s="160" t="s">
        <v>1307</v>
      </c>
      <c r="C33" s="160" t="s">
        <v>34</v>
      </c>
      <c r="D33" s="160" t="s">
        <v>1308</v>
      </c>
      <c r="E33" s="160" t="s">
        <v>72</v>
      </c>
      <c r="F33" s="160">
        <v>5</v>
      </c>
      <c r="G33" s="90" t="str">
        <f t="shared" si="0"/>
        <v>A</v>
      </c>
      <c r="H33" s="105"/>
      <c r="I33" s="109" t="s">
        <v>35</v>
      </c>
      <c r="J33"/>
      <c r="K33" s="69" t="s">
        <v>35</v>
      </c>
      <c r="L33" s="68">
        <v>10</v>
      </c>
      <c r="T33" s="197"/>
      <c r="U33" s="197"/>
      <c r="V33" s="197"/>
      <c r="W33" s="197"/>
      <c r="Y33" s="71" t="s">
        <v>33</v>
      </c>
      <c r="Z33" s="68"/>
    </row>
    <row r="34" spans="1:26" x14ac:dyDescent="0.25">
      <c r="A34" s="160">
        <v>198628</v>
      </c>
      <c r="B34" s="160" t="s">
        <v>1309</v>
      </c>
      <c r="C34" s="160" t="s">
        <v>34</v>
      </c>
      <c r="D34" s="160" t="s">
        <v>1310</v>
      </c>
      <c r="E34" s="160" t="s">
        <v>72</v>
      </c>
      <c r="F34" s="160">
        <v>5</v>
      </c>
      <c r="G34" t="str">
        <f t="shared" si="0"/>
        <v>A</v>
      </c>
      <c r="H34" s="105"/>
      <c r="I34" s="109" t="s">
        <v>35</v>
      </c>
      <c r="J34"/>
      <c r="K34" s="71" t="s">
        <v>37</v>
      </c>
      <c r="L34" s="68">
        <v>2</v>
      </c>
      <c r="N34" s="72" t="s">
        <v>655</v>
      </c>
      <c r="O34" t="s">
        <v>50</v>
      </c>
      <c r="T34" s="197"/>
      <c r="U34" s="197"/>
      <c r="V34" s="197"/>
      <c r="W34" s="197"/>
      <c r="Y34" s="70" t="s">
        <v>581</v>
      </c>
      <c r="Z34" s="68">
        <v>1</v>
      </c>
    </row>
    <row r="35" spans="1:26" x14ac:dyDescent="0.25">
      <c r="A35" s="160">
        <v>193014</v>
      </c>
      <c r="B35" s="160" t="s">
        <v>1311</v>
      </c>
      <c r="C35" s="160" t="s">
        <v>34</v>
      </c>
      <c r="D35" s="160" t="s">
        <v>1312</v>
      </c>
      <c r="E35" s="160" t="s">
        <v>64</v>
      </c>
      <c r="F35" s="160">
        <v>3</v>
      </c>
      <c r="G35" t="str">
        <f t="shared" si="0"/>
        <v>A</v>
      </c>
      <c r="H35" s="105"/>
      <c r="I35" s="109" t="s">
        <v>35</v>
      </c>
      <c r="J35"/>
      <c r="K35" s="70" t="s">
        <v>34</v>
      </c>
      <c r="L35" s="68">
        <v>2</v>
      </c>
      <c r="N35" s="69" t="s">
        <v>37</v>
      </c>
      <c r="O35" s="68"/>
      <c r="Q35">
        <f>77/99</f>
        <v>0.77777777777777779</v>
      </c>
      <c r="T35" s="197"/>
      <c r="U35" s="197"/>
      <c r="V35" s="197"/>
      <c r="W35" s="197"/>
      <c r="Y35" s="71" t="s">
        <v>667</v>
      </c>
      <c r="Z35" s="68">
        <v>1</v>
      </c>
    </row>
    <row r="36" spans="1:26" x14ac:dyDescent="0.25">
      <c r="A36" s="160">
        <v>193013</v>
      </c>
      <c r="B36" s="160" t="s">
        <v>1313</v>
      </c>
      <c r="C36" s="160" t="s">
        <v>34</v>
      </c>
      <c r="D36" s="160" t="s">
        <v>1314</v>
      </c>
      <c r="E36" s="160" t="s">
        <v>64</v>
      </c>
      <c r="F36" s="160">
        <v>3</v>
      </c>
      <c r="G36" t="str">
        <f t="shared" si="0"/>
        <v>A</v>
      </c>
      <c r="H36" s="105"/>
      <c r="I36" s="109" t="s">
        <v>35</v>
      </c>
      <c r="J36"/>
      <c r="K36" s="71" t="s">
        <v>36</v>
      </c>
      <c r="L36" s="68">
        <v>8</v>
      </c>
      <c r="N36" s="71" t="s">
        <v>122</v>
      </c>
      <c r="O36" s="68">
        <v>24</v>
      </c>
      <c r="T36" s="197"/>
      <c r="U36" s="197"/>
      <c r="V36" s="197"/>
      <c r="W36" s="197"/>
      <c r="Y36" s="69" t="s">
        <v>661</v>
      </c>
      <c r="Z36" s="68">
        <v>1</v>
      </c>
    </row>
    <row r="37" spans="1:26" x14ac:dyDescent="0.25">
      <c r="A37" s="160">
        <v>164835</v>
      </c>
      <c r="B37" s="160" t="s">
        <v>943</v>
      </c>
      <c r="C37" s="160" t="s">
        <v>33</v>
      </c>
      <c r="D37" s="160" t="s">
        <v>1315</v>
      </c>
      <c r="E37" s="160" t="s">
        <v>112</v>
      </c>
      <c r="F37" s="160">
        <v>2</v>
      </c>
      <c r="G37" s="73" t="str">
        <f t="shared" si="0"/>
        <v>A</v>
      </c>
      <c r="H37" s="105"/>
      <c r="I37" s="109"/>
      <c r="J37"/>
      <c r="K37" s="70" t="s">
        <v>34</v>
      </c>
      <c r="L37" s="68">
        <v>8</v>
      </c>
      <c r="N37" s="71" t="s">
        <v>35</v>
      </c>
      <c r="O37" s="68">
        <v>2</v>
      </c>
      <c r="T37" s="197"/>
      <c r="U37" s="197"/>
      <c r="V37" s="197"/>
      <c r="W37" s="197"/>
      <c r="Y37" s="69" t="s">
        <v>89</v>
      </c>
      <c r="Z37" s="68"/>
    </row>
    <row r="38" spans="1:26" x14ac:dyDescent="0.25">
      <c r="A38" s="160">
        <v>136367</v>
      </c>
      <c r="B38" s="160" t="s">
        <v>1316</v>
      </c>
      <c r="C38" s="160" t="s">
        <v>33</v>
      </c>
      <c r="D38" s="160" t="s">
        <v>1317</v>
      </c>
      <c r="E38" s="160" t="s">
        <v>61</v>
      </c>
      <c r="F38" s="160">
        <v>5</v>
      </c>
      <c r="G38" t="str">
        <f t="shared" si="0"/>
        <v>A</v>
      </c>
      <c r="H38" s="105"/>
      <c r="I38" s="109"/>
      <c r="J38"/>
      <c r="K38" s="69" t="s">
        <v>31</v>
      </c>
      <c r="L38" s="68">
        <v>90</v>
      </c>
      <c r="N38" s="69" t="s">
        <v>131</v>
      </c>
      <c r="O38" s="68">
        <v>26</v>
      </c>
      <c r="T38" s="197"/>
      <c r="U38" s="197"/>
      <c r="V38" s="197"/>
      <c r="W38" s="197"/>
      <c r="Y38" s="71" t="s">
        <v>33</v>
      </c>
      <c r="Z38" s="68"/>
    </row>
    <row r="39" spans="1:26" x14ac:dyDescent="0.25">
      <c r="C39"/>
      <c r="G39" t="str">
        <f t="shared" si="0"/>
        <v/>
      </c>
      <c r="H39" s="105"/>
      <c r="I39" s="109"/>
      <c r="J39"/>
      <c r="M39" s="68"/>
      <c r="N39" s="69" t="s">
        <v>36</v>
      </c>
      <c r="O39" s="68"/>
      <c r="T39" s="197"/>
      <c r="U39" s="197"/>
      <c r="V39" s="197"/>
      <c r="W39" s="197"/>
      <c r="Y39" s="70" t="s">
        <v>597</v>
      </c>
      <c r="Z39" s="68">
        <v>1</v>
      </c>
    </row>
    <row r="40" spans="1:26" x14ac:dyDescent="0.25">
      <c r="C40"/>
      <c r="G40" s="90" t="str">
        <f t="shared" si="0"/>
        <v/>
      </c>
      <c r="H40" s="105"/>
      <c r="I40" s="109"/>
      <c r="J40"/>
      <c r="M40" s="68"/>
      <c r="N40" s="71" t="s">
        <v>122</v>
      </c>
      <c r="O40" s="68">
        <v>38</v>
      </c>
      <c r="T40" s="197"/>
      <c r="U40" s="197"/>
      <c r="V40" s="197"/>
      <c r="W40" s="197"/>
      <c r="Y40" s="71" t="s">
        <v>667</v>
      </c>
      <c r="Z40" s="68">
        <v>1</v>
      </c>
    </row>
    <row r="41" spans="1:26" x14ac:dyDescent="0.25">
      <c r="C41"/>
      <c r="G41" s="90" t="str">
        <f t="shared" si="0"/>
        <v/>
      </c>
      <c r="H41" s="105"/>
      <c r="I41" s="109"/>
      <c r="J41"/>
      <c r="M41" s="68"/>
      <c r="N41" s="71" t="s">
        <v>35</v>
      </c>
      <c r="O41" s="68">
        <v>8</v>
      </c>
      <c r="Y41" s="69" t="s">
        <v>662</v>
      </c>
      <c r="Z41" s="68">
        <v>1</v>
      </c>
    </row>
    <row r="42" spans="1:26" x14ac:dyDescent="0.25">
      <c r="C42"/>
      <c r="G42" s="90" t="str">
        <f t="shared" si="0"/>
        <v/>
      </c>
      <c r="H42" s="105"/>
      <c r="I42" s="109"/>
      <c r="J42"/>
      <c r="M42" s="68"/>
      <c r="N42" s="69" t="s">
        <v>132</v>
      </c>
      <c r="O42" s="68">
        <v>46</v>
      </c>
      <c r="Y42" s="69" t="s">
        <v>81</v>
      </c>
      <c r="Z42" s="68"/>
    </row>
    <row r="43" spans="1:26" x14ac:dyDescent="0.25">
      <c r="C43"/>
      <c r="G43" s="90" t="str">
        <f t="shared" si="0"/>
        <v/>
      </c>
      <c r="H43" s="105"/>
      <c r="I43" s="109"/>
      <c r="J43"/>
      <c r="M43" s="68"/>
      <c r="N43" s="69" t="s">
        <v>31</v>
      </c>
      <c r="O43" s="68">
        <v>72</v>
      </c>
      <c r="Y43" s="71" t="s">
        <v>33</v>
      </c>
      <c r="Z43" s="68"/>
    </row>
    <row r="44" spans="1:26" x14ac:dyDescent="0.25">
      <c r="C44"/>
      <c r="G44" s="90" t="str">
        <f t="shared" si="0"/>
        <v/>
      </c>
      <c r="H44" s="105"/>
      <c r="I44" s="109"/>
      <c r="J44"/>
      <c r="M44" s="68"/>
      <c r="Y44" s="70" t="s">
        <v>589</v>
      </c>
      <c r="Z44" s="68">
        <v>1</v>
      </c>
    </row>
    <row r="45" spans="1:26" x14ac:dyDescent="0.25">
      <c r="C45"/>
      <c r="G45" s="90" t="str">
        <f t="shared" si="0"/>
        <v/>
      </c>
      <c r="H45" s="105"/>
      <c r="I45" s="109"/>
      <c r="J45"/>
      <c r="M45" s="68"/>
      <c r="Y45" s="71" t="s">
        <v>667</v>
      </c>
      <c r="Z45" s="68">
        <v>1</v>
      </c>
    </row>
    <row r="46" spans="1:26" x14ac:dyDescent="0.25">
      <c r="A46" s="90"/>
      <c r="B46" s="105"/>
      <c r="C46" s="105"/>
      <c r="D46" s="105"/>
      <c r="E46" s="107"/>
      <c r="F46" s="105"/>
      <c r="G46" s="90" t="str">
        <f t="shared" si="0"/>
        <v/>
      </c>
      <c r="H46" s="105"/>
      <c r="I46" s="109"/>
      <c r="J46"/>
      <c r="M46" s="68"/>
      <c r="Y46" s="69" t="s">
        <v>663</v>
      </c>
      <c r="Z46" s="68">
        <v>1</v>
      </c>
    </row>
    <row r="47" spans="1:26" x14ac:dyDescent="0.25">
      <c r="A47" s="73"/>
      <c r="C47"/>
      <c r="G47" s="73" t="str">
        <f t="shared" si="0"/>
        <v/>
      </c>
      <c r="H47" s="105"/>
      <c r="I47" s="109"/>
      <c r="J47"/>
      <c r="M47" s="68"/>
      <c r="Y47" s="69" t="s">
        <v>236</v>
      </c>
      <c r="Z47" s="68"/>
    </row>
    <row r="48" spans="1:26" x14ac:dyDescent="0.25">
      <c r="A48" s="90"/>
      <c r="C48"/>
      <c r="G48" s="90" t="str">
        <f t="shared" si="0"/>
        <v/>
      </c>
      <c r="H48" s="105"/>
      <c r="I48" s="109"/>
      <c r="J48"/>
      <c r="Y48" s="71" t="s">
        <v>33</v>
      </c>
      <c r="Z48" s="68"/>
    </row>
    <row r="49" spans="1:26" x14ac:dyDescent="0.25">
      <c r="A49" s="90"/>
      <c r="C49"/>
      <c r="G49" s="90" t="str">
        <f t="shared" si="0"/>
        <v/>
      </c>
      <c r="H49" s="105"/>
      <c r="I49" s="109"/>
      <c r="J49"/>
      <c r="Y49" s="70" t="s">
        <v>533</v>
      </c>
      <c r="Z49" s="68">
        <v>1</v>
      </c>
    </row>
    <row r="50" spans="1:26" x14ac:dyDescent="0.25">
      <c r="A50" s="73"/>
      <c r="C50"/>
      <c r="F50" s="13"/>
      <c r="G50" s="73" t="str">
        <f t="shared" si="0"/>
        <v/>
      </c>
      <c r="H50" s="105"/>
      <c r="I50" s="109"/>
      <c r="J50"/>
      <c r="Y50" s="71" t="s">
        <v>667</v>
      </c>
      <c r="Z50" s="68">
        <v>1</v>
      </c>
    </row>
    <row r="51" spans="1:26" x14ac:dyDescent="0.25">
      <c r="A51" s="90"/>
      <c r="C51"/>
      <c r="G51" s="90" t="str">
        <f t="shared" si="0"/>
        <v/>
      </c>
      <c r="H51" s="105"/>
      <c r="I51" s="109"/>
      <c r="J51"/>
      <c r="Y51" s="71" t="s">
        <v>32</v>
      </c>
      <c r="Z51" s="68"/>
    </row>
    <row r="52" spans="1:26" x14ac:dyDescent="0.25">
      <c r="A52" s="90"/>
      <c r="C52"/>
      <c r="G52" s="90" t="str">
        <f t="shared" si="0"/>
        <v/>
      </c>
      <c r="H52" s="105"/>
      <c r="I52" s="109"/>
      <c r="J52"/>
      <c r="Y52" s="70" t="s">
        <v>567</v>
      </c>
      <c r="Z52" s="68">
        <v>1</v>
      </c>
    </row>
    <row r="53" spans="1:26" x14ac:dyDescent="0.25">
      <c r="A53" s="90"/>
      <c r="C53"/>
      <c r="G53" s="90" t="str">
        <f t="shared" si="0"/>
        <v/>
      </c>
      <c r="H53" s="105"/>
      <c r="I53" s="109"/>
      <c r="J53"/>
      <c r="K53" t="s">
        <v>669</v>
      </c>
      <c r="Y53" s="70" t="s">
        <v>633</v>
      </c>
      <c r="Z53" s="68">
        <v>1</v>
      </c>
    </row>
    <row r="54" spans="1:26" x14ac:dyDescent="0.25">
      <c r="B54" s="106"/>
      <c r="D54" s="106"/>
      <c r="E54" s="106"/>
      <c r="F54" s="106"/>
      <c r="J54"/>
      <c r="M54" s="68"/>
      <c r="Y54" s="71" t="s">
        <v>668</v>
      </c>
      <c r="Z54" s="68">
        <v>2</v>
      </c>
    </row>
    <row r="55" spans="1:26" x14ac:dyDescent="0.25">
      <c r="B55" s="106"/>
      <c r="D55" s="106"/>
      <c r="E55" s="106"/>
      <c r="F55" s="106"/>
      <c r="J55"/>
      <c r="M55" s="68"/>
      <c r="Y55" s="69" t="s">
        <v>664</v>
      </c>
      <c r="Z55" s="68">
        <v>3</v>
      </c>
    </row>
    <row r="56" spans="1:26" x14ac:dyDescent="0.25">
      <c r="J56"/>
      <c r="K56" s="71"/>
      <c r="L56" s="68"/>
      <c r="M56" s="68"/>
      <c r="Y56" s="69" t="s">
        <v>72</v>
      </c>
      <c r="Z56" s="68"/>
    </row>
    <row r="57" spans="1:26" x14ac:dyDescent="0.25">
      <c r="J57"/>
      <c r="K57" s="69"/>
      <c r="L57" s="68"/>
      <c r="Y57" s="71" t="s">
        <v>32</v>
      </c>
      <c r="Z57" s="68"/>
    </row>
    <row r="58" spans="1:26" x14ac:dyDescent="0.25">
      <c r="J58"/>
      <c r="K58" s="69"/>
      <c r="L58" s="68"/>
      <c r="Y58" s="70" t="s">
        <v>599</v>
      </c>
      <c r="Z58" s="68">
        <v>1</v>
      </c>
    </row>
    <row r="59" spans="1:26" x14ac:dyDescent="0.25">
      <c r="J59"/>
      <c r="Y59" s="70" t="s">
        <v>603</v>
      </c>
      <c r="Z59" s="68">
        <v>1</v>
      </c>
    </row>
    <row r="60" spans="1:26" x14ac:dyDescent="0.25">
      <c r="J60"/>
      <c r="Y60" s="71" t="s">
        <v>668</v>
      </c>
      <c r="Z60" s="68">
        <v>2</v>
      </c>
    </row>
    <row r="61" spans="1:26" x14ac:dyDescent="0.25">
      <c r="J61"/>
      <c r="Y61" s="69" t="s">
        <v>665</v>
      </c>
      <c r="Z61" s="68">
        <v>2</v>
      </c>
    </row>
    <row r="62" spans="1:26" x14ac:dyDescent="0.25">
      <c r="J62"/>
      <c r="Y62" s="69" t="s">
        <v>31</v>
      </c>
      <c r="Z62" s="68">
        <v>16</v>
      </c>
    </row>
  </sheetData>
  <sheetProtection sort="0" autoFilter="0" pivotTables="0"/>
  <mergeCells count="2">
    <mergeCell ref="AC9:AD9"/>
    <mergeCell ref="T17:W40"/>
  </mergeCells>
  <conditionalFormatting sqref="I2:I53">
    <cfRule type="expression" dxfId="784" priority="28">
      <formula>$C2="Done"</formula>
    </cfRule>
  </conditionalFormatting>
  <conditionalFormatting sqref="C2:C48">
    <cfRule type="expression" dxfId="783" priority="26">
      <formula>C2="Blocked"</formula>
    </cfRule>
    <cfRule type="expression" dxfId="782" priority="27">
      <formula>C2="Done"</formula>
    </cfRule>
  </conditionalFormatting>
  <conditionalFormatting sqref="I2:I53">
    <cfRule type="expression" dxfId="781" priority="25" stopIfTrue="1">
      <formula>IF(C2="Done", IF(I2&lt;&gt;"Y",TRUE,FALSE),FALSE)</formula>
    </cfRule>
  </conditionalFormatting>
  <conditionalFormatting sqref="S2:S4">
    <cfRule type="expression" dxfId="780" priority="24">
      <formula>IF(S2&lt;0.8, TRUE, IF(S2&gt;1.2, TRUE, FALSE))</formula>
    </cfRule>
  </conditionalFormatting>
  <conditionalFormatting sqref="D34:E40">
    <cfRule type="expression" dxfId="779" priority="22">
      <formula>D34="Blocked"</formula>
    </cfRule>
    <cfRule type="expression" dxfId="778" priority="23">
      <formula>D34="Done"</formula>
    </cfRule>
  </conditionalFormatting>
  <conditionalFormatting sqref="C49">
    <cfRule type="expression" dxfId="777" priority="20">
      <formula>C49="Blocked"</formula>
    </cfRule>
    <cfRule type="expression" dxfId="776" priority="21">
      <formula>C49="Done"</formula>
    </cfRule>
  </conditionalFormatting>
  <conditionalFormatting sqref="C50:C52">
    <cfRule type="expression" dxfId="775" priority="18">
      <formula>C50="Blocked"</formula>
    </cfRule>
    <cfRule type="expression" dxfId="774" priority="19">
      <formula>C50="Done"</formula>
    </cfRule>
  </conditionalFormatting>
  <conditionalFormatting sqref="C53">
    <cfRule type="expression" dxfId="773" priority="16">
      <formula>C53="Blocked"</formula>
    </cfRule>
    <cfRule type="expression" dxfId="772" priority="17">
      <formula>C53="Done"</formula>
    </cfRule>
  </conditionalFormatting>
  <conditionalFormatting sqref="P9:R9">
    <cfRule type="expression" dxfId="771" priority="5">
      <formula>P9&gt;0.2</formula>
    </cfRule>
    <cfRule type="expression" dxfId="770" priority="6">
      <formula>P9&gt;0.4</formula>
    </cfRule>
  </conditionalFormatting>
  <conditionalFormatting sqref="P7:R8">
    <cfRule type="expression" dxfId="769" priority="2">
      <formula>P7&gt;0.2</formula>
    </cfRule>
    <cfRule type="expression" dxfId="768" priority="3">
      <formula>P7&gt;0.4</formula>
    </cfRule>
  </conditionalFormatting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6977" r:id="rId8" name="Button 1">
              <controlPr defaultSize="0" print="0" autoFill="0" autoPict="0" macro="[0]!ResetAndLock">
                <anchor moveWithCells="1" sizeWithCells="1">
                  <from>
                    <xdr:col>18</xdr:col>
                    <xdr:colOff>952500</xdr:colOff>
                    <xdr:row>8</xdr:row>
                    <xdr:rowOff>9525</xdr:rowOff>
                  </from>
                  <to>
                    <xdr:col>23</xdr:col>
                    <xdr:colOff>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8">
    <tablePart r:id="rId9"/>
    <tablePart r:id="rId10"/>
    <tablePart r:id="rId11"/>
    <tablePart r:id="rId12"/>
    <tablePart r:id="rId13"/>
    <tablePart r:id="rId14"/>
    <tablePart r:id="rId15"/>
    <tablePart r:id="rId1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176AAB5C-CF73-4B81-9A1E-EED8470258BC}">
            <x14:iconSet iconSet="4Arrows" custom="1">
              <x14:cfvo type="percent">
                <xm:f>0</xm:f>
              </x14:cfvo>
              <x14:cfvo type="num">
                <xm:f>0.2</xm:f>
              </x14:cfvo>
              <x14:cfvo type="num">
                <xm:f>0.3</xm:f>
              </x14:cfvo>
              <x14:cfvo type="num">
                <xm:f>0.5</xm:f>
              </x14:cfvo>
              <x14:cfIcon iconSet="3Symbols2" iconId="2"/>
              <x14:cfIcon iconSet="3Flags" iconId="1"/>
              <x14:cfIcon iconSet="3Symbols" iconId="1"/>
              <x14:cfIcon iconSet="3Symbols" iconId="0"/>
            </x14:iconSet>
          </x14:cfRule>
          <xm:sqref>P9:R9</xm:sqref>
        </x14:conditionalFormatting>
        <x14:conditionalFormatting xmlns:xm="http://schemas.microsoft.com/office/excel/2006/main">
          <x14:cfRule type="iconSet" priority="1" id="{2570A606-95E7-4696-8CD9-B015D53CB2E3}">
            <x14:iconSet iconSet="4Arrows" custom="1">
              <x14:cfvo type="percent">
                <xm:f>0</xm:f>
              </x14:cfvo>
              <x14:cfvo type="num">
                <xm:f>0.2</xm:f>
              </x14:cfvo>
              <x14:cfvo type="num">
                <xm:f>0.3</xm:f>
              </x14:cfvo>
              <x14:cfvo type="num">
                <xm:f>0.5</xm:f>
              </x14:cfvo>
              <x14:cfIcon iconSet="3Symbols2" iconId="2"/>
              <x14:cfIcon iconSet="3Flags" iconId="1"/>
              <x14:cfIcon iconSet="3Symbols" iconId="1"/>
              <x14:cfIcon iconSet="3Symbols" iconId="0"/>
            </x14:iconSet>
          </x14:cfRule>
          <xm:sqref>P7:R8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D4FFB-04FB-4D48-BE79-A727256AAD92}">
  <sheetPr codeName="Sheet18"/>
  <dimension ref="A1:AD62"/>
  <sheetViews>
    <sheetView zoomScale="70" zoomScaleNormal="70" workbookViewId="0">
      <selection activeCell="O6" sqref="O6:R8"/>
    </sheetView>
  </sheetViews>
  <sheetFormatPr defaultRowHeight="15" x14ac:dyDescent="0.25"/>
  <cols>
    <col min="2" max="2" width="12.28515625" customWidth="1"/>
    <col min="3" max="3" width="11" style="106" customWidth="1"/>
    <col min="4" max="4" width="56.28515625" customWidth="1"/>
    <col min="5" max="5" width="13.140625" customWidth="1"/>
    <col min="6" max="6" width="13.85546875" bestFit="1" customWidth="1"/>
    <col min="8" max="8" width="14.140625" bestFit="1" customWidth="1"/>
    <col min="9" max="9" width="14.140625" style="106" bestFit="1" customWidth="1"/>
    <col min="10" max="10" width="10.85546875" style="106" customWidth="1"/>
    <col min="11" max="11" width="14.85546875" bestFit="1" customWidth="1"/>
    <col min="12" max="13" width="6.42578125" bestFit="1" customWidth="1"/>
    <col min="14" max="14" width="11.42578125" bestFit="1" customWidth="1"/>
    <col min="15" max="15" width="18.5703125" bestFit="1" customWidth="1"/>
    <col min="16" max="16" width="18.42578125" customWidth="1"/>
    <col min="17" max="17" width="19" customWidth="1"/>
    <col min="18" max="18" width="16.28515625" customWidth="1"/>
    <col min="19" max="19" width="16.5703125" customWidth="1"/>
    <col min="20" max="20" width="14.5703125" customWidth="1"/>
    <col min="21" max="21" width="18.140625" customWidth="1"/>
    <col min="22" max="22" width="1.42578125" customWidth="1"/>
    <col min="23" max="23" width="11" customWidth="1"/>
    <col min="24" max="24" width="10.85546875" customWidth="1"/>
    <col min="25" max="25" width="9.140625" customWidth="1"/>
    <col min="26" max="26" width="78.85546875" customWidth="1"/>
    <col min="27" max="27" width="14.5703125" customWidth="1"/>
    <col min="28" max="28" width="9.140625" customWidth="1"/>
    <col min="29" max="29" width="11.5703125" customWidth="1"/>
    <col min="30" max="32" width="9.140625" customWidth="1"/>
  </cols>
  <sheetData>
    <row r="1" spans="1:30" ht="30.75" customHeight="1" x14ac:dyDescent="0.25">
      <c r="A1" t="s">
        <v>231</v>
      </c>
      <c r="B1" t="s">
        <v>48</v>
      </c>
      <c r="C1" s="106" t="s">
        <v>47</v>
      </c>
      <c r="D1" t="s">
        <v>46</v>
      </c>
      <c r="E1" t="s">
        <v>45</v>
      </c>
      <c r="F1" t="s">
        <v>38</v>
      </c>
      <c r="G1" t="s">
        <v>44</v>
      </c>
      <c r="H1" s="106" t="s">
        <v>43</v>
      </c>
      <c r="I1" s="106" t="s">
        <v>144</v>
      </c>
      <c r="J1"/>
      <c r="N1" t="s">
        <v>133</v>
      </c>
      <c r="O1" t="s">
        <v>134</v>
      </c>
      <c r="P1" t="s">
        <v>41</v>
      </c>
      <c r="Q1" t="s">
        <v>135</v>
      </c>
      <c r="R1" t="s">
        <v>136</v>
      </c>
      <c r="S1" s="86" t="s">
        <v>143</v>
      </c>
      <c r="T1" s="86" t="s">
        <v>141</v>
      </c>
      <c r="U1" s="159" t="s">
        <v>142</v>
      </c>
      <c r="V1" s="86" t="s">
        <v>1108</v>
      </c>
      <c r="W1" s="86" t="s">
        <v>145</v>
      </c>
      <c r="Y1" t="s">
        <v>39</v>
      </c>
      <c r="Z1" t="s">
        <v>666</v>
      </c>
    </row>
    <row r="2" spans="1:30" x14ac:dyDescent="0.25">
      <c r="A2">
        <v>198152</v>
      </c>
      <c r="B2" t="s">
        <v>1188</v>
      </c>
      <c r="C2" t="s">
        <v>34</v>
      </c>
      <c r="D2" t="s">
        <v>1189</v>
      </c>
      <c r="E2" t="s">
        <v>189</v>
      </c>
      <c r="F2">
        <v>1</v>
      </c>
      <c r="G2" t="str">
        <f t="shared" ref="G2:G53" si="0">MID(B2,4,1)</f>
        <v>U</v>
      </c>
      <c r="H2" s="105" t="s">
        <v>35</v>
      </c>
      <c r="I2" s="109" t="s">
        <v>35</v>
      </c>
      <c r="J2"/>
      <c r="K2" s="72" t="s">
        <v>119</v>
      </c>
      <c r="L2" t="s">
        <v>120</v>
      </c>
      <c r="N2" t="s">
        <v>2</v>
      </c>
      <c r="O2">
        <f>+O12-Table92431384559526673808794101108[[#This Row],[Blocked]]</f>
        <v>43</v>
      </c>
      <c r="P2">
        <f>IF(ISERR(P12),0,P12)</f>
        <v>6</v>
      </c>
      <c r="Q2">
        <f>IF(ISERR(Q12),0,Q12)</f>
        <v>0</v>
      </c>
      <c r="R2">
        <f>+IF(ISERR(R16),0,R16)</f>
        <v>42</v>
      </c>
      <c r="S2" s="88">
        <f>Table92431384559526673808794101108[[#This Row],[Completed]]/Table92431384559526673808794101108[[#This Row],[Committed]]</f>
        <v>0.97674418604651159</v>
      </c>
      <c r="T2" s="83">
        <f>Table92431384559526673808794101108[[#This Row],[Completed]]/(Table92431384559526673808794101108[[#This Row],[Added]]+Table92431384559526673808794101108[[#This Row],[Committed]])</f>
        <v>0.8571428571428571</v>
      </c>
      <c r="V2" s="84" t="str">
        <f>IF(ISERR(O16),0,O16) &amp; "  (" &amp;TEXT(IF(ISERR(O16),0,O16)/Table92431384559526673808794101108[[#This Row],[Committed]],"#%") &amp; ")"</f>
        <v>39  (91%)</v>
      </c>
      <c r="W2" s="85" t="str">
        <f>+IF(ISERR(P16),0,P16) &amp; " (" &amp; TEXT(R20, "#%") &amp; ")"</f>
        <v>3 (50%)</v>
      </c>
      <c r="Y2" s="69" t="s">
        <v>61</v>
      </c>
      <c r="Z2" s="68"/>
    </row>
    <row r="3" spans="1:30" x14ac:dyDescent="0.25">
      <c r="A3">
        <v>195165</v>
      </c>
      <c r="B3" t="s">
        <v>1190</v>
      </c>
      <c r="C3" t="s">
        <v>34</v>
      </c>
      <c r="D3" t="s">
        <v>1191</v>
      </c>
      <c r="E3" t="s">
        <v>179</v>
      </c>
      <c r="F3">
        <v>1</v>
      </c>
      <c r="G3" t="str">
        <f t="shared" si="0"/>
        <v>U</v>
      </c>
      <c r="H3" s="105" t="s">
        <v>35</v>
      </c>
      <c r="I3" s="109" t="s">
        <v>35</v>
      </c>
      <c r="J3"/>
      <c r="K3" s="69" t="s">
        <v>37</v>
      </c>
      <c r="L3" s="68">
        <v>49</v>
      </c>
      <c r="N3" t="s">
        <v>3</v>
      </c>
      <c r="O3">
        <f>+O13-Table92431384559526673808794101108[[#This Row],[Blocked]]</f>
        <v>54</v>
      </c>
      <c r="P3">
        <f>IF(ISERR(P13),0,P13)</f>
        <v>5</v>
      </c>
      <c r="Q3">
        <f>IF(ISERR(Q13),0,Q13)</f>
        <v>1</v>
      </c>
      <c r="R3">
        <f>+IF(ISERR(R17),0,R17)</f>
        <v>56</v>
      </c>
      <c r="S3" s="88">
        <f>Table92431384559526673808794101108[[#This Row],[Completed]]/Table92431384559526673808794101108[[#This Row],[Committed]]</f>
        <v>1.037037037037037</v>
      </c>
      <c r="T3" s="83">
        <f>Table92431384559526673808794101108[[#This Row],[Completed]]/(Table92431384559526673808794101108[[#This Row],[Added]]+Table92431384559526673808794101108[[#This Row],[Committed]])</f>
        <v>0.94915254237288138</v>
      </c>
      <c r="V3" s="84" t="str">
        <f>IF(ISERR(O17),0,O17) &amp; "  (" &amp;TEXT(IF(ISERR(O17),0,O17)/Table92431384559526673808794101108[[#This Row],[Committed]],"#%") &amp; ")"</f>
        <v>51  (94%)</v>
      </c>
      <c r="W3" s="85" t="str">
        <f>+IF(ISERR(P17),0,P17) &amp; " (" &amp; TEXT(R21, "#%") &amp; ")"</f>
        <v>5 (100%)</v>
      </c>
      <c r="Y3" s="71" t="s">
        <v>33</v>
      </c>
      <c r="Z3" s="68"/>
    </row>
    <row r="4" spans="1:30" x14ac:dyDescent="0.25">
      <c r="A4">
        <v>194000</v>
      </c>
      <c r="B4" t="s">
        <v>1192</v>
      </c>
      <c r="C4" t="s">
        <v>34</v>
      </c>
      <c r="D4" t="s">
        <v>1193</v>
      </c>
      <c r="E4" t="s">
        <v>152</v>
      </c>
      <c r="F4">
        <v>1</v>
      </c>
      <c r="G4" s="90" t="str">
        <f t="shared" si="0"/>
        <v>U</v>
      </c>
      <c r="H4" s="105" t="s">
        <v>35</v>
      </c>
      <c r="I4" s="109" t="s">
        <v>35</v>
      </c>
      <c r="J4"/>
      <c r="K4" s="71" t="s">
        <v>32</v>
      </c>
      <c r="L4" s="68">
        <v>4</v>
      </c>
      <c r="N4" t="s">
        <v>303</v>
      </c>
      <c r="O4" s="68">
        <f>SUM(O2:O3)</f>
        <v>97</v>
      </c>
      <c r="P4">
        <f>SUM(P2:P3)</f>
        <v>11</v>
      </c>
      <c r="Q4" s="68">
        <f>SUM(Q2:Q3)</f>
        <v>1</v>
      </c>
      <c r="R4" s="68">
        <f>SUM(R2:R3)</f>
        <v>98</v>
      </c>
      <c r="S4" s="88">
        <f>Table92431384559526673808794101108[[#This Row],[Completed]]/Table92431384559526673808794101108[[#This Row],[Committed]]</f>
        <v>1.0103092783505154</v>
      </c>
      <c r="T4" s="83">
        <f>Table92431384559526673808794101108[[#This Row],[Completed]]/(Table92431384559526673808794101108[[#This Row],[Added]]+Table92431384559526673808794101108[[#This Row],[Committed]])</f>
        <v>0.90740740740740744</v>
      </c>
      <c r="V4" s="108" t="str">
        <f>IF(ISERR(SUM(O16:O17)),0,SUM(O16:O17)) &amp;"  ("&amp;TEXT(SUM(O16:O17)/O4,"#%") &amp;")"</f>
        <v>90  (93%)</v>
      </c>
      <c r="W4" s="85" t="str">
        <f>R4-SUM(O16:O17)&amp;" ("&amp;TEXT((R4-SUM(O16:O17))/IF(P4=0,1,P4),"#%")&amp;")"</f>
        <v>8 (73%)</v>
      </c>
      <c r="Y4" s="70" t="s">
        <v>625</v>
      </c>
      <c r="Z4" s="68">
        <v>1</v>
      </c>
    </row>
    <row r="5" spans="1:30" x14ac:dyDescent="0.25">
      <c r="A5">
        <v>193870</v>
      </c>
      <c r="B5" t="s">
        <v>1194</v>
      </c>
      <c r="C5" t="s">
        <v>34</v>
      </c>
      <c r="D5" t="s">
        <v>1195</v>
      </c>
      <c r="E5" t="s">
        <v>108</v>
      </c>
      <c r="F5">
        <v>2</v>
      </c>
      <c r="G5" t="str">
        <f t="shared" si="0"/>
        <v>U</v>
      </c>
      <c r="H5" s="106" t="s">
        <v>35</v>
      </c>
      <c r="I5" s="109" t="s">
        <v>35</v>
      </c>
      <c r="J5"/>
      <c r="K5" s="71" t="s">
        <v>34</v>
      </c>
      <c r="L5" s="68">
        <v>42</v>
      </c>
      <c r="O5" t="s">
        <v>140</v>
      </c>
      <c r="S5" t="s">
        <v>220</v>
      </c>
      <c r="Y5" s="71" t="s">
        <v>667</v>
      </c>
      <c r="Z5" s="68">
        <v>1</v>
      </c>
    </row>
    <row r="6" spans="1:30" x14ac:dyDescent="0.25">
      <c r="A6">
        <v>193500</v>
      </c>
      <c r="B6" t="s">
        <v>1196</v>
      </c>
      <c r="C6" t="s">
        <v>34</v>
      </c>
      <c r="D6" t="s">
        <v>1197</v>
      </c>
      <c r="E6" t="s">
        <v>179</v>
      </c>
      <c r="F6">
        <v>3</v>
      </c>
      <c r="G6" s="73" t="str">
        <f t="shared" si="0"/>
        <v>U</v>
      </c>
      <c r="H6" s="105"/>
      <c r="I6" s="109" t="s">
        <v>35</v>
      </c>
      <c r="J6"/>
      <c r="K6" s="71" t="s">
        <v>33</v>
      </c>
      <c r="L6" s="68">
        <v>3</v>
      </c>
      <c r="O6" s="175" t="s">
        <v>40</v>
      </c>
      <c r="P6" s="174" t="s">
        <v>2</v>
      </c>
      <c r="Q6" s="174" t="s">
        <v>137</v>
      </c>
      <c r="R6" s="174" t="s">
        <v>1436</v>
      </c>
      <c r="Y6" s="71" t="s">
        <v>32</v>
      </c>
      <c r="Z6" s="68"/>
    </row>
    <row r="7" spans="1:30" x14ac:dyDescent="0.25">
      <c r="A7">
        <v>193070</v>
      </c>
      <c r="B7" t="s">
        <v>1198</v>
      </c>
      <c r="C7" t="s">
        <v>34</v>
      </c>
      <c r="D7" t="s">
        <v>1199</v>
      </c>
      <c r="E7" t="s">
        <v>155</v>
      </c>
      <c r="F7">
        <v>3</v>
      </c>
      <c r="G7" t="str">
        <f t="shared" si="0"/>
        <v>U</v>
      </c>
      <c r="H7" s="105"/>
      <c r="I7" s="109" t="s">
        <v>35</v>
      </c>
      <c r="J7"/>
      <c r="K7" s="69" t="s">
        <v>36</v>
      </c>
      <c r="L7" s="68">
        <v>60</v>
      </c>
      <c r="O7" s="174" t="s">
        <v>1437</v>
      </c>
      <c r="P7" s="87">
        <f>+P2/(P2+O2)</f>
        <v>0.12244897959183673</v>
      </c>
      <c r="Q7" s="87">
        <f>P3/(O3+P3)</f>
        <v>8.4745762711864403E-2</v>
      </c>
      <c r="R7" s="87">
        <f>P4/(O4+P4)</f>
        <v>0.10185185185185185</v>
      </c>
      <c r="Y7" s="70" t="s">
        <v>525</v>
      </c>
      <c r="Z7" s="68">
        <v>1</v>
      </c>
    </row>
    <row r="8" spans="1:30" ht="15.75" thickBot="1" x14ac:dyDescent="0.3">
      <c r="A8">
        <v>193069</v>
      </c>
      <c r="B8" t="s">
        <v>1200</v>
      </c>
      <c r="C8" t="s">
        <v>34</v>
      </c>
      <c r="D8" t="s">
        <v>1201</v>
      </c>
      <c r="E8" t="s">
        <v>155</v>
      </c>
      <c r="F8">
        <v>1</v>
      </c>
      <c r="G8" s="90" t="str">
        <f t="shared" si="0"/>
        <v>U</v>
      </c>
      <c r="H8" s="105"/>
      <c r="I8" s="109" t="s">
        <v>35</v>
      </c>
      <c r="J8"/>
      <c r="K8" s="71" t="s">
        <v>32</v>
      </c>
      <c r="L8" s="68">
        <v>2</v>
      </c>
      <c r="M8" s="68"/>
      <c r="N8" s="160"/>
      <c r="O8" s="174" t="s">
        <v>1438</v>
      </c>
      <c r="P8" s="87">
        <f>+P2/O2</f>
        <v>0.13953488372093023</v>
      </c>
      <c r="Q8" s="87">
        <f>P3/O3</f>
        <v>9.2592592592592587E-2</v>
      </c>
      <c r="R8" s="87">
        <f>P4/O4</f>
        <v>0.1134020618556701</v>
      </c>
      <c r="Y8" s="70" t="s">
        <v>623</v>
      </c>
      <c r="Z8" s="68">
        <v>1</v>
      </c>
    </row>
    <row r="9" spans="1:30" ht="15.75" thickBot="1" x14ac:dyDescent="0.3">
      <c r="A9">
        <v>193179</v>
      </c>
      <c r="B9" t="s">
        <v>1202</v>
      </c>
      <c r="C9" t="s">
        <v>34</v>
      </c>
      <c r="D9" t="s">
        <v>1203</v>
      </c>
      <c r="E9" t="s">
        <v>89</v>
      </c>
      <c r="F9">
        <v>3</v>
      </c>
      <c r="G9" t="str">
        <f t="shared" si="0"/>
        <v>U</v>
      </c>
      <c r="H9" s="105"/>
      <c r="I9" s="109"/>
      <c r="J9"/>
      <c r="K9" s="71" t="s">
        <v>34</v>
      </c>
      <c r="L9" s="68">
        <v>56</v>
      </c>
      <c r="M9" s="68"/>
      <c r="N9" s="160"/>
      <c r="O9" s="174"/>
      <c r="P9" s="87"/>
      <c r="Q9" s="87"/>
      <c r="R9" s="87"/>
      <c r="Y9" s="71" t="s">
        <v>668</v>
      </c>
      <c r="Z9" s="68">
        <v>2</v>
      </c>
      <c r="AC9" s="195" t="s">
        <v>634</v>
      </c>
      <c r="AD9" s="196"/>
    </row>
    <row r="10" spans="1:30" ht="15.75" thickTop="1" x14ac:dyDescent="0.25">
      <c r="A10">
        <v>193322</v>
      </c>
      <c r="B10" t="s">
        <v>1204</v>
      </c>
      <c r="C10" t="s">
        <v>34</v>
      </c>
      <c r="D10" t="s">
        <v>1205</v>
      </c>
      <c r="E10" t="s">
        <v>158</v>
      </c>
      <c r="F10">
        <v>8</v>
      </c>
      <c r="G10" t="str">
        <f t="shared" si="0"/>
        <v>U</v>
      </c>
      <c r="H10" s="105"/>
      <c r="I10" s="109" t="s">
        <v>35</v>
      </c>
      <c r="J10"/>
      <c r="K10" s="71" t="s">
        <v>33</v>
      </c>
      <c r="L10" s="68">
        <v>1</v>
      </c>
      <c r="M10" s="68"/>
      <c r="N10" t="s">
        <v>139</v>
      </c>
      <c r="R10" t="s">
        <v>138</v>
      </c>
      <c r="V10" s="13"/>
      <c r="W10" s="13"/>
      <c r="Y10" s="69" t="s">
        <v>656</v>
      </c>
      <c r="Z10" s="68">
        <v>3</v>
      </c>
      <c r="AC10" s="121">
        <f>+GETPIVOTDATA("Story Points2",$K$20,"Project","A","Added After","Y")</f>
        <v>6</v>
      </c>
      <c r="AD10" s="122" t="e">
        <f>GETPIVOTDATA("Story Points2",$K$2,"Status","Blocked","Project","A")</f>
        <v>#REF!</v>
      </c>
    </row>
    <row r="11" spans="1:30" x14ac:dyDescent="0.25">
      <c r="A11">
        <v>193321</v>
      </c>
      <c r="B11" t="s">
        <v>1206</v>
      </c>
      <c r="C11" t="s">
        <v>34</v>
      </c>
      <c r="D11" t="s">
        <v>1207</v>
      </c>
      <c r="E11" t="s">
        <v>158</v>
      </c>
      <c r="F11">
        <v>2</v>
      </c>
      <c r="G11" t="str">
        <f t="shared" si="0"/>
        <v>U</v>
      </c>
      <c r="H11" s="105"/>
      <c r="I11" s="109" t="s">
        <v>35</v>
      </c>
      <c r="J11"/>
      <c r="K11" s="71" t="s">
        <v>135</v>
      </c>
      <c r="L11" s="68">
        <v>1</v>
      </c>
      <c r="M11" s="68"/>
      <c r="N11" t="s">
        <v>133</v>
      </c>
      <c r="O11" t="s">
        <v>42</v>
      </c>
      <c r="P11" t="s">
        <v>41</v>
      </c>
      <c r="Q11" s="82" t="s">
        <v>135</v>
      </c>
      <c r="R11" t="s">
        <v>128</v>
      </c>
      <c r="V11" s="13"/>
      <c r="W11" s="13"/>
      <c r="Y11" s="69" t="s">
        <v>112</v>
      </c>
      <c r="Z11" s="68"/>
      <c r="AC11" s="121">
        <f>+GETPIVOTDATA("Story Points2",$K$20,"Project","U","Added After","Y")</f>
        <v>5</v>
      </c>
      <c r="AD11" s="122">
        <f>GETPIVOTDATA("Story Points2",$K$2,"Status","Blocked","Project","U")</f>
        <v>1</v>
      </c>
    </row>
    <row r="12" spans="1:30" x14ac:dyDescent="0.25">
      <c r="A12">
        <v>193035</v>
      </c>
      <c r="B12" t="s">
        <v>1208</v>
      </c>
      <c r="C12" t="s">
        <v>34</v>
      </c>
      <c r="D12" t="s">
        <v>1209</v>
      </c>
      <c r="E12" t="s">
        <v>189</v>
      </c>
      <c r="F12">
        <v>3</v>
      </c>
      <c r="G12" t="str">
        <f t="shared" si="0"/>
        <v>U</v>
      </c>
      <c r="H12" s="105"/>
      <c r="I12" s="109" t="s">
        <v>35</v>
      </c>
      <c r="J12"/>
      <c r="K12" s="69" t="s">
        <v>735</v>
      </c>
      <c r="L12" s="68"/>
      <c r="M12" s="68"/>
      <c r="N12" t="s">
        <v>2</v>
      </c>
      <c r="O12">
        <f>+GETPIVOTDATA("Story Points2",$K$20,"Project","A","Added After",)</f>
        <v>43</v>
      </c>
      <c r="P12">
        <f>IFERROR(AC10,0)</f>
        <v>6</v>
      </c>
      <c r="Q12" s="81">
        <f>IFERROR(AD10,0)</f>
        <v>0</v>
      </c>
      <c r="R12">
        <f t="shared" ref="R12:R13" si="1">+IF(ISERR(P12),0,P12)+IF(ISERR(O12),0,O12)</f>
        <v>49</v>
      </c>
      <c r="V12" s="13"/>
      <c r="W12" s="13"/>
      <c r="Y12" s="71" t="s">
        <v>33</v>
      </c>
      <c r="Z12" s="68"/>
      <c r="AC12" s="121"/>
      <c r="AD12" s="122"/>
    </row>
    <row r="13" spans="1:30" x14ac:dyDescent="0.25">
      <c r="A13">
        <v>193219</v>
      </c>
      <c r="B13" t="s">
        <v>1210</v>
      </c>
      <c r="C13" t="s">
        <v>34</v>
      </c>
      <c r="D13" t="s">
        <v>1211</v>
      </c>
      <c r="E13" t="s">
        <v>184</v>
      </c>
      <c r="F13">
        <v>5</v>
      </c>
      <c r="G13" s="73" t="str">
        <f t="shared" si="0"/>
        <v>U</v>
      </c>
      <c r="H13" s="105"/>
      <c r="I13" s="109" t="s">
        <v>35</v>
      </c>
      <c r="J13"/>
      <c r="K13" s="71" t="s">
        <v>122</v>
      </c>
      <c r="L13" s="68"/>
      <c r="M13" s="68"/>
      <c r="N13" t="s">
        <v>3</v>
      </c>
      <c r="O13">
        <f>+GETPIVOTDATA("Story Points2",$K$20,"Project","U","Added After",)</f>
        <v>55</v>
      </c>
      <c r="P13">
        <f>IFERROR(AC11,0)</f>
        <v>5</v>
      </c>
      <c r="Q13" s="81">
        <f>IFERROR(AD11,0)</f>
        <v>1</v>
      </c>
      <c r="R13">
        <f t="shared" si="1"/>
        <v>60</v>
      </c>
      <c r="V13" s="13"/>
      <c r="W13" s="13"/>
      <c r="Y13" s="70" t="s">
        <v>579</v>
      </c>
      <c r="Z13" s="68">
        <v>1</v>
      </c>
      <c r="AC13" s="121"/>
      <c r="AD13" s="122"/>
    </row>
    <row r="14" spans="1:30" x14ac:dyDescent="0.25">
      <c r="A14">
        <v>192928</v>
      </c>
      <c r="B14" t="s">
        <v>1212</v>
      </c>
      <c r="C14" t="s">
        <v>34</v>
      </c>
      <c r="D14" t="s">
        <v>1213</v>
      </c>
      <c r="E14" t="s">
        <v>179</v>
      </c>
      <c r="F14">
        <v>1</v>
      </c>
      <c r="G14" t="str">
        <f t="shared" si="0"/>
        <v>U</v>
      </c>
      <c r="H14" s="105"/>
      <c r="I14" s="109" t="s">
        <v>35</v>
      </c>
      <c r="J14"/>
      <c r="K14" s="69" t="s">
        <v>31</v>
      </c>
      <c r="L14" s="68">
        <v>109</v>
      </c>
      <c r="M14" s="68"/>
      <c r="V14" s="13"/>
      <c r="W14" s="13"/>
      <c r="Y14" s="70" t="s">
        <v>585</v>
      </c>
      <c r="Z14" s="68">
        <v>1</v>
      </c>
      <c r="AC14" s="121">
        <f>+GETPIVOTDATA("Story Points2",$K$20,"Status","Done","Project","A","Added After",)</f>
        <v>39</v>
      </c>
      <c r="AD14" s="122">
        <f>+GETPIVOTDATA("Story Points2",$K$20,"Status","Done","Project","A","Added After","Y")</f>
        <v>3</v>
      </c>
    </row>
    <row r="15" spans="1:30" x14ac:dyDescent="0.25">
      <c r="A15">
        <v>192927</v>
      </c>
      <c r="B15" t="s">
        <v>1214</v>
      </c>
      <c r="C15" t="s">
        <v>34</v>
      </c>
      <c r="D15" t="s">
        <v>1215</v>
      </c>
      <c r="E15" t="s">
        <v>179</v>
      </c>
      <c r="F15">
        <v>3</v>
      </c>
      <c r="G15" s="73" t="str">
        <f t="shared" si="0"/>
        <v>U</v>
      </c>
      <c r="H15" s="105"/>
      <c r="I15" s="109" t="s">
        <v>35</v>
      </c>
      <c r="J15"/>
      <c r="N15" t="s">
        <v>34</v>
      </c>
      <c r="O15" t="s">
        <v>126</v>
      </c>
      <c r="P15" t="s">
        <v>125</v>
      </c>
      <c r="Q15" s="80" t="s">
        <v>40</v>
      </c>
      <c r="R15" t="s">
        <v>127</v>
      </c>
      <c r="V15" s="13"/>
      <c r="W15" s="13"/>
      <c r="Y15" s="71" t="s">
        <v>667</v>
      </c>
      <c r="Z15" s="68">
        <v>2</v>
      </c>
      <c r="AC15" s="121">
        <f>+GETPIVOTDATA("Story Points2",$K$20,"Status","Done","Project","U","Added After",)</f>
        <v>51</v>
      </c>
      <c r="AD15" s="122">
        <f>+GETPIVOTDATA("Story Points2",$K$20,"Status","Done","Project","U","Added After","Y")</f>
        <v>5</v>
      </c>
    </row>
    <row r="16" spans="1:30" x14ac:dyDescent="0.25">
      <c r="A16">
        <v>192926</v>
      </c>
      <c r="B16" t="s">
        <v>1216</v>
      </c>
      <c r="C16" t="s">
        <v>34</v>
      </c>
      <c r="D16" t="s">
        <v>1217</v>
      </c>
      <c r="E16" t="s">
        <v>179</v>
      </c>
      <c r="F16">
        <v>1</v>
      </c>
      <c r="G16" s="73" t="str">
        <f t="shared" si="0"/>
        <v>U</v>
      </c>
      <c r="H16" s="105"/>
      <c r="I16" s="109" t="s">
        <v>35</v>
      </c>
      <c r="J16"/>
      <c r="N16" t="s">
        <v>2</v>
      </c>
      <c r="O16">
        <f>IFERROR(AC14,0)</f>
        <v>39</v>
      </c>
      <c r="P16">
        <f>IFERROR(AD14,0)</f>
        <v>3</v>
      </c>
      <c r="R16">
        <f t="shared" ref="R16:R17" si="2">+IF(ISERR(P16),0,P16)+IF(ISERR(O16),0,O16)</f>
        <v>42</v>
      </c>
      <c r="Y16" s="69" t="s">
        <v>657</v>
      </c>
      <c r="Z16" s="68">
        <v>2</v>
      </c>
      <c r="AC16" s="121"/>
      <c r="AD16" s="122"/>
    </row>
    <row r="17" spans="1:30" ht="14.25" customHeight="1" x14ac:dyDescent="0.25">
      <c r="A17">
        <v>192925</v>
      </c>
      <c r="B17" t="s">
        <v>1218</v>
      </c>
      <c r="C17" t="s">
        <v>34</v>
      </c>
      <c r="D17" t="s">
        <v>1219</v>
      </c>
      <c r="E17" t="s">
        <v>179</v>
      </c>
      <c r="F17">
        <v>1</v>
      </c>
      <c r="G17" t="str">
        <f t="shared" si="0"/>
        <v>U</v>
      </c>
      <c r="H17" s="105"/>
      <c r="I17" s="109" t="s">
        <v>35</v>
      </c>
      <c r="J17"/>
      <c r="N17" t="s">
        <v>3</v>
      </c>
      <c r="O17">
        <f>IFERROR(AC15,0)</f>
        <v>51</v>
      </c>
      <c r="P17">
        <f>IFERROR(AD15,0)</f>
        <v>5</v>
      </c>
      <c r="R17">
        <f t="shared" si="2"/>
        <v>56</v>
      </c>
      <c r="T17" s="197"/>
      <c r="U17" s="197"/>
      <c r="V17" s="197"/>
      <c r="W17" s="197"/>
      <c r="Y17" s="69" t="s">
        <v>64</v>
      </c>
      <c r="Z17" s="68"/>
      <c r="AC17" s="121"/>
      <c r="AD17" s="122"/>
    </row>
    <row r="18" spans="1:30" x14ac:dyDescent="0.25">
      <c r="A18">
        <v>192924</v>
      </c>
      <c r="B18" t="s">
        <v>1220</v>
      </c>
      <c r="C18" t="s">
        <v>34</v>
      </c>
      <c r="D18" t="s">
        <v>1221</v>
      </c>
      <c r="E18" t="s">
        <v>179</v>
      </c>
      <c r="F18">
        <v>1</v>
      </c>
      <c r="G18" s="73" t="str">
        <f t="shared" si="0"/>
        <v>U</v>
      </c>
      <c r="H18" s="105"/>
      <c r="I18" s="109" t="s">
        <v>35</v>
      </c>
      <c r="J18"/>
      <c r="T18" s="197"/>
      <c r="U18" s="197"/>
      <c r="V18" s="197"/>
      <c r="W18" s="197"/>
      <c r="Y18" s="71" t="s">
        <v>33</v>
      </c>
      <c r="Z18" s="68"/>
      <c r="AC18" s="121"/>
      <c r="AD18" s="122"/>
    </row>
    <row r="19" spans="1:30" x14ac:dyDescent="0.25">
      <c r="A19">
        <v>192642</v>
      </c>
      <c r="B19" t="s">
        <v>1222</v>
      </c>
      <c r="C19" t="s">
        <v>34</v>
      </c>
      <c r="D19" t="s">
        <v>1223</v>
      </c>
      <c r="E19" t="s">
        <v>81</v>
      </c>
      <c r="F19">
        <v>3</v>
      </c>
      <c r="G19" s="90" t="str">
        <f t="shared" si="0"/>
        <v>U</v>
      </c>
      <c r="H19" s="105"/>
      <c r="I19" s="109"/>
      <c r="J19"/>
      <c r="M19" s="68"/>
      <c r="N19" t="s">
        <v>34</v>
      </c>
      <c r="O19" t="s">
        <v>123</v>
      </c>
      <c r="P19" t="s">
        <v>124</v>
      </c>
      <c r="Q19" t="s">
        <v>126</v>
      </c>
      <c r="R19" t="s">
        <v>125</v>
      </c>
      <c r="T19" s="197"/>
      <c r="U19" s="197"/>
      <c r="V19" s="197"/>
      <c r="W19" s="197"/>
      <c r="Y19" s="70" t="s">
        <v>648</v>
      </c>
      <c r="Z19" s="68">
        <v>1</v>
      </c>
      <c r="AC19" s="121"/>
      <c r="AD19" s="122"/>
    </row>
    <row r="20" spans="1:30" x14ac:dyDescent="0.25">
      <c r="A20">
        <v>187404</v>
      </c>
      <c r="B20" t="s">
        <v>1119</v>
      </c>
      <c r="C20" t="s">
        <v>32</v>
      </c>
      <c r="D20" t="s">
        <v>1120</v>
      </c>
      <c r="E20" t="s">
        <v>84</v>
      </c>
      <c r="F20">
        <v>2</v>
      </c>
      <c r="G20" t="str">
        <f t="shared" si="0"/>
        <v>U</v>
      </c>
      <c r="H20" s="105"/>
      <c r="I20" s="109"/>
      <c r="J20"/>
      <c r="K20" s="72" t="s">
        <v>396</v>
      </c>
      <c r="L20" t="s">
        <v>120</v>
      </c>
      <c r="M20" s="68"/>
      <c r="N20" t="s">
        <v>2</v>
      </c>
      <c r="O20" s="64">
        <f>+R16/O12</f>
        <v>0.97674418604651159</v>
      </c>
      <c r="P20" s="64">
        <f t="shared" ref="P20:P21" si="3">+R16/R12</f>
        <v>0.8571428571428571</v>
      </c>
      <c r="Q20" s="64">
        <f>+O16/IF(ISERR(O12),1,O12)</f>
        <v>0.90697674418604646</v>
      </c>
      <c r="R20" s="64">
        <f>+P16/IF(ISERR(AC10),1,P12)</f>
        <v>0.5</v>
      </c>
      <c r="T20" s="197"/>
      <c r="U20" s="197"/>
      <c r="V20" s="197"/>
      <c r="W20" s="197"/>
      <c r="Y20" s="71" t="s">
        <v>667</v>
      </c>
      <c r="Z20" s="68">
        <v>1</v>
      </c>
      <c r="AC20" s="121"/>
      <c r="AD20" s="122"/>
    </row>
    <row r="21" spans="1:30" x14ac:dyDescent="0.25">
      <c r="A21">
        <v>187403</v>
      </c>
      <c r="B21" t="s">
        <v>1121</v>
      </c>
      <c r="C21" t="s">
        <v>33</v>
      </c>
      <c r="D21" t="s">
        <v>1122</v>
      </c>
      <c r="E21" t="s">
        <v>84</v>
      </c>
      <c r="F21">
        <v>1</v>
      </c>
      <c r="G21" s="73" t="str">
        <f t="shared" si="0"/>
        <v>U</v>
      </c>
      <c r="H21" s="105"/>
      <c r="I21" s="109"/>
      <c r="J21"/>
      <c r="K21" s="69" t="s">
        <v>122</v>
      </c>
      <c r="L21" s="68">
        <v>98</v>
      </c>
      <c r="M21" s="68"/>
      <c r="N21" t="s">
        <v>3</v>
      </c>
      <c r="O21" s="64">
        <f>+R17/O13</f>
        <v>1.0181818181818181</v>
      </c>
      <c r="P21" s="64">
        <f t="shared" si="3"/>
        <v>0.93333333333333335</v>
      </c>
      <c r="Q21" s="64">
        <f>+O17/IF(ISERR(O13),1,O13)</f>
        <v>0.92727272727272725</v>
      </c>
      <c r="R21" s="64">
        <f>+P17/IF(ISERR(AC11),1,P13)</f>
        <v>1</v>
      </c>
      <c r="T21" s="197"/>
      <c r="U21" s="197"/>
      <c r="V21" s="197"/>
      <c r="W21" s="197"/>
      <c r="Y21" s="69" t="s">
        <v>658</v>
      </c>
      <c r="Z21" s="68">
        <v>1</v>
      </c>
      <c r="AC21" s="121"/>
      <c r="AD21" s="122"/>
    </row>
    <row r="22" spans="1:30" x14ac:dyDescent="0.25">
      <c r="A22">
        <v>186980</v>
      </c>
      <c r="B22" t="s">
        <v>1130</v>
      </c>
      <c r="C22" t="s">
        <v>34</v>
      </c>
      <c r="D22" t="s">
        <v>1131</v>
      </c>
      <c r="E22" t="s">
        <v>179</v>
      </c>
      <c r="F22">
        <v>3</v>
      </c>
      <c r="G22" s="90" t="str">
        <f t="shared" si="0"/>
        <v>U</v>
      </c>
      <c r="H22" s="105"/>
      <c r="I22" s="109" t="s">
        <v>35</v>
      </c>
      <c r="J22"/>
      <c r="K22" s="71" t="s">
        <v>37</v>
      </c>
      <c r="L22" s="68">
        <v>43</v>
      </c>
      <c r="M22" s="68"/>
      <c r="T22" s="197"/>
      <c r="U22" s="197"/>
      <c r="V22" s="197"/>
      <c r="W22" s="197"/>
      <c r="Y22" s="69" t="s">
        <v>92</v>
      </c>
      <c r="Z22" s="68"/>
      <c r="AC22" s="121">
        <f>+GETPIVOTDATA("Story Points",$N$34,"Project","A","Added After",)</f>
        <v>36</v>
      </c>
      <c r="AD22" s="122">
        <f>+GETPIVOTDATA("Story Points",$N$34,"Project","A","Added After","Y")</f>
        <v>3</v>
      </c>
    </row>
    <row r="23" spans="1:30" ht="15.75" thickBot="1" x14ac:dyDescent="0.3">
      <c r="A23">
        <v>187014</v>
      </c>
      <c r="B23" t="s">
        <v>1138</v>
      </c>
      <c r="C23" t="s">
        <v>34</v>
      </c>
      <c r="D23" t="s">
        <v>1139</v>
      </c>
      <c r="E23" t="s">
        <v>108</v>
      </c>
      <c r="F23">
        <v>2</v>
      </c>
      <c r="G23" s="90" t="str">
        <f t="shared" si="0"/>
        <v>U</v>
      </c>
      <c r="H23" s="105"/>
      <c r="I23" s="109" t="s">
        <v>35</v>
      </c>
      <c r="J23"/>
      <c r="K23" s="70" t="s">
        <v>32</v>
      </c>
      <c r="L23" s="68">
        <v>4</v>
      </c>
      <c r="M23" s="68"/>
      <c r="N23" t="s">
        <v>49</v>
      </c>
      <c r="O23" t="s">
        <v>126</v>
      </c>
      <c r="P23" t="s">
        <v>125</v>
      </c>
      <c r="Q23" s="80" t="s">
        <v>239</v>
      </c>
      <c r="R23" t="s">
        <v>129</v>
      </c>
      <c r="T23" s="197"/>
      <c r="U23" s="197"/>
      <c r="V23" s="197"/>
      <c r="W23" s="197"/>
      <c r="Y23" s="71" t="s">
        <v>32</v>
      </c>
      <c r="Z23" s="68"/>
      <c r="AC23" s="123">
        <f>+GETPIVOTDATA("Story Points",$N$34,"Project","U","Added After",)</f>
        <v>45</v>
      </c>
      <c r="AD23" s="124">
        <f>+GETPIVOTDATA("Story Points",$N$34,"Project","U","Added After","Y")</f>
        <v>5</v>
      </c>
    </row>
    <row r="24" spans="1:30" x14ac:dyDescent="0.25">
      <c r="A24">
        <v>186578</v>
      </c>
      <c r="B24" t="s">
        <v>1224</v>
      </c>
      <c r="C24" t="s">
        <v>34</v>
      </c>
      <c r="D24" t="s">
        <v>1225</v>
      </c>
      <c r="E24" t="s">
        <v>152</v>
      </c>
      <c r="F24">
        <v>3</v>
      </c>
      <c r="G24" t="str">
        <f t="shared" si="0"/>
        <v>U</v>
      </c>
      <c r="H24" s="105"/>
      <c r="I24" s="109" t="s">
        <v>35</v>
      </c>
      <c r="J24"/>
      <c r="K24" s="70" t="s">
        <v>34</v>
      </c>
      <c r="L24" s="68">
        <v>39</v>
      </c>
      <c r="M24" s="68"/>
      <c r="N24" t="s">
        <v>2</v>
      </c>
      <c r="O24">
        <f>IFERROR(AC22,0)</f>
        <v>36</v>
      </c>
      <c r="P24">
        <f>IFERROR(AD22,0)</f>
        <v>3</v>
      </c>
      <c r="Q24">
        <f>+O12-Q12-Table7222936435750647178859299106[[#This Row],[Committed Done]]</f>
        <v>7</v>
      </c>
      <c r="R24">
        <f>+Table7222936435750647178859299106[[#This Row],[Committed Done]]+Table7222936435750647178859299106[[#This Row],[Added Done]]</f>
        <v>39</v>
      </c>
      <c r="T24" s="197"/>
      <c r="U24" s="197"/>
      <c r="V24" s="197"/>
      <c r="W24" s="197"/>
      <c r="Y24" s="70" t="s">
        <v>601</v>
      </c>
      <c r="Z24" s="68">
        <v>1</v>
      </c>
    </row>
    <row r="25" spans="1:30" x14ac:dyDescent="0.25">
      <c r="A25">
        <v>186326</v>
      </c>
      <c r="B25" t="s">
        <v>1146</v>
      </c>
      <c r="C25" t="s">
        <v>135</v>
      </c>
      <c r="D25" t="s">
        <v>1147</v>
      </c>
      <c r="E25" t="s">
        <v>179</v>
      </c>
      <c r="F25">
        <v>1</v>
      </c>
      <c r="G25" t="str">
        <f t="shared" si="0"/>
        <v>U</v>
      </c>
      <c r="H25" s="105"/>
      <c r="I25" s="109"/>
      <c r="J25"/>
      <c r="K25" s="71" t="s">
        <v>36</v>
      </c>
      <c r="L25" s="68">
        <v>55</v>
      </c>
      <c r="M25" s="68"/>
      <c r="N25" t="s">
        <v>3</v>
      </c>
      <c r="O25">
        <f>IFERROR(AC23,0)</f>
        <v>45</v>
      </c>
      <c r="P25">
        <f>IFERROR(AD23,0)</f>
        <v>5</v>
      </c>
      <c r="Q25">
        <f>+O13-Q13-Table7222936435750647178859299106[[#This Row],[Committed Done]]</f>
        <v>9</v>
      </c>
      <c r="R25">
        <f>+Table7222936435750647178859299106[[#This Row],[Committed Done]]+Table7222936435750647178859299106[[#This Row],[Added Done]]</f>
        <v>50</v>
      </c>
      <c r="T25" s="197"/>
      <c r="U25" s="197"/>
      <c r="V25" s="197"/>
      <c r="W25" s="197"/>
      <c r="Y25" s="71" t="s">
        <v>668</v>
      </c>
      <c r="Z25" s="68">
        <v>1</v>
      </c>
    </row>
    <row r="26" spans="1:30" x14ac:dyDescent="0.25">
      <c r="A26">
        <v>175163</v>
      </c>
      <c r="B26" t="s">
        <v>1152</v>
      </c>
      <c r="C26" t="s">
        <v>34</v>
      </c>
      <c r="D26" t="s">
        <v>1153</v>
      </c>
      <c r="E26" t="s">
        <v>152</v>
      </c>
      <c r="F26">
        <v>3</v>
      </c>
      <c r="G26" s="73" t="str">
        <f t="shared" si="0"/>
        <v>U</v>
      </c>
      <c r="H26" s="105"/>
      <c r="I26" s="109" t="s">
        <v>35</v>
      </c>
      <c r="J26"/>
      <c r="K26" s="70" t="s">
        <v>32</v>
      </c>
      <c r="L26" s="68">
        <v>2</v>
      </c>
      <c r="T26" s="197"/>
      <c r="U26" s="197"/>
      <c r="V26" s="197"/>
      <c r="W26" s="197"/>
      <c r="Y26" s="69" t="s">
        <v>659</v>
      </c>
      <c r="Z26" s="68">
        <v>1</v>
      </c>
    </row>
    <row r="27" spans="1:30" x14ac:dyDescent="0.25">
      <c r="A27">
        <v>164326</v>
      </c>
      <c r="B27" t="s">
        <v>853</v>
      </c>
      <c r="C27" t="s">
        <v>34</v>
      </c>
      <c r="D27" t="s">
        <v>1226</v>
      </c>
      <c r="E27" t="s">
        <v>155</v>
      </c>
      <c r="F27">
        <v>2</v>
      </c>
      <c r="G27" t="str">
        <f t="shared" si="0"/>
        <v>U</v>
      </c>
      <c r="H27" s="105"/>
      <c r="I27" s="109" t="s">
        <v>35</v>
      </c>
      <c r="J27"/>
      <c r="K27" s="70" t="s">
        <v>34</v>
      </c>
      <c r="L27" s="68">
        <v>51</v>
      </c>
      <c r="M27" s="68"/>
      <c r="N27" t="s">
        <v>49</v>
      </c>
      <c r="O27" t="s">
        <v>123</v>
      </c>
      <c r="P27" t="s">
        <v>124</v>
      </c>
      <c r="Q27" t="s">
        <v>126</v>
      </c>
      <c r="R27" t="s">
        <v>130</v>
      </c>
      <c r="T27" s="197"/>
      <c r="U27" s="197"/>
      <c r="V27" s="197"/>
      <c r="W27" s="197"/>
      <c r="Y27" s="69" t="s">
        <v>58</v>
      </c>
      <c r="Z27" s="68"/>
    </row>
    <row r="28" spans="1:30" x14ac:dyDescent="0.25">
      <c r="A28">
        <v>196965</v>
      </c>
      <c r="B28" t="s">
        <v>1227</v>
      </c>
      <c r="C28" t="s">
        <v>33</v>
      </c>
      <c r="D28" t="s">
        <v>1228</v>
      </c>
      <c r="E28" t="s">
        <v>61</v>
      </c>
      <c r="F28">
        <v>3</v>
      </c>
      <c r="G28" t="str">
        <f t="shared" si="0"/>
        <v>A</v>
      </c>
      <c r="H28" s="105" t="s">
        <v>35</v>
      </c>
      <c r="I28" s="109"/>
      <c r="J28"/>
      <c r="K28" s="70" t="s">
        <v>33</v>
      </c>
      <c r="L28" s="68">
        <v>1</v>
      </c>
      <c r="M28" s="68"/>
      <c r="N28" t="s">
        <v>2</v>
      </c>
      <c r="O28" s="64">
        <f>R24/IF(O12=0, 1,O12)</f>
        <v>0.90697674418604646</v>
      </c>
      <c r="P28" s="64">
        <f>R24/IF(R12=0,1,R12)</f>
        <v>0.79591836734693877</v>
      </c>
      <c r="Q28" s="64">
        <f>O24/IF(O12=0,1,O12)</f>
        <v>0.83720930232558144</v>
      </c>
      <c r="R28" s="64">
        <f>+P24/IF(P12=0,1,P12)</f>
        <v>0.5</v>
      </c>
      <c r="T28" s="197"/>
      <c r="U28" s="197"/>
      <c r="V28" s="197"/>
      <c r="W28" s="197"/>
      <c r="Y28" s="71" t="s">
        <v>32</v>
      </c>
      <c r="Z28" s="68"/>
    </row>
    <row r="29" spans="1:30" x14ac:dyDescent="0.25">
      <c r="A29">
        <v>195528</v>
      </c>
      <c r="B29" t="s">
        <v>1229</v>
      </c>
      <c r="C29" t="s">
        <v>34</v>
      </c>
      <c r="D29" t="s">
        <v>1230</v>
      </c>
      <c r="E29" t="s">
        <v>203</v>
      </c>
      <c r="F29">
        <v>3</v>
      </c>
      <c r="G29" s="73" t="str">
        <f t="shared" si="0"/>
        <v>A</v>
      </c>
      <c r="H29" s="105" t="s">
        <v>35</v>
      </c>
      <c r="I29" s="109" t="s">
        <v>35</v>
      </c>
      <c r="J29"/>
      <c r="K29" s="70" t="s">
        <v>135</v>
      </c>
      <c r="L29" s="68">
        <v>1</v>
      </c>
      <c r="M29" s="68"/>
      <c r="N29" t="s">
        <v>3</v>
      </c>
      <c r="O29" s="64">
        <f>R25/IF(R17=0, 1,O13)</f>
        <v>0.90909090909090906</v>
      </c>
      <c r="P29" s="64">
        <f>R25/IF(R13=0,1,R13)</f>
        <v>0.83333333333333337</v>
      </c>
      <c r="Q29" s="64">
        <f>O25/IF(O13=0,1,O13)</f>
        <v>0.81818181818181823</v>
      </c>
      <c r="R29" s="64">
        <f>+P25/IF(P13=0,1,P13)</f>
        <v>1</v>
      </c>
      <c r="T29" s="197"/>
      <c r="U29" s="197"/>
      <c r="V29" s="197"/>
      <c r="W29" s="197"/>
      <c r="Y29" s="70" t="s">
        <v>631</v>
      </c>
      <c r="Z29" s="68">
        <v>1</v>
      </c>
    </row>
    <row r="30" spans="1:30" x14ac:dyDescent="0.25">
      <c r="A30">
        <v>193083</v>
      </c>
      <c r="B30" t="s">
        <v>1231</v>
      </c>
      <c r="C30" t="s">
        <v>34</v>
      </c>
      <c r="D30" t="s">
        <v>1232</v>
      </c>
      <c r="E30" t="s">
        <v>196</v>
      </c>
      <c r="F30">
        <v>1</v>
      </c>
      <c r="G30" s="73" t="str">
        <f t="shared" si="0"/>
        <v>A</v>
      </c>
      <c r="H30" s="105"/>
      <c r="I30" s="109" t="s">
        <v>35</v>
      </c>
      <c r="J30"/>
      <c r="K30" s="71" t="s">
        <v>735</v>
      </c>
      <c r="L30" s="68"/>
      <c r="M30" s="68"/>
      <c r="T30" s="197"/>
      <c r="U30" s="197"/>
      <c r="V30" s="197"/>
      <c r="W30" s="197"/>
      <c r="Y30" s="71" t="s">
        <v>668</v>
      </c>
      <c r="Z30" s="68">
        <v>1</v>
      </c>
    </row>
    <row r="31" spans="1:30" x14ac:dyDescent="0.25">
      <c r="A31">
        <v>193081</v>
      </c>
      <c r="B31" t="s">
        <v>1233</v>
      </c>
      <c r="C31" t="s">
        <v>34</v>
      </c>
      <c r="D31" t="s">
        <v>1234</v>
      </c>
      <c r="E31" t="s">
        <v>196</v>
      </c>
      <c r="F31">
        <v>3</v>
      </c>
      <c r="G31" s="90" t="str">
        <f t="shared" si="0"/>
        <v>A</v>
      </c>
      <c r="H31" s="105"/>
      <c r="I31" s="109" t="s">
        <v>35</v>
      </c>
      <c r="J31"/>
      <c r="K31" s="70" t="s">
        <v>122</v>
      </c>
      <c r="L31" s="68"/>
      <c r="M31" s="68"/>
      <c r="T31" s="197"/>
      <c r="U31" s="197"/>
      <c r="V31" s="197"/>
      <c r="W31" s="197"/>
      <c r="Y31" s="69" t="s">
        <v>660</v>
      </c>
      <c r="Z31" s="68">
        <v>1</v>
      </c>
    </row>
    <row r="32" spans="1:30" x14ac:dyDescent="0.25">
      <c r="A32">
        <v>193072</v>
      </c>
      <c r="B32" t="s">
        <v>1235</v>
      </c>
      <c r="C32" t="s">
        <v>34</v>
      </c>
      <c r="D32" t="s">
        <v>1236</v>
      </c>
      <c r="E32" t="s">
        <v>196</v>
      </c>
      <c r="F32">
        <v>2</v>
      </c>
      <c r="G32" t="str">
        <f t="shared" si="0"/>
        <v>A</v>
      </c>
      <c r="H32" s="105"/>
      <c r="I32" s="109" t="s">
        <v>35</v>
      </c>
      <c r="J32"/>
      <c r="K32" s="69" t="s">
        <v>35</v>
      </c>
      <c r="L32" s="68">
        <v>11</v>
      </c>
      <c r="N32" s="72" t="s">
        <v>144</v>
      </c>
      <c r="O32" s="160" t="s">
        <v>35</v>
      </c>
      <c r="T32" s="197"/>
      <c r="U32" s="197"/>
      <c r="V32" s="197"/>
      <c r="W32" s="197"/>
      <c r="Y32" s="69" t="s">
        <v>235</v>
      </c>
      <c r="Z32" s="68"/>
    </row>
    <row r="33" spans="1:26" x14ac:dyDescent="0.25">
      <c r="A33">
        <v>192977</v>
      </c>
      <c r="B33" t="s">
        <v>1237</v>
      </c>
      <c r="C33" t="s">
        <v>34</v>
      </c>
      <c r="D33" t="s">
        <v>1238</v>
      </c>
      <c r="E33" t="s">
        <v>152</v>
      </c>
      <c r="F33">
        <v>5</v>
      </c>
      <c r="G33" s="90" t="str">
        <f t="shared" si="0"/>
        <v>A</v>
      </c>
      <c r="H33" s="105"/>
      <c r="I33" s="109" t="s">
        <v>35</v>
      </c>
      <c r="J33"/>
      <c r="K33" s="71" t="s">
        <v>37</v>
      </c>
      <c r="L33" s="68">
        <v>6</v>
      </c>
      <c r="T33" s="197"/>
      <c r="U33" s="197"/>
      <c r="V33" s="197"/>
      <c r="W33" s="197"/>
      <c r="Y33" s="71" t="s">
        <v>33</v>
      </c>
      <c r="Z33" s="68"/>
    </row>
    <row r="34" spans="1:26" x14ac:dyDescent="0.25">
      <c r="A34">
        <v>192976</v>
      </c>
      <c r="B34" t="s">
        <v>1239</v>
      </c>
      <c r="C34" t="s">
        <v>34</v>
      </c>
      <c r="D34" t="s">
        <v>1177</v>
      </c>
      <c r="E34" t="s">
        <v>152</v>
      </c>
      <c r="F34">
        <v>5</v>
      </c>
      <c r="G34" t="str">
        <f t="shared" si="0"/>
        <v>A</v>
      </c>
      <c r="H34" s="105"/>
      <c r="I34" s="109" t="s">
        <v>35</v>
      </c>
      <c r="J34"/>
      <c r="K34" s="70" t="s">
        <v>34</v>
      </c>
      <c r="L34" s="68">
        <v>3</v>
      </c>
      <c r="N34" s="72" t="s">
        <v>655</v>
      </c>
      <c r="O34" t="s">
        <v>50</v>
      </c>
      <c r="T34" s="197"/>
      <c r="U34" s="197"/>
      <c r="V34" s="197"/>
      <c r="W34" s="197"/>
      <c r="Y34" s="70" t="s">
        <v>581</v>
      </c>
      <c r="Z34" s="68">
        <v>1</v>
      </c>
    </row>
    <row r="35" spans="1:26" x14ac:dyDescent="0.25">
      <c r="A35">
        <v>193200</v>
      </c>
      <c r="B35" t="s">
        <v>1240</v>
      </c>
      <c r="C35" t="s">
        <v>34</v>
      </c>
      <c r="D35" t="s">
        <v>1241</v>
      </c>
      <c r="E35" t="s">
        <v>217</v>
      </c>
      <c r="F35">
        <v>3</v>
      </c>
      <c r="G35" t="str">
        <f t="shared" si="0"/>
        <v>A</v>
      </c>
      <c r="H35" s="105"/>
      <c r="I35" s="109" t="s">
        <v>35</v>
      </c>
      <c r="J35"/>
      <c r="K35" s="70" t="s">
        <v>33</v>
      </c>
      <c r="L35" s="68">
        <v>3</v>
      </c>
      <c r="N35" s="69" t="s">
        <v>37</v>
      </c>
      <c r="O35" s="68"/>
      <c r="Q35">
        <f>77/99</f>
        <v>0.77777777777777779</v>
      </c>
      <c r="T35" s="197"/>
      <c r="U35" s="197"/>
      <c r="V35" s="197"/>
      <c r="W35" s="197"/>
      <c r="Y35" s="71" t="s">
        <v>667</v>
      </c>
      <c r="Z35" s="68">
        <v>1</v>
      </c>
    </row>
    <row r="36" spans="1:26" x14ac:dyDescent="0.25">
      <c r="A36">
        <v>192798</v>
      </c>
      <c r="B36" t="s">
        <v>1242</v>
      </c>
      <c r="C36" t="s">
        <v>34</v>
      </c>
      <c r="D36" t="s">
        <v>1243</v>
      </c>
      <c r="E36" t="s">
        <v>217</v>
      </c>
      <c r="F36">
        <v>3</v>
      </c>
      <c r="G36" t="str">
        <f t="shared" si="0"/>
        <v>A</v>
      </c>
      <c r="H36" s="105"/>
      <c r="I36" s="109" t="s">
        <v>35</v>
      </c>
      <c r="J36"/>
      <c r="K36" s="71" t="s">
        <v>36</v>
      </c>
      <c r="L36" s="68">
        <v>5</v>
      </c>
      <c r="N36" s="71" t="s">
        <v>122</v>
      </c>
      <c r="O36" s="68">
        <v>36</v>
      </c>
      <c r="T36" s="197"/>
      <c r="U36" s="197"/>
      <c r="V36" s="197"/>
      <c r="W36" s="197"/>
      <c r="Y36" s="69" t="s">
        <v>661</v>
      </c>
      <c r="Z36" s="68">
        <v>1</v>
      </c>
    </row>
    <row r="37" spans="1:26" x14ac:dyDescent="0.25">
      <c r="A37">
        <v>192796</v>
      </c>
      <c r="B37" t="s">
        <v>1244</v>
      </c>
      <c r="C37" t="s">
        <v>34</v>
      </c>
      <c r="D37" t="s">
        <v>1245</v>
      </c>
      <c r="E37" t="s">
        <v>217</v>
      </c>
      <c r="F37">
        <v>3</v>
      </c>
      <c r="G37" s="73" t="str">
        <f t="shared" si="0"/>
        <v>A</v>
      </c>
      <c r="H37" s="105"/>
      <c r="I37" s="109" t="s">
        <v>35</v>
      </c>
      <c r="J37"/>
      <c r="K37" s="70" t="s">
        <v>34</v>
      </c>
      <c r="L37" s="68">
        <v>5</v>
      </c>
      <c r="N37" s="71" t="s">
        <v>35</v>
      </c>
      <c r="O37" s="68">
        <v>3</v>
      </c>
      <c r="T37" s="197"/>
      <c r="U37" s="197"/>
      <c r="V37" s="197"/>
      <c r="W37" s="197"/>
      <c r="Y37" s="69" t="s">
        <v>89</v>
      </c>
      <c r="Z37" s="68"/>
    </row>
    <row r="38" spans="1:26" x14ac:dyDescent="0.25">
      <c r="A38">
        <v>192794</v>
      </c>
      <c r="B38" t="s">
        <v>1246</v>
      </c>
      <c r="C38" t="s">
        <v>34</v>
      </c>
      <c r="D38" t="s">
        <v>1247</v>
      </c>
      <c r="E38" t="s">
        <v>217</v>
      </c>
      <c r="F38">
        <v>3</v>
      </c>
      <c r="G38" t="str">
        <f t="shared" si="0"/>
        <v>A</v>
      </c>
      <c r="H38" s="105"/>
      <c r="I38" s="109" t="s">
        <v>35</v>
      </c>
      <c r="J38"/>
      <c r="K38" s="69" t="s">
        <v>31</v>
      </c>
      <c r="L38" s="68">
        <v>109</v>
      </c>
      <c r="N38" s="69" t="s">
        <v>131</v>
      </c>
      <c r="O38" s="68">
        <v>39</v>
      </c>
      <c r="T38" s="197"/>
      <c r="U38" s="197"/>
      <c r="V38" s="197"/>
      <c r="W38" s="197"/>
      <c r="Y38" s="71" t="s">
        <v>33</v>
      </c>
      <c r="Z38" s="68"/>
    </row>
    <row r="39" spans="1:26" x14ac:dyDescent="0.25">
      <c r="A39">
        <v>186857</v>
      </c>
      <c r="B39" t="s">
        <v>1168</v>
      </c>
      <c r="C39" t="s">
        <v>34</v>
      </c>
      <c r="D39" t="s">
        <v>1169</v>
      </c>
      <c r="E39" t="s">
        <v>203</v>
      </c>
      <c r="F39">
        <v>3</v>
      </c>
      <c r="G39" t="str">
        <f t="shared" si="0"/>
        <v>A</v>
      </c>
      <c r="H39" s="105"/>
      <c r="I39" s="109" t="s">
        <v>307</v>
      </c>
      <c r="J39"/>
      <c r="M39" s="68"/>
      <c r="N39" s="69" t="s">
        <v>36</v>
      </c>
      <c r="O39" s="68"/>
      <c r="T39" s="197"/>
      <c r="U39" s="197"/>
      <c r="V39" s="197"/>
      <c r="W39" s="197"/>
      <c r="Y39" s="70" t="s">
        <v>597</v>
      </c>
      <c r="Z39" s="68">
        <v>1</v>
      </c>
    </row>
    <row r="40" spans="1:26" x14ac:dyDescent="0.25">
      <c r="A40">
        <v>153706</v>
      </c>
      <c r="B40" t="s">
        <v>722</v>
      </c>
      <c r="C40" t="s">
        <v>34</v>
      </c>
      <c r="D40" t="s">
        <v>723</v>
      </c>
      <c r="E40" t="s">
        <v>155</v>
      </c>
      <c r="F40">
        <v>2</v>
      </c>
      <c r="G40" s="90" t="str">
        <f t="shared" si="0"/>
        <v>A</v>
      </c>
      <c r="H40" s="105"/>
      <c r="I40" s="109" t="s">
        <v>35</v>
      </c>
      <c r="J40"/>
      <c r="M40" s="68"/>
      <c r="N40" s="71" t="s">
        <v>122</v>
      </c>
      <c r="O40" s="68">
        <v>45</v>
      </c>
      <c r="T40" s="197"/>
      <c r="U40" s="197"/>
      <c r="V40" s="197"/>
      <c r="W40" s="197"/>
      <c r="Y40" s="71" t="s">
        <v>667</v>
      </c>
      <c r="Z40" s="68">
        <v>1</v>
      </c>
    </row>
    <row r="41" spans="1:26" x14ac:dyDescent="0.25">
      <c r="A41">
        <v>150931</v>
      </c>
      <c r="B41" t="s">
        <v>1182</v>
      </c>
      <c r="C41" t="s">
        <v>32</v>
      </c>
      <c r="D41" t="s">
        <v>1183</v>
      </c>
      <c r="E41" t="s">
        <v>61</v>
      </c>
      <c r="F41">
        <v>2</v>
      </c>
      <c r="G41" s="90" t="str">
        <f t="shared" si="0"/>
        <v>A</v>
      </c>
      <c r="H41" s="105"/>
      <c r="I41" s="109"/>
      <c r="J41"/>
      <c r="M41" s="68"/>
      <c r="N41" s="71" t="s">
        <v>35</v>
      </c>
      <c r="O41" s="68">
        <v>5</v>
      </c>
      <c r="Y41" s="69" t="s">
        <v>662</v>
      </c>
      <c r="Z41" s="68">
        <v>1</v>
      </c>
    </row>
    <row r="42" spans="1:26" x14ac:dyDescent="0.25">
      <c r="A42">
        <v>139794</v>
      </c>
      <c r="B42" t="s">
        <v>1026</v>
      </c>
      <c r="C42" t="s">
        <v>34</v>
      </c>
      <c r="D42" t="s">
        <v>1027</v>
      </c>
      <c r="E42" t="s">
        <v>236</v>
      </c>
      <c r="F42">
        <v>3</v>
      </c>
      <c r="G42" s="90" t="str">
        <f t="shared" si="0"/>
        <v>A</v>
      </c>
      <c r="H42" s="105"/>
      <c r="I42" s="109"/>
      <c r="J42"/>
      <c r="M42" s="68"/>
      <c r="N42" s="69" t="s">
        <v>132</v>
      </c>
      <c r="O42" s="68">
        <v>50</v>
      </c>
      <c r="Y42" s="69" t="s">
        <v>81</v>
      </c>
      <c r="Z42" s="68"/>
    </row>
    <row r="43" spans="1:26" x14ac:dyDescent="0.25">
      <c r="A43">
        <v>136360</v>
      </c>
      <c r="B43" t="s">
        <v>1028</v>
      </c>
      <c r="C43" t="s">
        <v>34</v>
      </c>
      <c r="D43" t="s">
        <v>1029</v>
      </c>
      <c r="E43" t="s">
        <v>203</v>
      </c>
      <c r="F43">
        <v>3</v>
      </c>
      <c r="G43" s="90" t="str">
        <f t="shared" si="0"/>
        <v>A</v>
      </c>
      <c r="H43" s="105"/>
      <c r="I43" s="109" t="s">
        <v>35</v>
      </c>
      <c r="J43"/>
      <c r="M43" s="68"/>
      <c r="N43" s="69" t="s">
        <v>31</v>
      </c>
      <c r="O43" s="68">
        <v>89</v>
      </c>
      <c r="Y43" s="71" t="s">
        <v>33</v>
      </c>
      <c r="Z43" s="68"/>
    </row>
    <row r="44" spans="1:26" x14ac:dyDescent="0.25">
      <c r="A44">
        <v>132864</v>
      </c>
      <c r="B44" t="s">
        <v>1248</v>
      </c>
      <c r="C44" t="s">
        <v>32</v>
      </c>
      <c r="D44" t="s">
        <v>1249</v>
      </c>
      <c r="E44" t="s">
        <v>61</v>
      </c>
      <c r="F44">
        <v>2</v>
      </c>
      <c r="G44" s="90" t="str">
        <f t="shared" si="0"/>
        <v>A</v>
      </c>
      <c r="H44" s="105"/>
      <c r="I44" s="109"/>
      <c r="J44"/>
      <c r="M44" s="68"/>
      <c r="Y44" s="70" t="s">
        <v>589</v>
      </c>
      <c r="Z44" s="68">
        <v>1</v>
      </c>
    </row>
    <row r="45" spans="1:26" x14ac:dyDescent="0.25">
      <c r="C45"/>
      <c r="G45" s="90" t="str">
        <f t="shared" si="0"/>
        <v/>
      </c>
      <c r="H45" s="105"/>
      <c r="I45" s="109"/>
      <c r="J45"/>
      <c r="M45" s="68"/>
      <c r="Y45" s="71" t="s">
        <v>667</v>
      </c>
      <c r="Z45" s="68">
        <v>1</v>
      </c>
    </row>
    <row r="46" spans="1:26" x14ac:dyDescent="0.25">
      <c r="A46" s="90"/>
      <c r="B46" s="105"/>
      <c r="C46" s="105"/>
      <c r="D46" s="105"/>
      <c r="E46" s="107"/>
      <c r="F46" s="105"/>
      <c r="G46" s="90" t="str">
        <f t="shared" si="0"/>
        <v/>
      </c>
      <c r="H46" s="105"/>
      <c r="I46" s="109"/>
      <c r="J46"/>
      <c r="M46" s="68"/>
      <c r="Y46" s="69" t="s">
        <v>663</v>
      </c>
      <c r="Z46" s="68">
        <v>1</v>
      </c>
    </row>
    <row r="47" spans="1:26" x14ac:dyDescent="0.25">
      <c r="A47" s="73"/>
      <c r="C47"/>
      <c r="G47" s="73" t="str">
        <f t="shared" si="0"/>
        <v/>
      </c>
      <c r="H47" s="105"/>
      <c r="I47" s="109"/>
      <c r="J47"/>
      <c r="M47" s="68"/>
      <c r="Y47" s="69" t="s">
        <v>236</v>
      </c>
      <c r="Z47" s="68"/>
    </row>
    <row r="48" spans="1:26" x14ac:dyDescent="0.25">
      <c r="A48" s="90"/>
      <c r="C48"/>
      <c r="G48" s="90" t="str">
        <f t="shared" si="0"/>
        <v/>
      </c>
      <c r="H48" s="105"/>
      <c r="I48" s="109"/>
      <c r="J48"/>
      <c r="Y48" s="71" t="s">
        <v>33</v>
      </c>
      <c r="Z48" s="68"/>
    </row>
    <row r="49" spans="1:26" x14ac:dyDescent="0.25">
      <c r="A49" s="90"/>
      <c r="C49"/>
      <c r="G49" s="90" t="str">
        <f t="shared" si="0"/>
        <v/>
      </c>
      <c r="H49" s="105"/>
      <c r="I49" s="109"/>
      <c r="J49"/>
      <c r="Y49" s="70" t="s">
        <v>533</v>
      </c>
      <c r="Z49" s="68">
        <v>1</v>
      </c>
    </row>
    <row r="50" spans="1:26" x14ac:dyDescent="0.25">
      <c r="A50" s="73"/>
      <c r="C50"/>
      <c r="F50" s="13"/>
      <c r="G50" s="73" t="str">
        <f t="shared" si="0"/>
        <v/>
      </c>
      <c r="H50" s="105"/>
      <c r="I50" s="109"/>
      <c r="J50"/>
      <c r="Y50" s="71" t="s">
        <v>667</v>
      </c>
      <c r="Z50" s="68">
        <v>1</v>
      </c>
    </row>
    <row r="51" spans="1:26" x14ac:dyDescent="0.25">
      <c r="A51" s="90"/>
      <c r="C51"/>
      <c r="G51" s="90" t="str">
        <f t="shared" si="0"/>
        <v/>
      </c>
      <c r="H51" s="105"/>
      <c r="I51" s="109"/>
      <c r="J51"/>
      <c r="Y51" s="71" t="s">
        <v>32</v>
      </c>
      <c r="Z51" s="68"/>
    </row>
    <row r="52" spans="1:26" x14ac:dyDescent="0.25">
      <c r="A52" s="90"/>
      <c r="C52"/>
      <c r="G52" s="90" t="str">
        <f t="shared" si="0"/>
        <v/>
      </c>
      <c r="H52" s="105"/>
      <c r="I52" s="109"/>
      <c r="J52"/>
      <c r="Y52" s="70" t="s">
        <v>567</v>
      </c>
      <c r="Z52" s="68">
        <v>1</v>
      </c>
    </row>
    <row r="53" spans="1:26" x14ac:dyDescent="0.25">
      <c r="A53" s="90"/>
      <c r="C53"/>
      <c r="G53" s="90" t="str">
        <f t="shared" si="0"/>
        <v/>
      </c>
      <c r="H53" s="105"/>
      <c r="I53" s="109"/>
      <c r="J53"/>
      <c r="K53" t="s">
        <v>669</v>
      </c>
      <c r="Y53" s="70" t="s">
        <v>633</v>
      </c>
      <c r="Z53" s="68">
        <v>1</v>
      </c>
    </row>
    <row r="54" spans="1:26" x14ac:dyDescent="0.25">
      <c r="B54" s="106"/>
      <c r="D54" s="106"/>
      <c r="E54" s="106"/>
      <c r="F54" s="106"/>
      <c r="J54"/>
      <c r="M54" s="68"/>
      <c r="Y54" s="71" t="s">
        <v>668</v>
      </c>
      <c r="Z54" s="68">
        <v>2</v>
      </c>
    </row>
    <row r="55" spans="1:26" x14ac:dyDescent="0.25">
      <c r="B55" s="106"/>
      <c r="D55" s="106"/>
      <c r="E55" s="106"/>
      <c r="F55" s="106"/>
      <c r="J55"/>
      <c r="M55" s="68"/>
      <c r="Y55" s="69" t="s">
        <v>664</v>
      </c>
      <c r="Z55" s="68">
        <v>3</v>
      </c>
    </row>
    <row r="56" spans="1:26" x14ac:dyDescent="0.25">
      <c r="J56"/>
      <c r="K56" s="71"/>
      <c r="L56" s="68"/>
      <c r="M56" s="68"/>
      <c r="Y56" s="69" t="s">
        <v>72</v>
      </c>
      <c r="Z56" s="68"/>
    </row>
    <row r="57" spans="1:26" x14ac:dyDescent="0.25">
      <c r="J57"/>
      <c r="K57" s="69"/>
      <c r="L57" s="68"/>
      <c r="Y57" s="71" t="s">
        <v>32</v>
      </c>
      <c r="Z57" s="68"/>
    </row>
    <row r="58" spans="1:26" x14ac:dyDescent="0.25">
      <c r="J58"/>
      <c r="K58" s="69"/>
      <c r="L58" s="68"/>
      <c r="Y58" s="70" t="s">
        <v>599</v>
      </c>
      <c r="Z58" s="68">
        <v>1</v>
      </c>
    </row>
    <row r="59" spans="1:26" x14ac:dyDescent="0.25">
      <c r="J59"/>
      <c r="Y59" s="70" t="s">
        <v>603</v>
      </c>
      <c r="Z59" s="68">
        <v>1</v>
      </c>
    </row>
    <row r="60" spans="1:26" x14ac:dyDescent="0.25">
      <c r="J60"/>
      <c r="Y60" s="71" t="s">
        <v>668</v>
      </c>
      <c r="Z60" s="68">
        <v>2</v>
      </c>
    </row>
    <row r="61" spans="1:26" x14ac:dyDescent="0.25">
      <c r="J61"/>
      <c r="Y61" s="69" t="s">
        <v>665</v>
      </c>
      <c r="Z61" s="68">
        <v>2</v>
      </c>
    </row>
    <row r="62" spans="1:26" x14ac:dyDescent="0.25">
      <c r="J62"/>
      <c r="Y62" s="69" t="s">
        <v>31</v>
      </c>
      <c r="Z62" s="68">
        <v>16</v>
      </c>
    </row>
  </sheetData>
  <sheetProtection sort="0" autoFilter="0" pivotTables="0"/>
  <mergeCells count="2">
    <mergeCell ref="AC9:AD9"/>
    <mergeCell ref="T17:W40"/>
  </mergeCells>
  <conditionalFormatting sqref="I2:I53">
    <cfRule type="expression" dxfId="728" priority="26">
      <formula>$C2="Done"</formula>
    </cfRule>
  </conditionalFormatting>
  <conditionalFormatting sqref="C2:C48">
    <cfRule type="expression" dxfId="727" priority="24">
      <formula>C2="Blocked"</formula>
    </cfRule>
    <cfRule type="expression" dxfId="726" priority="25">
      <formula>C2="Done"</formula>
    </cfRule>
  </conditionalFormatting>
  <conditionalFormatting sqref="I2:I53">
    <cfRule type="expression" dxfId="725" priority="23" stopIfTrue="1">
      <formula>IF(C2="Done", IF(I2&lt;&gt;"Y",TRUE,FALSE),FALSE)</formula>
    </cfRule>
  </conditionalFormatting>
  <conditionalFormatting sqref="S2:S4">
    <cfRule type="expression" dxfId="724" priority="22">
      <formula>IF(S2&lt;0.8, TRUE, IF(S2&gt;1.2, TRUE, FALSE))</formula>
    </cfRule>
  </conditionalFormatting>
  <conditionalFormatting sqref="D34:E40">
    <cfRule type="expression" dxfId="723" priority="19">
      <formula>D34="Blocked"</formula>
    </cfRule>
    <cfRule type="expression" dxfId="722" priority="20">
      <formula>D34="Done"</formula>
    </cfRule>
  </conditionalFormatting>
  <conditionalFormatting sqref="C49">
    <cfRule type="expression" dxfId="721" priority="17">
      <formula>C49="Blocked"</formula>
    </cfRule>
    <cfRule type="expression" dxfId="720" priority="18">
      <formula>C49="Done"</formula>
    </cfRule>
  </conditionalFormatting>
  <conditionalFormatting sqref="C50:C52">
    <cfRule type="expression" dxfId="719" priority="15">
      <formula>C50="Blocked"</formula>
    </cfRule>
    <cfRule type="expression" dxfId="718" priority="16">
      <formula>C50="Done"</formula>
    </cfRule>
  </conditionalFormatting>
  <conditionalFormatting sqref="C53">
    <cfRule type="expression" dxfId="717" priority="13">
      <formula>C53="Blocked"</formula>
    </cfRule>
    <cfRule type="expression" dxfId="716" priority="14">
      <formula>C53="Done"</formula>
    </cfRule>
  </conditionalFormatting>
  <conditionalFormatting sqref="P7:R9">
    <cfRule type="expression" dxfId="715" priority="2">
      <formula>P7&gt;0.2</formula>
    </cfRule>
    <cfRule type="expression" dxfId="714" priority="3">
      <formula>P7&gt;0.4</formula>
    </cfRule>
  </conditionalFormatting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8" name="Button 1">
              <controlPr defaultSize="0" print="0" autoFill="0" autoPict="0" macro="[0]!ResetAndLock">
                <anchor moveWithCells="1" sizeWithCells="1">
                  <from>
                    <xdr:col>18</xdr:col>
                    <xdr:colOff>952500</xdr:colOff>
                    <xdr:row>8</xdr:row>
                    <xdr:rowOff>9525</xdr:rowOff>
                  </from>
                  <to>
                    <xdr:col>23</xdr:col>
                    <xdr:colOff>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8">
    <tablePart r:id="rId9"/>
    <tablePart r:id="rId10"/>
    <tablePart r:id="rId11"/>
    <tablePart r:id="rId12"/>
    <tablePart r:id="rId13"/>
    <tablePart r:id="rId14"/>
    <tablePart r:id="rId15"/>
    <tablePart r:id="rId1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1CB6A472-6221-42CA-9F92-204545D75FCE}">
            <x14:iconSet iconSet="4Arrows" custom="1">
              <x14:cfvo type="percent">
                <xm:f>0</xm:f>
              </x14:cfvo>
              <x14:cfvo type="num">
                <xm:f>0.2</xm:f>
              </x14:cfvo>
              <x14:cfvo type="num">
                <xm:f>0.3</xm:f>
              </x14:cfvo>
              <x14:cfvo type="num">
                <xm:f>0.5</xm:f>
              </x14:cfvo>
              <x14:cfIcon iconSet="3Symbols2" iconId="2"/>
              <x14:cfIcon iconSet="3Flags" iconId="1"/>
              <x14:cfIcon iconSet="3Symbols" iconId="1"/>
              <x14:cfIcon iconSet="3Symbols" iconId="0"/>
            </x14:iconSet>
          </x14:cfRule>
          <xm:sqref>P7:R9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7"/>
  <dimension ref="A1:AD64"/>
  <sheetViews>
    <sheetView topLeftCell="C2" zoomScaleNormal="100" workbookViewId="0">
      <selection activeCell="O6" sqref="O6:R8"/>
    </sheetView>
  </sheetViews>
  <sheetFormatPr defaultRowHeight="15" x14ac:dyDescent="0.25"/>
  <cols>
    <col min="2" max="2" width="12.28515625" customWidth="1"/>
    <col min="3" max="3" width="11" style="106" customWidth="1"/>
    <col min="4" max="4" width="56.28515625" customWidth="1"/>
    <col min="5" max="5" width="13.140625" customWidth="1"/>
    <col min="6" max="6" width="13.85546875" bestFit="1" customWidth="1"/>
    <col min="8" max="8" width="14.140625" bestFit="1" customWidth="1"/>
    <col min="9" max="9" width="14.140625" style="106" bestFit="1" customWidth="1"/>
    <col min="10" max="10" width="10.85546875" style="106" customWidth="1"/>
    <col min="11" max="11" width="14.42578125" bestFit="1" customWidth="1"/>
    <col min="12" max="13" width="6.42578125" bestFit="1" customWidth="1"/>
    <col min="14" max="14" width="11.28515625" bestFit="1" customWidth="1"/>
    <col min="15" max="15" width="18.42578125" bestFit="1" customWidth="1"/>
    <col min="16" max="16" width="18.42578125" customWidth="1"/>
    <col min="17" max="17" width="19" customWidth="1"/>
    <col min="18" max="18" width="16.28515625" customWidth="1"/>
    <col min="19" max="19" width="16.5703125" customWidth="1"/>
    <col min="20" max="20" width="14.5703125" customWidth="1"/>
    <col min="21" max="21" width="18.140625" customWidth="1"/>
    <col min="22" max="22" width="1.42578125" customWidth="1"/>
    <col min="23" max="23" width="11" customWidth="1"/>
    <col min="24" max="24" width="10.85546875" customWidth="1"/>
    <col min="25" max="25" width="9.140625" customWidth="1"/>
    <col min="26" max="26" width="78.85546875" customWidth="1"/>
    <col min="27" max="27" width="14.5703125" customWidth="1"/>
    <col min="28" max="28" width="9.140625" customWidth="1"/>
    <col min="29" max="29" width="11.5703125" customWidth="1"/>
    <col min="30" max="32" width="9.140625" customWidth="1"/>
  </cols>
  <sheetData>
    <row r="1" spans="1:30" ht="30.75" customHeight="1" x14ac:dyDescent="0.25">
      <c r="A1" t="s">
        <v>231</v>
      </c>
      <c r="B1" t="s">
        <v>48</v>
      </c>
      <c r="C1" s="106" t="s">
        <v>47</v>
      </c>
      <c r="D1" t="s">
        <v>46</v>
      </c>
      <c r="E1" t="s">
        <v>45</v>
      </c>
      <c r="F1" t="s">
        <v>38</v>
      </c>
      <c r="G1" t="s">
        <v>44</v>
      </c>
      <c r="H1" s="106" t="s">
        <v>43</v>
      </c>
      <c r="I1" s="106" t="s">
        <v>144</v>
      </c>
      <c r="J1"/>
      <c r="N1" t="s">
        <v>133</v>
      </c>
      <c r="O1" t="s">
        <v>134</v>
      </c>
      <c r="P1" t="s">
        <v>41</v>
      </c>
      <c r="Q1" t="s">
        <v>135</v>
      </c>
      <c r="R1" t="s">
        <v>136</v>
      </c>
      <c r="S1" s="86" t="s">
        <v>143</v>
      </c>
      <c r="T1" s="86" t="s">
        <v>141</v>
      </c>
      <c r="U1" s="159" t="s">
        <v>142</v>
      </c>
      <c r="V1" s="86" t="s">
        <v>1108</v>
      </c>
      <c r="W1" s="86" t="s">
        <v>145</v>
      </c>
      <c r="Y1" t="s">
        <v>39</v>
      </c>
      <c r="Z1" t="s">
        <v>666</v>
      </c>
    </row>
    <row r="2" spans="1:30" x14ac:dyDescent="0.25">
      <c r="A2">
        <v>192309</v>
      </c>
      <c r="B2" t="s">
        <v>1111</v>
      </c>
      <c r="C2" t="s">
        <v>34</v>
      </c>
      <c r="D2" t="s">
        <v>1112</v>
      </c>
      <c r="E2" t="s">
        <v>155</v>
      </c>
      <c r="F2">
        <v>1</v>
      </c>
      <c r="G2" t="str">
        <f t="shared" ref="G2:G62" si="0">MID(B2,4,1)</f>
        <v>U</v>
      </c>
      <c r="H2" s="105" t="s">
        <v>35</v>
      </c>
      <c r="I2" s="109" t="s">
        <v>35</v>
      </c>
      <c r="J2"/>
      <c r="K2" s="72" t="s">
        <v>119</v>
      </c>
      <c r="L2" t="s">
        <v>120</v>
      </c>
      <c r="N2" t="s">
        <v>2</v>
      </c>
      <c r="O2">
        <f>+O12-Table92431384559526673808794101[[#This Row],[Blocked]]</f>
        <v>41</v>
      </c>
      <c r="P2">
        <f>IF(ISERR(P12),0,P12)</f>
        <v>1</v>
      </c>
      <c r="Q2">
        <f>IF(ISERR(Q12),0,Q12)</f>
        <v>0</v>
      </c>
      <c r="R2">
        <f>+IF(ISERR(R16),0,R16)</f>
        <v>30</v>
      </c>
      <c r="S2" s="88">
        <f>Table92431384559526673808794101[[#This Row],[Completed]]/Table92431384559526673808794101[[#This Row],[Committed]]</f>
        <v>0.73170731707317072</v>
      </c>
      <c r="T2" s="83">
        <f>Table92431384559526673808794101[[#This Row],[Completed]]/(Table92431384559526673808794101[[#This Row],[Added]]+Table92431384559526673808794101[[#This Row],[Committed]])</f>
        <v>0.7142857142857143</v>
      </c>
      <c r="V2" s="84" t="str">
        <f>IF(ISERR(O16),0,O16) &amp; "  (" &amp;TEXT(IF(ISERR(O16),0,O16)/Table92431384559526673808794101[[#This Row],[Committed]],"#%") &amp; ")"</f>
        <v>30  (73%)</v>
      </c>
      <c r="W2" s="85" t="str">
        <f>+IF(ISERR(P16),0,P16) &amp; " (" &amp; TEXT(R20, "#%") &amp; ")"</f>
        <v>0 (%)</v>
      </c>
      <c r="Y2" s="69" t="s">
        <v>61</v>
      </c>
      <c r="Z2" s="68"/>
    </row>
    <row r="3" spans="1:30" x14ac:dyDescent="0.25">
      <c r="A3">
        <v>192238</v>
      </c>
      <c r="B3" t="s">
        <v>1113</v>
      </c>
      <c r="C3" t="s">
        <v>34</v>
      </c>
      <c r="D3" t="s">
        <v>1114</v>
      </c>
      <c r="E3" t="s">
        <v>184</v>
      </c>
      <c r="F3">
        <v>2</v>
      </c>
      <c r="G3" t="str">
        <f t="shared" si="0"/>
        <v>U</v>
      </c>
      <c r="H3" s="105" t="s">
        <v>35</v>
      </c>
      <c r="I3" s="109" t="s">
        <v>35</v>
      </c>
      <c r="J3"/>
      <c r="K3" s="69" t="s">
        <v>37</v>
      </c>
      <c r="L3" s="68">
        <v>42</v>
      </c>
      <c r="N3" t="s">
        <v>3</v>
      </c>
      <c r="O3">
        <f>+O13-Table92431384559526673808794101[[#This Row],[Blocked]]</f>
        <v>48</v>
      </c>
      <c r="P3">
        <f>IF(ISERR(P13),0,P13)</f>
        <v>9</v>
      </c>
      <c r="Q3">
        <f>IF(ISERR(Q13),0,Q13)</f>
        <v>1</v>
      </c>
      <c r="R3">
        <f>+IF(ISERR(R17),0,R17)</f>
        <v>46</v>
      </c>
      <c r="S3" s="88">
        <f>Table92431384559526673808794101[[#This Row],[Completed]]/Table92431384559526673808794101[[#This Row],[Committed]]</f>
        <v>0.95833333333333337</v>
      </c>
      <c r="T3" s="83">
        <f>Table92431384559526673808794101[[#This Row],[Completed]]/(Table92431384559526673808794101[[#This Row],[Added]]+Table92431384559526673808794101[[#This Row],[Committed]])</f>
        <v>0.80701754385964908</v>
      </c>
      <c r="V3" s="84" t="str">
        <f>IF(ISERR(O17),0,O17) &amp; "  (" &amp;TEXT(IF(ISERR(O17),0,O17)/Table92431384559526673808794101[[#This Row],[Committed]],"#%") &amp; ")"</f>
        <v>40  (83%)</v>
      </c>
      <c r="W3" s="85" t="str">
        <f>+IF(ISERR(P17),0,P17) &amp; " (" &amp; TEXT(R21, "#%") &amp; ")"</f>
        <v>6 (67%)</v>
      </c>
      <c r="Y3" s="71" t="s">
        <v>33</v>
      </c>
      <c r="Z3" s="68"/>
    </row>
    <row r="4" spans="1:30" x14ac:dyDescent="0.25">
      <c r="A4">
        <v>189001</v>
      </c>
      <c r="B4" t="s">
        <v>1115</v>
      </c>
      <c r="C4" t="s">
        <v>34</v>
      </c>
      <c r="D4" t="s">
        <v>1116</v>
      </c>
      <c r="E4" t="s">
        <v>189</v>
      </c>
      <c r="F4">
        <v>3</v>
      </c>
      <c r="G4" s="90" t="str">
        <f t="shared" si="0"/>
        <v>U</v>
      </c>
      <c r="H4" s="105" t="s">
        <v>35</v>
      </c>
      <c r="I4" s="109" t="s">
        <v>35</v>
      </c>
      <c r="J4"/>
      <c r="K4" s="71" t="s">
        <v>32</v>
      </c>
      <c r="L4" s="68">
        <v>3</v>
      </c>
      <c r="N4" t="s">
        <v>303</v>
      </c>
      <c r="O4" s="68">
        <f>SUM(O2:O3)</f>
        <v>89</v>
      </c>
      <c r="P4">
        <f>SUM(P2:P3)</f>
        <v>10</v>
      </c>
      <c r="Q4" s="68">
        <f>SUM(Q2:Q3)</f>
        <v>1</v>
      </c>
      <c r="R4" s="68">
        <f>SUM(R2:R3)</f>
        <v>76</v>
      </c>
      <c r="S4" s="88">
        <f>Table92431384559526673808794101[[#This Row],[Completed]]/Table92431384559526673808794101[[#This Row],[Committed]]</f>
        <v>0.8539325842696629</v>
      </c>
      <c r="T4" s="83">
        <f>Table92431384559526673808794101[[#This Row],[Completed]]/(Table92431384559526673808794101[[#This Row],[Added]]+Table92431384559526673808794101[[#This Row],[Committed]])</f>
        <v>0.76767676767676762</v>
      </c>
      <c r="V4" s="108" t="str">
        <f>IF(ISERR(SUM(O16:O17)),0,SUM(O16:O17)) &amp;"  ("&amp;TEXT(SUM(O16:O17)/O4,"#%") &amp;")"</f>
        <v>70  (79%)</v>
      </c>
      <c r="W4" s="85" t="str">
        <f>R4-SUM(O16:O17)&amp;" ("&amp;TEXT((R4-SUM(O16:O17))/IF(P4=0,1,P4),"#%")&amp;")"</f>
        <v>6 (60%)</v>
      </c>
      <c r="Y4" s="70" t="s">
        <v>625</v>
      </c>
      <c r="Z4" s="68">
        <v>1</v>
      </c>
    </row>
    <row r="5" spans="1:30" x14ac:dyDescent="0.25">
      <c r="A5">
        <v>187405</v>
      </c>
      <c r="B5" t="s">
        <v>1117</v>
      </c>
      <c r="C5" t="s">
        <v>34</v>
      </c>
      <c r="D5" t="s">
        <v>1118</v>
      </c>
      <c r="E5" t="s">
        <v>158</v>
      </c>
      <c r="F5">
        <v>1</v>
      </c>
      <c r="G5" t="str">
        <f t="shared" si="0"/>
        <v>U</v>
      </c>
      <c r="H5" s="106"/>
      <c r="I5" s="109" t="s">
        <v>35</v>
      </c>
      <c r="J5"/>
      <c r="K5" s="71" t="s">
        <v>34</v>
      </c>
      <c r="L5" s="68">
        <v>30</v>
      </c>
      <c r="O5" t="s">
        <v>140</v>
      </c>
      <c r="S5" t="s">
        <v>220</v>
      </c>
      <c r="Y5" s="71" t="s">
        <v>667</v>
      </c>
      <c r="Z5" s="68">
        <v>1</v>
      </c>
    </row>
    <row r="6" spans="1:30" x14ac:dyDescent="0.25">
      <c r="A6">
        <v>187404</v>
      </c>
      <c r="B6" t="s">
        <v>1119</v>
      </c>
      <c r="C6" t="s">
        <v>32</v>
      </c>
      <c r="D6" t="s">
        <v>1120</v>
      </c>
      <c r="E6" t="s">
        <v>158</v>
      </c>
      <c r="F6">
        <v>2</v>
      </c>
      <c r="G6" s="73" t="str">
        <f t="shared" si="0"/>
        <v>U</v>
      </c>
      <c r="H6" s="105"/>
      <c r="I6" s="109"/>
      <c r="J6"/>
      <c r="K6" s="71" t="s">
        <v>33</v>
      </c>
      <c r="L6" s="68">
        <v>9</v>
      </c>
      <c r="O6" s="175" t="s">
        <v>40</v>
      </c>
      <c r="P6" s="174" t="s">
        <v>2</v>
      </c>
      <c r="Q6" s="174" t="s">
        <v>137</v>
      </c>
      <c r="R6" s="174" t="s">
        <v>1436</v>
      </c>
      <c r="Y6" s="71" t="s">
        <v>32</v>
      </c>
      <c r="Z6" s="68"/>
    </row>
    <row r="7" spans="1:30" x14ac:dyDescent="0.25">
      <c r="A7">
        <v>187403</v>
      </c>
      <c r="B7" t="s">
        <v>1121</v>
      </c>
      <c r="C7" t="s">
        <v>33</v>
      </c>
      <c r="D7" t="s">
        <v>1122</v>
      </c>
      <c r="E7" t="s">
        <v>158</v>
      </c>
      <c r="F7">
        <v>1</v>
      </c>
      <c r="G7" t="str">
        <f t="shared" si="0"/>
        <v>U</v>
      </c>
      <c r="H7" s="105"/>
      <c r="I7" s="109"/>
      <c r="J7"/>
      <c r="K7" s="69" t="s">
        <v>36</v>
      </c>
      <c r="L7" s="68">
        <v>58</v>
      </c>
      <c r="O7" s="174" t="s">
        <v>1437</v>
      </c>
      <c r="P7" s="87">
        <f>+P2/(P2+O2)</f>
        <v>2.3809523809523808E-2</v>
      </c>
      <c r="Q7" s="87">
        <f>P3/(O3+P3)</f>
        <v>0.15789473684210525</v>
      </c>
      <c r="R7" s="87">
        <f>P4/(O4+P4)</f>
        <v>0.10101010101010101</v>
      </c>
      <c r="Y7" s="70" t="s">
        <v>525</v>
      </c>
      <c r="Z7" s="68">
        <v>1</v>
      </c>
    </row>
    <row r="8" spans="1:30" ht="15.75" thickBot="1" x14ac:dyDescent="0.3">
      <c r="A8">
        <v>187402</v>
      </c>
      <c r="B8" t="s">
        <v>1123</v>
      </c>
      <c r="C8" t="s">
        <v>34</v>
      </c>
      <c r="D8" t="s">
        <v>1124</v>
      </c>
      <c r="E8" t="s">
        <v>158</v>
      </c>
      <c r="F8">
        <v>2</v>
      </c>
      <c r="G8" s="90" t="str">
        <f t="shared" si="0"/>
        <v>U</v>
      </c>
      <c r="H8" s="105"/>
      <c r="I8" s="109" t="s">
        <v>35</v>
      </c>
      <c r="J8"/>
      <c r="K8" s="71" t="s">
        <v>32</v>
      </c>
      <c r="L8" s="68">
        <v>2</v>
      </c>
      <c r="M8" s="68"/>
      <c r="N8" s="160"/>
      <c r="O8" s="174" t="s">
        <v>1438</v>
      </c>
      <c r="P8" s="87">
        <f>+P2/O2</f>
        <v>2.4390243902439025E-2</v>
      </c>
      <c r="Q8" s="87">
        <f>P3/O3</f>
        <v>0.1875</v>
      </c>
      <c r="R8" s="87">
        <f>P4/O4</f>
        <v>0.11235955056179775</v>
      </c>
      <c r="Y8" s="70" t="s">
        <v>623</v>
      </c>
      <c r="Z8" s="68">
        <v>1</v>
      </c>
    </row>
    <row r="9" spans="1:30" ht="15.75" thickBot="1" x14ac:dyDescent="0.3">
      <c r="A9">
        <v>187401</v>
      </c>
      <c r="B9" t="s">
        <v>1125</v>
      </c>
      <c r="C9" t="s">
        <v>34</v>
      </c>
      <c r="D9" t="s">
        <v>1126</v>
      </c>
      <c r="E9" t="s">
        <v>158</v>
      </c>
      <c r="F9">
        <v>1</v>
      </c>
      <c r="G9" t="str">
        <f t="shared" si="0"/>
        <v>U</v>
      </c>
      <c r="H9" s="105"/>
      <c r="I9" s="109" t="s">
        <v>35</v>
      </c>
      <c r="J9"/>
      <c r="K9" s="71" t="s">
        <v>34</v>
      </c>
      <c r="L9" s="68">
        <v>46</v>
      </c>
      <c r="M9" s="68"/>
      <c r="N9" s="160"/>
      <c r="O9" s="174"/>
      <c r="P9" s="87"/>
      <c r="Q9" s="87"/>
      <c r="R9" s="87"/>
      <c r="Y9" s="71" t="s">
        <v>668</v>
      </c>
      <c r="Z9" s="68">
        <v>2</v>
      </c>
      <c r="AC9" s="195" t="s">
        <v>634</v>
      </c>
      <c r="AD9" s="196"/>
    </row>
    <row r="10" spans="1:30" ht="15.75" thickTop="1" x14ac:dyDescent="0.25">
      <c r="A10">
        <v>187400</v>
      </c>
      <c r="B10" t="s">
        <v>1127</v>
      </c>
      <c r="C10" t="s">
        <v>34</v>
      </c>
      <c r="D10" t="s">
        <v>693</v>
      </c>
      <c r="E10" t="s">
        <v>158</v>
      </c>
      <c r="F10">
        <v>2</v>
      </c>
      <c r="G10" t="str">
        <f t="shared" si="0"/>
        <v>U</v>
      </c>
      <c r="H10" s="105"/>
      <c r="I10" s="109" t="s">
        <v>35</v>
      </c>
      <c r="J10"/>
      <c r="K10" s="71" t="s">
        <v>33</v>
      </c>
      <c r="L10" s="68">
        <v>9</v>
      </c>
      <c r="M10" s="68"/>
      <c r="N10" t="s">
        <v>139</v>
      </c>
      <c r="R10" t="s">
        <v>138</v>
      </c>
      <c r="V10" s="13"/>
      <c r="W10" s="13"/>
      <c r="Y10" s="69" t="s">
        <v>656</v>
      </c>
      <c r="Z10" s="68">
        <v>3</v>
      </c>
      <c r="AC10" s="121">
        <f>+GETPIVOTDATA("Story Points2",$K$20,"Project","A","Added After","Y")</f>
        <v>1</v>
      </c>
      <c r="AD10" s="122" t="e">
        <f>GETPIVOTDATA("Story Points2",$K$2,"Status","Blocked","Project","A")</f>
        <v>#REF!</v>
      </c>
    </row>
    <row r="11" spans="1:30" x14ac:dyDescent="0.25">
      <c r="A11">
        <v>187137</v>
      </c>
      <c r="B11" t="s">
        <v>1128</v>
      </c>
      <c r="C11" t="s">
        <v>34</v>
      </c>
      <c r="D11" t="s">
        <v>1129</v>
      </c>
      <c r="E11" t="s">
        <v>155</v>
      </c>
      <c r="F11">
        <v>2</v>
      </c>
      <c r="G11" t="str">
        <f t="shared" si="0"/>
        <v>U</v>
      </c>
      <c r="H11" s="105"/>
      <c r="I11" s="109" t="s">
        <v>35</v>
      </c>
      <c r="J11"/>
      <c r="K11" s="71" t="s">
        <v>135</v>
      </c>
      <c r="L11" s="68">
        <v>1</v>
      </c>
      <c r="M11" s="68"/>
      <c r="N11" t="s">
        <v>133</v>
      </c>
      <c r="O11" t="s">
        <v>42</v>
      </c>
      <c r="P11" t="s">
        <v>41</v>
      </c>
      <c r="Q11" s="82" t="s">
        <v>135</v>
      </c>
      <c r="R11" t="s">
        <v>128</v>
      </c>
      <c r="V11" s="13"/>
      <c r="W11" s="13"/>
      <c r="Y11" s="69" t="s">
        <v>112</v>
      </c>
      <c r="Z11" s="68"/>
      <c r="AC11" s="121">
        <f>+GETPIVOTDATA("Story Points2",$K$20,"Project","U","Added After","Y")</f>
        <v>9</v>
      </c>
      <c r="AD11" s="122">
        <f>GETPIVOTDATA("Story Points2",$K$2,"Status","Blocked","Project","U")</f>
        <v>1</v>
      </c>
    </row>
    <row r="12" spans="1:30" x14ac:dyDescent="0.25">
      <c r="A12">
        <v>186980</v>
      </c>
      <c r="B12" t="s">
        <v>1130</v>
      </c>
      <c r="C12" t="s">
        <v>33</v>
      </c>
      <c r="D12" t="s">
        <v>1131</v>
      </c>
      <c r="E12" t="s">
        <v>179</v>
      </c>
      <c r="F12">
        <v>3</v>
      </c>
      <c r="G12" t="str">
        <f t="shared" si="0"/>
        <v>U</v>
      </c>
      <c r="H12" s="105" t="s">
        <v>35</v>
      </c>
      <c r="I12" s="109"/>
      <c r="J12"/>
      <c r="K12" s="69" t="s">
        <v>735</v>
      </c>
      <c r="L12" s="68"/>
      <c r="M12" s="68"/>
      <c r="N12" t="s">
        <v>2</v>
      </c>
      <c r="O12">
        <f>+GETPIVOTDATA("Story Points2",$K$20,"Project","A","Added After",)</f>
        <v>41</v>
      </c>
      <c r="P12">
        <f>IFERROR(AC10,0)</f>
        <v>1</v>
      </c>
      <c r="Q12" s="81">
        <f>IFERROR(AD10,0)</f>
        <v>0</v>
      </c>
      <c r="R12">
        <f t="shared" ref="R12:R13" si="1">+IF(ISERR(P12),0,P12)+IF(ISERR(O12),0,O12)</f>
        <v>42</v>
      </c>
      <c r="V12" s="13"/>
      <c r="W12" s="13"/>
      <c r="Y12" s="71" t="s">
        <v>33</v>
      </c>
      <c r="Z12" s="68"/>
      <c r="AC12" s="121"/>
      <c r="AD12" s="122"/>
    </row>
    <row r="13" spans="1:30" x14ac:dyDescent="0.25">
      <c r="A13">
        <v>186979</v>
      </c>
      <c r="B13" t="s">
        <v>1132</v>
      </c>
      <c r="C13" t="s">
        <v>34</v>
      </c>
      <c r="D13" t="s">
        <v>1133</v>
      </c>
      <c r="E13" t="s">
        <v>179</v>
      </c>
      <c r="F13">
        <v>1</v>
      </c>
      <c r="G13" s="73" t="str">
        <f t="shared" si="0"/>
        <v>U</v>
      </c>
      <c r="H13" s="105"/>
      <c r="I13" s="109" t="s">
        <v>35</v>
      </c>
      <c r="J13"/>
      <c r="K13" s="71" t="s">
        <v>122</v>
      </c>
      <c r="L13" s="68"/>
      <c r="M13" s="68"/>
      <c r="N13" t="s">
        <v>3</v>
      </c>
      <c r="O13">
        <f>+GETPIVOTDATA("Story Points2",$K$20,"Project","U","Added After",)</f>
        <v>49</v>
      </c>
      <c r="P13">
        <f>IFERROR(AC11,0)</f>
        <v>9</v>
      </c>
      <c r="Q13" s="81">
        <f>IFERROR(AD11,0)</f>
        <v>1</v>
      </c>
      <c r="R13">
        <f t="shared" si="1"/>
        <v>58</v>
      </c>
      <c r="V13" s="13"/>
      <c r="W13" s="13"/>
      <c r="Y13" s="70" t="s">
        <v>579</v>
      </c>
      <c r="Z13" s="68">
        <v>1</v>
      </c>
      <c r="AC13" s="121"/>
      <c r="AD13" s="122"/>
    </row>
    <row r="14" spans="1:30" x14ac:dyDescent="0.25">
      <c r="A14">
        <v>187129</v>
      </c>
      <c r="B14" t="s">
        <v>1134</v>
      </c>
      <c r="C14" t="s">
        <v>34</v>
      </c>
      <c r="D14" t="s">
        <v>1135</v>
      </c>
      <c r="E14" t="s">
        <v>155</v>
      </c>
      <c r="F14">
        <v>3</v>
      </c>
      <c r="G14" t="str">
        <f t="shared" si="0"/>
        <v>U</v>
      </c>
      <c r="H14" s="105"/>
      <c r="I14" s="109" t="s">
        <v>35</v>
      </c>
      <c r="J14"/>
      <c r="K14" s="69" t="s">
        <v>31</v>
      </c>
      <c r="L14" s="68">
        <v>100</v>
      </c>
      <c r="M14" s="68"/>
      <c r="V14" s="13"/>
      <c r="W14" s="13"/>
      <c r="Y14" s="70" t="s">
        <v>585</v>
      </c>
      <c r="Z14" s="68">
        <v>1</v>
      </c>
      <c r="AC14" s="121">
        <f>+GETPIVOTDATA("Story Points2",$K$20,"Status","Done","Project","A","Added After",)</f>
        <v>30</v>
      </c>
      <c r="AD14" s="122" t="e">
        <f>+GETPIVOTDATA("Story Points2",$K$20,"Status","Done","Project","A","Added After","Y")</f>
        <v>#REF!</v>
      </c>
    </row>
    <row r="15" spans="1:30" x14ac:dyDescent="0.25">
      <c r="A15">
        <v>187127</v>
      </c>
      <c r="B15" t="s">
        <v>1136</v>
      </c>
      <c r="C15" t="s">
        <v>34</v>
      </c>
      <c r="D15" t="s">
        <v>1137</v>
      </c>
      <c r="E15" t="s">
        <v>155</v>
      </c>
      <c r="F15">
        <v>3</v>
      </c>
      <c r="G15" s="73" t="str">
        <f t="shared" si="0"/>
        <v>U</v>
      </c>
      <c r="H15" s="105"/>
      <c r="I15" s="109" t="s">
        <v>35</v>
      </c>
      <c r="J15"/>
      <c r="N15" t="s">
        <v>34</v>
      </c>
      <c r="O15" t="s">
        <v>126</v>
      </c>
      <c r="P15" t="s">
        <v>125</v>
      </c>
      <c r="Q15" s="80" t="s">
        <v>40</v>
      </c>
      <c r="R15" t="s">
        <v>127</v>
      </c>
      <c r="V15" s="13"/>
      <c r="W15" s="13"/>
      <c r="Y15" s="71" t="s">
        <v>667</v>
      </c>
      <c r="Z15" s="68">
        <v>2</v>
      </c>
      <c r="AC15" s="121">
        <f>+GETPIVOTDATA("Story Points2",$K$20,"Status","Done","Project","U","Added After",)</f>
        <v>40</v>
      </c>
      <c r="AD15" s="122">
        <f>+GETPIVOTDATA("Story Points2",$K$20,"Status","Done","Project","U","Added After","Y")</f>
        <v>6</v>
      </c>
    </row>
    <row r="16" spans="1:30" x14ac:dyDescent="0.25">
      <c r="A16">
        <v>187014</v>
      </c>
      <c r="B16" t="s">
        <v>1138</v>
      </c>
      <c r="C16" t="s">
        <v>33</v>
      </c>
      <c r="D16" t="s">
        <v>1139</v>
      </c>
      <c r="E16" t="s">
        <v>108</v>
      </c>
      <c r="F16">
        <v>2</v>
      </c>
      <c r="G16" s="73" t="str">
        <f t="shared" si="0"/>
        <v>U</v>
      </c>
      <c r="H16" s="105"/>
      <c r="I16" s="109" t="s">
        <v>35</v>
      </c>
      <c r="J16"/>
      <c r="N16" t="s">
        <v>2</v>
      </c>
      <c r="O16">
        <f>IFERROR(AC14,0)</f>
        <v>30</v>
      </c>
      <c r="P16">
        <f>IFERROR(AD14,0)</f>
        <v>0</v>
      </c>
      <c r="R16">
        <f t="shared" ref="R16:R17" si="2">+IF(ISERR(P16),0,P16)+IF(ISERR(O16),0,O16)</f>
        <v>30</v>
      </c>
      <c r="Y16" s="69" t="s">
        <v>657</v>
      </c>
      <c r="Z16" s="68">
        <v>2</v>
      </c>
      <c r="AC16" s="121"/>
      <c r="AD16" s="122"/>
    </row>
    <row r="17" spans="1:30" ht="14.25" customHeight="1" x14ac:dyDescent="0.25">
      <c r="A17">
        <v>186905</v>
      </c>
      <c r="B17" t="s">
        <v>1140</v>
      </c>
      <c r="C17" t="s">
        <v>34</v>
      </c>
      <c r="D17" t="s">
        <v>1141</v>
      </c>
      <c r="E17" t="s">
        <v>155</v>
      </c>
      <c r="F17">
        <v>5</v>
      </c>
      <c r="G17" t="str">
        <f t="shared" si="0"/>
        <v>U</v>
      </c>
      <c r="H17" s="105"/>
      <c r="I17" s="109" t="s">
        <v>35</v>
      </c>
      <c r="J17"/>
      <c r="N17" t="s">
        <v>3</v>
      </c>
      <c r="O17">
        <f>IFERROR(AC15,0)</f>
        <v>40</v>
      </c>
      <c r="P17">
        <f>IFERROR(AD15,0)</f>
        <v>6</v>
      </c>
      <c r="R17">
        <f t="shared" si="2"/>
        <v>46</v>
      </c>
      <c r="T17" s="197"/>
      <c r="U17" s="197"/>
      <c r="V17" s="197"/>
      <c r="W17" s="197"/>
      <c r="Y17" s="69" t="s">
        <v>64</v>
      </c>
      <c r="Z17" s="68"/>
      <c r="AC17" s="121"/>
      <c r="AD17" s="122"/>
    </row>
    <row r="18" spans="1:30" x14ac:dyDescent="0.25">
      <c r="A18">
        <v>186577</v>
      </c>
      <c r="B18" t="s">
        <v>1142</v>
      </c>
      <c r="C18" t="s">
        <v>34</v>
      </c>
      <c r="D18" t="s">
        <v>1143</v>
      </c>
      <c r="E18" t="s">
        <v>108</v>
      </c>
      <c r="F18">
        <v>3</v>
      </c>
      <c r="G18" s="73" t="str">
        <f t="shared" si="0"/>
        <v>U</v>
      </c>
      <c r="H18" s="105"/>
      <c r="I18" s="109" t="s">
        <v>35</v>
      </c>
      <c r="J18"/>
      <c r="T18" s="197"/>
      <c r="U18" s="197"/>
      <c r="V18" s="197"/>
      <c r="W18" s="197"/>
      <c r="Y18" s="71" t="s">
        <v>33</v>
      </c>
      <c r="Z18" s="68"/>
      <c r="AC18" s="121"/>
      <c r="AD18" s="122"/>
    </row>
    <row r="19" spans="1:30" x14ac:dyDescent="0.25">
      <c r="A19">
        <v>186327</v>
      </c>
      <c r="B19" t="s">
        <v>1144</v>
      </c>
      <c r="C19" t="s">
        <v>34</v>
      </c>
      <c r="D19" t="s">
        <v>1145</v>
      </c>
      <c r="E19" t="s">
        <v>179</v>
      </c>
      <c r="F19">
        <v>1</v>
      </c>
      <c r="G19" s="90" t="str">
        <f t="shared" si="0"/>
        <v>U</v>
      </c>
      <c r="H19" s="105"/>
      <c r="I19" s="109" t="s">
        <v>35</v>
      </c>
      <c r="J19"/>
      <c r="M19" s="68"/>
      <c r="N19" t="s">
        <v>34</v>
      </c>
      <c r="O19" t="s">
        <v>123</v>
      </c>
      <c r="P19" t="s">
        <v>124</v>
      </c>
      <c r="Q19" t="s">
        <v>126</v>
      </c>
      <c r="R19" t="s">
        <v>125</v>
      </c>
      <c r="T19" s="197"/>
      <c r="U19" s="197"/>
      <c r="V19" s="197"/>
      <c r="W19" s="197"/>
      <c r="Y19" s="70" t="s">
        <v>648</v>
      </c>
      <c r="Z19" s="68">
        <v>1</v>
      </c>
      <c r="AC19" s="121"/>
      <c r="AD19" s="122"/>
    </row>
    <row r="20" spans="1:30" x14ac:dyDescent="0.25">
      <c r="A20">
        <v>186326</v>
      </c>
      <c r="B20" t="s">
        <v>1146</v>
      </c>
      <c r="C20" t="s">
        <v>135</v>
      </c>
      <c r="D20" t="s">
        <v>1147</v>
      </c>
      <c r="E20" t="s">
        <v>179</v>
      </c>
      <c r="F20">
        <v>1</v>
      </c>
      <c r="G20" t="str">
        <f t="shared" si="0"/>
        <v>U</v>
      </c>
      <c r="H20" s="105"/>
      <c r="I20" s="109"/>
      <c r="J20"/>
      <c r="K20" s="72" t="s">
        <v>396</v>
      </c>
      <c r="L20" t="s">
        <v>120</v>
      </c>
      <c r="M20" s="68"/>
      <c r="N20" t="s">
        <v>2</v>
      </c>
      <c r="O20" s="64">
        <f>+R16/O12</f>
        <v>0.73170731707317072</v>
      </c>
      <c r="P20" s="64">
        <f t="shared" ref="P20:P21" si="3">+R16/R12</f>
        <v>0.7142857142857143</v>
      </c>
      <c r="Q20" s="64">
        <f>+O16/IF(ISERR(O12),1,O12)</f>
        <v>0.73170731707317072</v>
      </c>
      <c r="R20" s="64">
        <f>+P16/IF(ISERR(AC10),1,P12)</f>
        <v>0</v>
      </c>
      <c r="T20" s="197"/>
      <c r="U20" s="197"/>
      <c r="V20" s="197"/>
      <c r="W20" s="197"/>
      <c r="Y20" s="71" t="s">
        <v>667</v>
      </c>
      <c r="Z20" s="68">
        <v>1</v>
      </c>
      <c r="AC20" s="121"/>
      <c r="AD20" s="122"/>
    </row>
    <row r="21" spans="1:30" x14ac:dyDescent="0.25">
      <c r="A21">
        <v>186325</v>
      </c>
      <c r="B21" t="s">
        <v>1148</v>
      </c>
      <c r="C21" t="s">
        <v>34</v>
      </c>
      <c r="D21" t="s">
        <v>1149</v>
      </c>
      <c r="E21" t="s">
        <v>179</v>
      </c>
      <c r="F21">
        <v>1</v>
      </c>
      <c r="G21" s="73" t="str">
        <f t="shared" si="0"/>
        <v>U</v>
      </c>
      <c r="H21" s="105"/>
      <c r="I21" s="109" t="s">
        <v>35</v>
      </c>
      <c r="J21"/>
      <c r="K21" s="69" t="s">
        <v>122</v>
      </c>
      <c r="L21" s="68">
        <v>90</v>
      </c>
      <c r="M21" s="68"/>
      <c r="N21" t="s">
        <v>3</v>
      </c>
      <c r="O21" s="64">
        <f>+R17/O13</f>
        <v>0.93877551020408168</v>
      </c>
      <c r="P21" s="64">
        <f t="shared" si="3"/>
        <v>0.7931034482758621</v>
      </c>
      <c r="Q21" s="64">
        <f>+O17/IF(ISERR(O13),1,O13)</f>
        <v>0.81632653061224492</v>
      </c>
      <c r="R21" s="64">
        <f>+P17/IF(ISERR(AC11),1,P13)</f>
        <v>0.66666666666666663</v>
      </c>
      <c r="T21" s="197"/>
      <c r="U21" s="197"/>
      <c r="V21" s="197"/>
      <c r="W21" s="197"/>
      <c r="Y21" s="69" t="s">
        <v>658</v>
      </c>
      <c r="Z21" s="68">
        <v>1</v>
      </c>
      <c r="AC21" s="121"/>
      <c r="AD21" s="122"/>
    </row>
    <row r="22" spans="1:30" x14ac:dyDescent="0.25">
      <c r="A22">
        <v>183358</v>
      </c>
      <c r="B22" t="s">
        <v>1150</v>
      </c>
      <c r="C22" t="s">
        <v>34</v>
      </c>
      <c r="D22" t="s">
        <v>1151</v>
      </c>
      <c r="E22" t="s">
        <v>189</v>
      </c>
      <c r="F22">
        <v>3</v>
      </c>
      <c r="G22" s="90" t="str">
        <f t="shared" si="0"/>
        <v>U</v>
      </c>
      <c r="H22" s="105"/>
      <c r="I22" s="109" t="s">
        <v>35</v>
      </c>
      <c r="J22"/>
      <c r="K22" s="71" t="s">
        <v>37</v>
      </c>
      <c r="L22" s="68">
        <v>41</v>
      </c>
      <c r="M22" s="68"/>
      <c r="T22" s="197"/>
      <c r="U22" s="197"/>
      <c r="V22" s="197"/>
      <c r="W22" s="197"/>
      <c r="Y22" s="69" t="s">
        <v>92</v>
      </c>
      <c r="Z22" s="68"/>
      <c r="AC22" s="121">
        <f>+GETPIVOTDATA("Story Points",$N$34,"Project","A","Added After",)</f>
        <v>30</v>
      </c>
      <c r="AD22" s="122">
        <f>+GETPIVOTDATA("Story Points",$N$34,"Project","A","Added After","Y")</f>
        <v>1</v>
      </c>
    </row>
    <row r="23" spans="1:30" ht="15.75" thickBot="1" x14ac:dyDescent="0.3">
      <c r="A23">
        <v>179965</v>
      </c>
      <c r="B23" t="s">
        <v>1069</v>
      </c>
      <c r="C23" t="s">
        <v>34</v>
      </c>
      <c r="D23" t="s">
        <v>1070</v>
      </c>
      <c r="E23" t="s">
        <v>189</v>
      </c>
      <c r="F23">
        <v>2</v>
      </c>
      <c r="G23" s="90" t="str">
        <f t="shared" si="0"/>
        <v>U</v>
      </c>
      <c r="H23" s="105"/>
      <c r="I23" s="109" t="s">
        <v>35</v>
      </c>
      <c r="J23"/>
      <c r="K23" s="70" t="s">
        <v>32</v>
      </c>
      <c r="L23" s="68">
        <v>2</v>
      </c>
      <c r="M23" s="68"/>
      <c r="N23" t="s">
        <v>49</v>
      </c>
      <c r="O23" t="s">
        <v>126</v>
      </c>
      <c r="P23" t="s">
        <v>125</v>
      </c>
      <c r="Q23" s="80" t="s">
        <v>239</v>
      </c>
      <c r="R23" t="s">
        <v>129</v>
      </c>
      <c r="T23" s="197"/>
      <c r="U23" s="197"/>
      <c r="V23" s="197"/>
      <c r="W23" s="197"/>
      <c r="Y23" s="71" t="s">
        <v>32</v>
      </c>
      <c r="Z23" s="68"/>
      <c r="AC23" s="123">
        <f>+GETPIVOTDATA("Story Points",$N$34,"Project","U","Added After",)</f>
        <v>45</v>
      </c>
      <c r="AD23" s="124">
        <f>+GETPIVOTDATA("Story Points",$N$34,"Project","U","Added After","Y")</f>
        <v>6</v>
      </c>
    </row>
    <row r="24" spans="1:30" x14ac:dyDescent="0.25">
      <c r="A24">
        <v>175163</v>
      </c>
      <c r="B24" t="s">
        <v>1152</v>
      </c>
      <c r="C24" t="s">
        <v>33</v>
      </c>
      <c r="D24" t="s">
        <v>1153</v>
      </c>
      <c r="E24" t="s">
        <v>152</v>
      </c>
      <c r="F24">
        <v>3</v>
      </c>
      <c r="G24" t="str">
        <f t="shared" si="0"/>
        <v>U</v>
      </c>
      <c r="H24" s="105"/>
      <c r="I24" s="109" t="s">
        <v>35</v>
      </c>
      <c r="J24"/>
      <c r="K24" s="70" t="s">
        <v>34</v>
      </c>
      <c r="L24" s="68">
        <v>30</v>
      </c>
      <c r="M24" s="68"/>
      <c r="N24" t="s">
        <v>2</v>
      </c>
      <c r="O24">
        <f>IFERROR(AC22,0)</f>
        <v>30</v>
      </c>
      <c r="P24">
        <f>IFERROR(AD22,0)</f>
        <v>1</v>
      </c>
      <c r="Q24">
        <f>+O12-Q12-Table7222936435750647178859299[[#This Row],[Committed Done]]</f>
        <v>11</v>
      </c>
      <c r="R24">
        <f>+Table7222936435750647178859299[[#This Row],[Committed Done]]+Table7222936435750647178859299[[#This Row],[Added Done]]</f>
        <v>31</v>
      </c>
      <c r="T24" s="197"/>
      <c r="U24" s="197"/>
      <c r="V24" s="197"/>
      <c r="W24" s="197"/>
      <c r="Y24" s="70" t="s">
        <v>601</v>
      </c>
      <c r="Z24" s="68">
        <v>1</v>
      </c>
    </row>
    <row r="25" spans="1:30" x14ac:dyDescent="0.25">
      <c r="A25">
        <v>175162</v>
      </c>
      <c r="B25" t="s">
        <v>1154</v>
      </c>
      <c r="C25" t="s">
        <v>34</v>
      </c>
      <c r="D25" t="s">
        <v>1155</v>
      </c>
      <c r="E25" t="s">
        <v>152</v>
      </c>
      <c r="F25">
        <v>3</v>
      </c>
      <c r="G25" t="str">
        <f t="shared" si="0"/>
        <v>U</v>
      </c>
      <c r="H25" s="105"/>
      <c r="I25" s="109" t="s">
        <v>35</v>
      </c>
      <c r="J25"/>
      <c r="K25" s="70" t="s">
        <v>33</v>
      </c>
      <c r="L25" s="68">
        <v>9</v>
      </c>
      <c r="M25" s="68"/>
      <c r="N25" t="s">
        <v>3</v>
      </c>
      <c r="O25">
        <f>IFERROR(AC23,0)</f>
        <v>45</v>
      </c>
      <c r="P25">
        <f>IFERROR(AD23,0)</f>
        <v>6</v>
      </c>
      <c r="Q25">
        <f>+O13-Q13-Table7222936435750647178859299[[#This Row],[Committed Done]]</f>
        <v>3</v>
      </c>
      <c r="R25">
        <f>+Table7222936435750647178859299[[#This Row],[Committed Done]]+Table7222936435750647178859299[[#This Row],[Added Done]]</f>
        <v>51</v>
      </c>
      <c r="T25" s="197"/>
      <c r="U25" s="197"/>
      <c r="V25" s="197"/>
      <c r="W25" s="197"/>
      <c r="Y25" s="71" t="s">
        <v>668</v>
      </c>
      <c r="Z25" s="68">
        <v>1</v>
      </c>
    </row>
    <row r="26" spans="1:30" x14ac:dyDescent="0.25">
      <c r="A26">
        <v>172993</v>
      </c>
      <c r="B26" t="s">
        <v>1156</v>
      </c>
      <c r="C26" t="s">
        <v>34</v>
      </c>
      <c r="D26" t="s">
        <v>1157</v>
      </c>
      <c r="E26" t="s">
        <v>189</v>
      </c>
      <c r="F26">
        <v>2</v>
      </c>
      <c r="G26" s="73" t="str">
        <f t="shared" si="0"/>
        <v>U</v>
      </c>
      <c r="H26" s="105"/>
      <c r="I26" s="109" t="s">
        <v>35</v>
      </c>
      <c r="J26"/>
      <c r="K26" s="71" t="s">
        <v>36</v>
      </c>
      <c r="L26" s="68">
        <v>49</v>
      </c>
      <c r="T26" s="197"/>
      <c r="U26" s="197"/>
      <c r="V26" s="197"/>
      <c r="W26" s="197"/>
      <c r="Y26" s="69" t="s">
        <v>659</v>
      </c>
      <c r="Z26" s="68">
        <v>1</v>
      </c>
    </row>
    <row r="27" spans="1:30" x14ac:dyDescent="0.25">
      <c r="A27">
        <v>161981</v>
      </c>
      <c r="B27" t="s">
        <v>843</v>
      </c>
      <c r="C27" t="s">
        <v>34</v>
      </c>
      <c r="D27" t="s">
        <v>844</v>
      </c>
      <c r="E27" t="s">
        <v>184</v>
      </c>
      <c r="F27">
        <v>2</v>
      </c>
      <c r="G27" t="str">
        <f t="shared" si="0"/>
        <v>U</v>
      </c>
      <c r="H27" s="105"/>
      <c r="I27" s="109" t="s">
        <v>35</v>
      </c>
      <c r="J27"/>
      <c r="K27" s="70" t="s">
        <v>32</v>
      </c>
      <c r="L27" s="68">
        <v>2</v>
      </c>
      <c r="M27" s="68"/>
      <c r="N27" t="s">
        <v>49</v>
      </c>
      <c r="O27" t="s">
        <v>123</v>
      </c>
      <c r="P27" t="s">
        <v>124</v>
      </c>
      <c r="Q27" t="s">
        <v>126</v>
      </c>
      <c r="R27" t="s">
        <v>130</v>
      </c>
      <c r="T27" s="197"/>
      <c r="U27" s="197"/>
      <c r="V27" s="197"/>
      <c r="W27" s="197"/>
      <c r="Y27" s="69" t="s">
        <v>58</v>
      </c>
      <c r="Z27" s="68"/>
    </row>
    <row r="28" spans="1:30" x14ac:dyDescent="0.25">
      <c r="A28">
        <v>136378</v>
      </c>
      <c r="B28" t="s">
        <v>273</v>
      </c>
      <c r="C28" t="s">
        <v>34</v>
      </c>
      <c r="D28" t="s">
        <v>1158</v>
      </c>
      <c r="E28" t="s">
        <v>189</v>
      </c>
      <c r="F28">
        <v>3</v>
      </c>
      <c r="G28" s="90" t="str">
        <f t="shared" si="0"/>
        <v>U</v>
      </c>
      <c r="H28" s="105"/>
      <c r="I28" s="109" t="s">
        <v>35</v>
      </c>
      <c r="J28"/>
      <c r="K28" s="70" t="s">
        <v>34</v>
      </c>
      <c r="L28" s="68">
        <v>40</v>
      </c>
      <c r="M28" s="68"/>
      <c r="N28" t="s">
        <v>2</v>
      </c>
      <c r="O28" s="64">
        <f>R24/IF(O12=0, 1,O12)</f>
        <v>0.75609756097560976</v>
      </c>
      <c r="P28" s="64">
        <f>R24/IF(R12=0,1,R12)</f>
        <v>0.73809523809523814</v>
      </c>
      <c r="Q28" s="64">
        <f>O24/IF(O12=0,1,O12)</f>
        <v>0.73170731707317072</v>
      </c>
      <c r="R28" s="64">
        <f>+P24/IF(P12=0,1,P12)</f>
        <v>1</v>
      </c>
      <c r="T28" s="197"/>
      <c r="U28" s="197"/>
      <c r="V28" s="197"/>
      <c r="W28" s="197"/>
      <c r="Y28" s="71" t="s">
        <v>32</v>
      </c>
      <c r="Z28" s="68"/>
    </row>
    <row r="29" spans="1:30" x14ac:dyDescent="0.25">
      <c r="A29">
        <v>192308</v>
      </c>
      <c r="B29" t="s">
        <v>1159</v>
      </c>
      <c r="C29" t="s">
        <v>32</v>
      </c>
      <c r="D29" t="s">
        <v>1160</v>
      </c>
      <c r="E29" t="s">
        <v>155</v>
      </c>
      <c r="F29">
        <v>1</v>
      </c>
      <c r="G29" t="str">
        <f t="shared" si="0"/>
        <v>A</v>
      </c>
      <c r="H29" s="105" t="s">
        <v>35</v>
      </c>
      <c r="I29" s="109" t="s">
        <v>35</v>
      </c>
      <c r="J29"/>
      <c r="K29" s="70" t="s">
        <v>33</v>
      </c>
      <c r="L29" s="68">
        <v>6</v>
      </c>
      <c r="M29" s="68"/>
      <c r="N29" t="s">
        <v>3</v>
      </c>
      <c r="O29" s="64">
        <f>R25/IF(R17=0, 1,O13)</f>
        <v>1.0408163265306123</v>
      </c>
      <c r="P29" s="64">
        <f>R25/IF(R13=0,1,R13)</f>
        <v>0.87931034482758619</v>
      </c>
      <c r="Q29" s="64">
        <f>O25/IF(O13=0,1,O13)</f>
        <v>0.91836734693877553</v>
      </c>
      <c r="R29" s="64">
        <f>+P25/IF(P13=0,1,P13)</f>
        <v>0.66666666666666663</v>
      </c>
      <c r="T29" s="197"/>
      <c r="U29" s="197"/>
      <c r="V29" s="197"/>
      <c r="W29" s="197"/>
      <c r="Y29" s="70" t="s">
        <v>631</v>
      </c>
      <c r="Z29" s="68">
        <v>1</v>
      </c>
    </row>
    <row r="30" spans="1:30" x14ac:dyDescent="0.25">
      <c r="A30">
        <v>187319</v>
      </c>
      <c r="B30" t="s">
        <v>1161</v>
      </c>
      <c r="C30" t="s">
        <v>34</v>
      </c>
      <c r="D30" t="s">
        <v>1162</v>
      </c>
      <c r="E30" t="s">
        <v>210</v>
      </c>
      <c r="F30">
        <v>2</v>
      </c>
      <c r="G30" t="str">
        <f t="shared" si="0"/>
        <v>A</v>
      </c>
      <c r="H30" s="105"/>
      <c r="I30" s="109" t="s">
        <v>35</v>
      </c>
      <c r="J30"/>
      <c r="K30" s="70" t="s">
        <v>135</v>
      </c>
      <c r="L30" s="68">
        <v>1</v>
      </c>
      <c r="M30" s="68"/>
      <c r="T30" s="197"/>
      <c r="U30" s="197"/>
      <c r="V30" s="197"/>
      <c r="W30" s="197"/>
      <c r="Y30" s="71" t="s">
        <v>668</v>
      </c>
      <c r="Z30" s="68">
        <v>1</v>
      </c>
    </row>
    <row r="31" spans="1:30" x14ac:dyDescent="0.25">
      <c r="A31">
        <v>187322</v>
      </c>
      <c r="B31" t="s">
        <v>1163</v>
      </c>
      <c r="C31" t="s">
        <v>34</v>
      </c>
      <c r="D31" t="s">
        <v>1164</v>
      </c>
      <c r="E31" t="s">
        <v>210</v>
      </c>
      <c r="F31">
        <v>2</v>
      </c>
      <c r="G31" t="str">
        <f t="shared" si="0"/>
        <v>A</v>
      </c>
      <c r="H31" s="105"/>
      <c r="I31" s="109" t="s">
        <v>35</v>
      </c>
      <c r="J31"/>
      <c r="K31" s="71" t="s">
        <v>735</v>
      </c>
      <c r="L31" s="68"/>
      <c r="M31" s="68"/>
      <c r="T31" s="197"/>
      <c r="U31" s="197"/>
      <c r="V31" s="197"/>
      <c r="W31" s="197"/>
      <c r="Y31" s="69" t="s">
        <v>660</v>
      </c>
      <c r="Z31" s="68">
        <v>1</v>
      </c>
    </row>
    <row r="32" spans="1:30" x14ac:dyDescent="0.25">
      <c r="A32">
        <v>187318</v>
      </c>
      <c r="B32" t="s">
        <v>1165</v>
      </c>
      <c r="C32" t="s">
        <v>34</v>
      </c>
      <c r="D32" t="s">
        <v>1166</v>
      </c>
      <c r="E32" t="s">
        <v>203</v>
      </c>
      <c r="F32">
        <v>2</v>
      </c>
      <c r="G32" t="str">
        <f t="shared" si="0"/>
        <v>A</v>
      </c>
      <c r="H32" s="105"/>
      <c r="I32" s="109" t="s">
        <v>35</v>
      </c>
      <c r="J32"/>
      <c r="K32" s="70" t="s">
        <v>122</v>
      </c>
      <c r="L32" s="68"/>
      <c r="N32" s="72" t="s">
        <v>144</v>
      </c>
      <c r="O32" s="160" t="s">
        <v>35</v>
      </c>
      <c r="T32" s="197"/>
      <c r="U32" s="197"/>
      <c r="V32" s="197"/>
      <c r="W32" s="197"/>
      <c r="Y32" s="69" t="s">
        <v>235</v>
      </c>
      <c r="Z32" s="68"/>
    </row>
    <row r="33" spans="1:26" x14ac:dyDescent="0.25">
      <c r="A33">
        <v>186989</v>
      </c>
      <c r="B33" t="s">
        <v>1167</v>
      </c>
      <c r="C33" t="s">
        <v>34</v>
      </c>
      <c r="D33" t="s">
        <v>1095</v>
      </c>
      <c r="E33" t="s">
        <v>217</v>
      </c>
      <c r="F33">
        <v>1</v>
      </c>
      <c r="G33" t="str">
        <f t="shared" si="0"/>
        <v>A</v>
      </c>
      <c r="H33" s="105"/>
      <c r="I33" s="109" t="s">
        <v>35</v>
      </c>
      <c r="J33"/>
      <c r="K33" s="69" t="s">
        <v>35</v>
      </c>
      <c r="L33" s="68">
        <v>10</v>
      </c>
      <c r="T33" s="197"/>
      <c r="U33" s="197"/>
      <c r="V33" s="197"/>
      <c r="W33" s="197"/>
      <c r="Y33" s="71" t="s">
        <v>33</v>
      </c>
      <c r="Z33" s="68"/>
    </row>
    <row r="34" spans="1:26" x14ac:dyDescent="0.25">
      <c r="A34">
        <v>186857</v>
      </c>
      <c r="B34" t="s">
        <v>1168</v>
      </c>
      <c r="C34" t="s">
        <v>33</v>
      </c>
      <c r="D34" t="s">
        <v>1169</v>
      </c>
      <c r="E34" t="s">
        <v>203</v>
      </c>
      <c r="F34">
        <v>3</v>
      </c>
      <c r="G34" t="str">
        <f t="shared" si="0"/>
        <v>A</v>
      </c>
      <c r="H34" s="105"/>
      <c r="I34" s="109"/>
      <c r="J34"/>
      <c r="K34" s="71" t="s">
        <v>37</v>
      </c>
      <c r="L34" s="68">
        <v>1</v>
      </c>
      <c r="N34" s="72" t="s">
        <v>655</v>
      </c>
      <c r="O34" t="s">
        <v>50</v>
      </c>
      <c r="T34" s="197"/>
      <c r="U34" s="197"/>
      <c r="V34" s="197"/>
      <c r="W34" s="197"/>
      <c r="Y34" s="70" t="s">
        <v>581</v>
      </c>
      <c r="Z34" s="68">
        <v>1</v>
      </c>
    </row>
    <row r="35" spans="1:26" x14ac:dyDescent="0.25">
      <c r="A35">
        <v>186855</v>
      </c>
      <c r="B35" t="s">
        <v>1170</v>
      </c>
      <c r="C35" t="s">
        <v>34</v>
      </c>
      <c r="D35" t="s">
        <v>1171</v>
      </c>
      <c r="E35" t="s">
        <v>203</v>
      </c>
      <c r="F35">
        <v>3</v>
      </c>
      <c r="G35" s="90" t="str">
        <f t="shared" si="0"/>
        <v>A</v>
      </c>
      <c r="H35" s="105"/>
      <c r="I35" s="109" t="s">
        <v>35</v>
      </c>
      <c r="J35"/>
      <c r="K35" s="70" t="s">
        <v>32</v>
      </c>
      <c r="L35" s="68">
        <v>1</v>
      </c>
      <c r="N35" s="69" t="s">
        <v>37</v>
      </c>
      <c r="O35" s="68"/>
      <c r="Q35">
        <f>77/99</f>
        <v>0.77777777777777779</v>
      </c>
      <c r="T35" s="197"/>
      <c r="U35" s="197"/>
      <c r="V35" s="197"/>
      <c r="W35" s="197"/>
      <c r="Y35" s="71" t="s">
        <v>667</v>
      </c>
      <c r="Z35" s="68">
        <v>1</v>
      </c>
    </row>
    <row r="36" spans="1:26" x14ac:dyDescent="0.25">
      <c r="A36">
        <v>186845</v>
      </c>
      <c r="B36" t="s">
        <v>1172</v>
      </c>
      <c r="C36" t="s">
        <v>34</v>
      </c>
      <c r="D36" t="s">
        <v>1173</v>
      </c>
      <c r="E36" t="s">
        <v>196</v>
      </c>
      <c r="F36">
        <v>1</v>
      </c>
      <c r="G36" t="str">
        <f t="shared" si="0"/>
        <v>A</v>
      </c>
      <c r="H36" s="105"/>
      <c r="I36" s="109" t="s">
        <v>35</v>
      </c>
      <c r="J36"/>
      <c r="K36" s="71" t="s">
        <v>36</v>
      </c>
      <c r="L36" s="68">
        <v>9</v>
      </c>
      <c r="N36" s="71" t="s">
        <v>122</v>
      </c>
      <c r="O36" s="68">
        <v>30</v>
      </c>
      <c r="T36" s="197"/>
      <c r="U36" s="197"/>
      <c r="V36" s="197"/>
      <c r="W36" s="197"/>
      <c r="Y36" s="69" t="s">
        <v>661</v>
      </c>
      <c r="Z36" s="68">
        <v>1</v>
      </c>
    </row>
    <row r="37" spans="1:26" x14ac:dyDescent="0.25">
      <c r="A37">
        <v>186583</v>
      </c>
      <c r="B37" t="s">
        <v>1174</v>
      </c>
      <c r="C37" t="s">
        <v>34</v>
      </c>
      <c r="D37" t="s">
        <v>1175</v>
      </c>
      <c r="E37" t="s">
        <v>217</v>
      </c>
      <c r="F37">
        <v>2</v>
      </c>
      <c r="G37" t="str">
        <f t="shared" si="0"/>
        <v>A</v>
      </c>
      <c r="H37" s="105"/>
      <c r="I37" s="109" t="s">
        <v>35</v>
      </c>
      <c r="J37"/>
      <c r="K37" s="70" t="s">
        <v>34</v>
      </c>
      <c r="L37" s="68">
        <v>6</v>
      </c>
      <c r="N37" s="71" t="s">
        <v>35</v>
      </c>
      <c r="O37" s="68">
        <v>1</v>
      </c>
      <c r="T37" s="197"/>
      <c r="U37" s="197"/>
      <c r="V37" s="197"/>
      <c r="W37" s="197"/>
      <c r="Y37" s="69" t="s">
        <v>89</v>
      </c>
      <c r="Z37" s="68"/>
    </row>
    <row r="38" spans="1:26" x14ac:dyDescent="0.25">
      <c r="A38">
        <v>186269</v>
      </c>
      <c r="B38" t="s">
        <v>1176</v>
      </c>
      <c r="C38" t="s">
        <v>34</v>
      </c>
      <c r="D38" t="s">
        <v>1177</v>
      </c>
      <c r="E38" t="s">
        <v>152</v>
      </c>
      <c r="F38">
        <v>3</v>
      </c>
      <c r="G38" s="73" t="str">
        <f t="shared" si="0"/>
        <v>A</v>
      </c>
      <c r="H38" s="105"/>
      <c r="I38" s="109" t="s">
        <v>35</v>
      </c>
      <c r="J38"/>
      <c r="K38" s="70" t="s">
        <v>33</v>
      </c>
      <c r="L38" s="68">
        <v>3</v>
      </c>
      <c r="N38" s="69" t="s">
        <v>131</v>
      </c>
      <c r="O38" s="68">
        <v>31</v>
      </c>
      <c r="T38" s="197"/>
      <c r="U38" s="197"/>
      <c r="V38" s="197"/>
      <c r="W38" s="197"/>
      <c r="Y38" s="71" t="s">
        <v>33</v>
      </c>
      <c r="Z38" s="68"/>
    </row>
    <row r="39" spans="1:26" x14ac:dyDescent="0.25">
      <c r="A39">
        <v>186268</v>
      </c>
      <c r="B39" t="s">
        <v>1178</v>
      </c>
      <c r="C39" t="s">
        <v>34</v>
      </c>
      <c r="D39" t="s">
        <v>1179</v>
      </c>
      <c r="E39" t="s">
        <v>152</v>
      </c>
      <c r="F39">
        <v>3</v>
      </c>
      <c r="G39" s="73" t="str">
        <f t="shared" si="0"/>
        <v>A</v>
      </c>
      <c r="H39" s="105"/>
      <c r="I39" s="109" t="s">
        <v>35</v>
      </c>
      <c r="J39"/>
      <c r="K39" s="69" t="s">
        <v>31</v>
      </c>
      <c r="L39" s="68">
        <v>100</v>
      </c>
      <c r="M39" s="68"/>
      <c r="N39" s="69" t="s">
        <v>36</v>
      </c>
      <c r="O39" s="68"/>
      <c r="T39" s="197"/>
      <c r="U39" s="197"/>
      <c r="V39" s="197"/>
      <c r="W39" s="197"/>
      <c r="Y39" s="70" t="s">
        <v>597</v>
      </c>
      <c r="Z39" s="68">
        <v>1</v>
      </c>
    </row>
    <row r="40" spans="1:26" x14ac:dyDescent="0.25">
      <c r="A40">
        <v>180596</v>
      </c>
      <c r="B40" t="s">
        <v>1084</v>
      </c>
      <c r="C40" t="s">
        <v>33</v>
      </c>
      <c r="D40" t="s">
        <v>1085</v>
      </c>
      <c r="E40" t="s">
        <v>210</v>
      </c>
      <c r="F40">
        <v>3</v>
      </c>
      <c r="G40" s="90" t="str">
        <f t="shared" si="0"/>
        <v>A</v>
      </c>
      <c r="H40" s="105"/>
      <c r="I40" s="109"/>
      <c r="J40"/>
      <c r="M40" s="68"/>
      <c r="N40" s="71" t="s">
        <v>122</v>
      </c>
      <c r="O40" s="68">
        <v>45</v>
      </c>
      <c r="T40" s="197"/>
      <c r="U40" s="197"/>
      <c r="V40" s="197"/>
      <c r="W40" s="197"/>
      <c r="Y40" s="71" t="s">
        <v>667</v>
      </c>
      <c r="Z40" s="68">
        <v>1</v>
      </c>
    </row>
    <row r="41" spans="1:26" x14ac:dyDescent="0.25">
      <c r="A41">
        <v>180280</v>
      </c>
      <c r="B41" t="s">
        <v>1180</v>
      </c>
      <c r="C41" t="s">
        <v>34</v>
      </c>
      <c r="D41" t="s">
        <v>1181</v>
      </c>
      <c r="E41" t="s">
        <v>210</v>
      </c>
      <c r="F41">
        <v>3</v>
      </c>
      <c r="G41" t="str">
        <f t="shared" si="0"/>
        <v>A</v>
      </c>
      <c r="H41" s="105"/>
      <c r="I41" s="109" t="s">
        <v>35</v>
      </c>
      <c r="J41"/>
      <c r="M41" s="68"/>
      <c r="N41" s="71" t="s">
        <v>35</v>
      </c>
      <c r="O41" s="68">
        <v>6</v>
      </c>
      <c r="Y41" s="69" t="s">
        <v>662</v>
      </c>
      <c r="Z41" s="68">
        <v>1</v>
      </c>
    </row>
    <row r="42" spans="1:26" x14ac:dyDescent="0.25">
      <c r="A42">
        <v>153705</v>
      </c>
      <c r="B42" t="s">
        <v>724</v>
      </c>
      <c r="C42" t="s">
        <v>34</v>
      </c>
      <c r="D42" t="s">
        <v>725</v>
      </c>
      <c r="E42" t="s">
        <v>155</v>
      </c>
      <c r="F42">
        <v>2</v>
      </c>
      <c r="G42" s="90" t="str">
        <f t="shared" si="0"/>
        <v>A</v>
      </c>
      <c r="H42" s="105"/>
      <c r="I42" s="109" t="s">
        <v>35</v>
      </c>
      <c r="J42"/>
      <c r="M42" s="68"/>
      <c r="N42" s="69" t="s">
        <v>132</v>
      </c>
      <c r="O42" s="68">
        <v>51</v>
      </c>
      <c r="Y42" s="69" t="s">
        <v>81</v>
      </c>
      <c r="Z42" s="68"/>
    </row>
    <row r="43" spans="1:26" x14ac:dyDescent="0.25">
      <c r="A43">
        <v>150931</v>
      </c>
      <c r="B43" t="s">
        <v>1182</v>
      </c>
      <c r="C43" t="s">
        <v>32</v>
      </c>
      <c r="D43" t="s">
        <v>1183</v>
      </c>
      <c r="F43">
        <v>2</v>
      </c>
      <c r="G43" t="str">
        <f t="shared" si="0"/>
        <v>A</v>
      </c>
      <c r="H43" s="105"/>
      <c r="I43" s="109"/>
      <c r="J43"/>
      <c r="M43" s="68"/>
      <c r="N43" s="69" t="s">
        <v>31</v>
      </c>
      <c r="O43" s="68">
        <v>82</v>
      </c>
      <c r="Y43" s="71" t="s">
        <v>33</v>
      </c>
      <c r="Z43" s="68"/>
    </row>
    <row r="44" spans="1:26" x14ac:dyDescent="0.25">
      <c r="A44">
        <v>147673</v>
      </c>
      <c r="B44" t="s">
        <v>1184</v>
      </c>
      <c r="C44" t="s">
        <v>34</v>
      </c>
      <c r="D44" t="s">
        <v>1185</v>
      </c>
      <c r="E44" t="s">
        <v>217</v>
      </c>
      <c r="F44">
        <v>3</v>
      </c>
      <c r="G44" t="str">
        <f t="shared" si="0"/>
        <v>A</v>
      </c>
      <c r="H44" s="105"/>
      <c r="I44" s="109" t="s">
        <v>35</v>
      </c>
      <c r="J44"/>
      <c r="M44" s="68"/>
      <c r="Y44" s="70" t="s">
        <v>589</v>
      </c>
      <c r="Z44" s="68">
        <v>1</v>
      </c>
    </row>
    <row r="45" spans="1:26" x14ac:dyDescent="0.25">
      <c r="A45">
        <v>147672</v>
      </c>
      <c r="B45" t="s">
        <v>1186</v>
      </c>
      <c r="C45" t="s">
        <v>34</v>
      </c>
      <c r="D45" t="s">
        <v>1187</v>
      </c>
      <c r="E45" t="s">
        <v>217</v>
      </c>
      <c r="F45">
        <v>3</v>
      </c>
      <c r="G45" t="str">
        <f t="shared" si="0"/>
        <v>A</v>
      </c>
      <c r="H45" s="105"/>
      <c r="I45" s="109" t="s">
        <v>35</v>
      </c>
      <c r="J45"/>
      <c r="M45" s="68"/>
      <c r="Y45" s="71" t="s">
        <v>667</v>
      </c>
      <c r="Z45" s="68">
        <v>1</v>
      </c>
    </row>
    <row r="46" spans="1:26" x14ac:dyDescent="0.25">
      <c r="A46">
        <v>139794</v>
      </c>
      <c r="B46" t="s">
        <v>1026</v>
      </c>
      <c r="C46" t="s">
        <v>33</v>
      </c>
      <c r="D46" t="s">
        <v>1027</v>
      </c>
      <c r="E46" t="s">
        <v>196</v>
      </c>
      <c r="F46">
        <v>3</v>
      </c>
      <c r="G46" s="73" t="str">
        <f t="shared" si="0"/>
        <v>A</v>
      </c>
      <c r="H46" s="105"/>
      <c r="I46" s="109"/>
      <c r="J46"/>
      <c r="M46" s="68"/>
      <c r="Y46" s="69" t="s">
        <v>663</v>
      </c>
      <c r="Z46" s="68">
        <v>1</v>
      </c>
    </row>
    <row r="47" spans="1:26" x14ac:dyDescent="0.25">
      <c r="C47"/>
      <c r="G47" t="str">
        <f t="shared" si="0"/>
        <v/>
      </c>
      <c r="H47" s="105"/>
      <c r="I47" s="109"/>
      <c r="J47"/>
      <c r="M47" s="68"/>
      <c r="Y47" s="69" t="s">
        <v>236</v>
      </c>
      <c r="Z47" s="68"/>
    </row>
    <row r="48" spans="1:26" x14ac:dyDescent="0.25">
      <c r="C48"/>
      <c r="G48" t="str">
        <f t="shared" si="0"/>
        <v/>
      </c>
      <c r="H48" s="105"/>
      <c r="I48" s="109"/>
      <c r="J48"/>
      <c r="Y48" s="71" t="s">
        <v>33</v>
      </c>
      <c r="Z48" s="68"/>
    </row>
    <row r="49" spans="1:26" x14ac:dyDescent="0.25">
      <c r="C49"/>
      <c r="G49" s="90" t="str">
        <f t="shared" si="0"/>
        <v/>
      </c>
      <c r="H49" s="105"/>
      <c r="I49" s="109"/>
      <c r="J49"/>
      <c r="Y49" s="70" t="s">
        <v>533</v>
      </c>
      <c r="Z49" s="68">
        <v>1</v>
      </c>
    </row>
    <row r="50" spans="1:26" x14ac:dyDescent="0.25">
      <c r="C50"/>
      <c r="G50" s="90" t="str">
        <f t="shared" si="0"/>
        <v/>
      </c>
      <c r="H50" s="105"/>
      <c r="I50" s="109"/>
      <c r="J50"/>
      <c r="Y50" s="71" t="s">
        <v>667</v>
      </c>
      <c r="Z50" s="68">
        <v>1</v>
      </c>
    </row>
    <row r="51" spans="1:26" x14ac:dyDescent="0.25">
      <c r="C51"/>
      <c r="G51" s="90" t="str">
        <f t="shared" si="0"/>
        <v/>
      </c>
      <c r="H51" s="105"/>
      <c r="I51" s="109"/>
      <c r="J51"/>
      <c r="Y51" s="71" t="s">
        <v>32</v>
      </c>
      <c r="Z51" s="68"/>
    </row>
    <row r="52" spans="1:26" x14ac:dyDescent="0.25">
      <c r="C52"/>
      <c r="G52" s="90" t="str">
        <f t="shared" si="0"/>
        <v/>
      </c>
      <c r="H52" s="105"/>
      <c r="I52" s="109"/>
      <c r="J52"/>
      <c r="Y52" s="70" t="s">
        <v>567</v>
      </c>
      <c r="Z52" s="68">
        <v>1</v>
      </c>
    </row>
    <row r="53" spans="1:26" x14ac:dyDescent="0.25">
      <c r="C53"/>
      <c r="G53" s="90" t="str">
        <f t="shared" si="0"/>
        <v/>
      </c>
      <c r="H53" s="105"/>
      <c r="I53" s="109"/>
      <c r="J53"/>
      <c r="K53" t="s">
        <v>669</v>
      </c>
      <c r="Y53" s="70" t="s">
        <v>633</v>
      </c>
      <c r="Z53" s="68">
        <v>1</v>
      </c>
    </row>
    <row r="54" spans="1:26" x14ac:dyDescent="0.25">
      <c r="C54"/>
      <c r="G54" s="90" t="str">
        <f t="shared" si="0"/>
        <v/>
      </c>
      <c r="H54" s="105"/>
      <c r="I54" s="109"/>
      <c r="J54"/>
      <c r="M54" s="68"/>
      <c r="Y54" s="71" t="s">
        <v>668</v>
      </c>
      <c r="Z54" s="68">
        <v>2</v>
      </c>
    </row>
    <row r="55" spans="1:26" x14ac:dyDescent="0.25">
      <c r="A55" s="90" t="str">
        <f t="shared" ref="A55:A62" si="4">MID(B55,8,3)</f>
        <v/>
      </c>
      <c r="B55" s="105"/>
      <c r="C55" s="105"/>
      <c r="D55" s="105"/>
      <c r="E55" s="107"/>
      <c r="F55" s="105"/>
      <c r="G55" s="90" t="str">
        <f t="shared" si="0"/>
        <v/>
      </c>
      <c r="H55" s="105"/>
      <c r="I55" s="109"/>
      <c r="J55"/>
      <c r="M55" s="68"/>
      <c r="Y55" s="69" t="s">
        <v>664</v>
      </c>
      <c r="Z55" s="68">
        <v>3</v>
      </c>
    </row>
    <row r="56" spans="1:26" x14ac:dyDescent="0.25">
      <c r="A56" s="73" t="str">
        <f t="shared" si="4"/>
        <v/>
      </c>
      <c r="C56"/>
      <c r="G56" s="73" t="str">
        <f t="shared" si="0"/>
        <v/>
      </c>
      <c r="H56" s="105"/>
      <c r="I56" s="109"/>
      <c r="J56"/>
      <c r="K56" s="71"/>
      <c r="L56" s="68"/>
      <c r="M56" s="68"/>
      <c r="Y56" s="69" t="s">
        <v>72</v>
      </c>
      <c r="Z56" s="68"/>
    </row>
    <row r="57" spans="1:26" x14ac:dyDescent="0.25">
      <c r="A57" s="90" t="str">
        <f t="shared" si="4"/>
        <v/>
      </c>
      <c r="C57"/>
      <c r="G57" s="90" t="str">
        <f t="shared" si="0"/>
        <v/>
      </c>
      <c r="H57" s="105"/>
      <c r="I57" s="109"/>
      <c r="J57"/>
      <c r="K57" s="69"/>
      <c r="L57" s="68"/>
      <c r="Y57" s="71" t="s">
        <v>32</v>
      </c>
      <c r="Z57" s="68"/>
    </row>
    <row r="58" spans="1:26" x14ac:dyDescent="0.25">
      <c r="A58" s="90" t="str">
        <f t="shared" si="4"/>
        <v/>
      </c>
      <c r="C58"/>
      <c r="G58" s="90" t="str">
        <f t="shared" si="0"/>
        <v/>
      </c>
      <c r="H58" s="105"/>
      <c r="I58" s="109"/>
      <c r="J58"/>
      <c r="K58" s="69"/>
      <c r="L58" s="68"/>
      <c r="Y58" s="70" t="s">
        <v>599</v>
      </c>
      <c r="Z58" s="68">
        <v>1</v>
      </c>
    </row>
    <row r="59" spans="1:26" x14ac:dyDescent="0.25">
      <c r="A59" s="73" t="str">
        <f t="shared" si="4"/>
        <v/>
      </c>
      <c r="C59"/>
      <c r="F59" s="13"/>
      <c r="G59" s="73" t="str">
        <f t="shared" si="0"/>
        <v/>
      </c>
      <c r="H59" s="105"/>
      <c r="I59" s="109"/>
      <c r="J59"/>
      <c r="Y59" s="70" t="s">
        <v>603</v>
      </c>
      <c r="Z59" s="68">
        <v>1</v>
      </c>
    </row>
    <row r="60" spans="1:26" x14ac:dyDescent="0.25">
      <c r="A60" s="90" t="str">
        <f t="shared" si="4"/>
        <v/>
      </c>
      <c r="C60"/>
      <c r="G60" s="90" t="str">
        <f t="shared" si="0"/>
        <v/>
      </c>
      <c r="H60" s="105"/>
      <c r="I60" s="109"/>
      <c r="J60"/>
      <c r="Y60" s="71" t="s">
        <v>668</v>
      </c>
      <c r="Z60" s="68">
        <v>2</v>
      </c>
    </row>
    <row r="61" spans="1:26" x14ac:dyDescent="0.25">
      <c r="A61" s="90" t="str">
        <f t="shared" si="4"/>
        <v/>
      </c>
      <c r="C61"/>
      <c r="G61" s="90" t="str">
        <f t="shared" si="0"/>
        <v/>
      </c>
      <c r="H61" s="105"/>
      <c r="I61" s="109"/>
      <c r="J61"/>
      <c r="Y61" s="69" t="s">
        <v>665</v>
      </c>
      <c r="Z61" s="68">
        <v>2</v>
      </c>
    </row>
    <row r="62" spans="1:26" x14ac:dyDescent="0.25">
      <c r="A62" s="90" t="str">
        <f t="shared" si="4"/>
        <v/>
      </c>
      <c r="C62"/>
      <c r="G62" s="90" t="str">
        <f t="shared" si="0"/>
        <v/>
      </c>
      <c r="H62" s="105"/>
      <c r="I62" s="109"/>
      <c r="J62"/>
      <c r="Y62" s="69" t="s">
        <v>31</v>
      </c>
      <c r="Z62" s="68">
        <v>16</v>
      </c>
    </row>
    <row r="63" spans="1:26" x14ac:dyDescent="0.25">
      <c r="B63" s="106"/>
      <c r="D63" s="106"/>
      <c r="E63" s="106"/>
      <c r="F63" s="106"/>
    </row>
    <row r="64" spans="1:26" x14ac:dyDescent="0.25">
      <c r="B64" s="106"/>
      <c r="D64" s="106"/>
      <c r="E64" s="106"/>
      <c r="F64" s="106"/>
    </row>
  </sheetData>
  <sheetProtection sort="0" autoFilter="0" pivotTables="0"/>
  <mergeCells count="2">
    <mergeCell ref="AC9:AD9"/>
    <mergeCell ref="T17:W40"/>
  </mergeCells>
  <conditionalFormatting sqref="I2:I62">
    <cfRule type="expression" dxfId="674" priority="29">
      <formula>$C2="Done"</formula>
    </cfRule>
  </conditionalFormatting>
  <conditionalFormatting sqref="C2:C57">
    <cfRule type="expression" dxfId="673" priority="27">
      <formula>C2="Blocked"</formula>
    </cfRule>
    <cfRule type="expression" dxfId="672" priority="28">
      <formula>C2="Done"</formula>
    </cfRule>
  </conditionalFormatting>
  <conditionalFormatting sqref="I2:I62">
    <cfRule type="expression" dxfId="671" priority="26" stopIfTrue="1">
      <formula>IF(C2="Done", IF(I2&lt;&gt;"Y",TRUE,FALSE),FALSE)</formula>
    </cfRule>
  </conditionalFormatting>
  <conditionalFormatting sqref="S2:S4">
    <cfRule type="expression" dxfId="670" priority="25">
      <formula>IF(S2&lt;0.8, TRUE, IF(S2&gt;1.2, TRUE, FALSE))</formula>
    </cfRule>
  </conditionalFormatting>
  <conditionalFormatting sqref="A30:I30">
    <cfRule type="expression" dxfId="669" priority="24">
      <formula>$C30="Blocked"</formula>
    </cfRule>
  </conditionalFormatting>
  <conditionalFormatting sqref="D43:E49">
    <cfRule type="expression" dxfId="668" priority="22">
      <formula>D43="Blocked"</formula>
    </cfRule>
    <cfRule type="expression" dxfId="667" priority="23">
      <formula>D43="Done"</formula>
    </cfRule>
  </conditionalFormatting>
  <conditionalFormatting sqref="C58">
    <cfRule type="expression" dxfId="666" priority="20">
      <formula>C58="Blocked"</formula>
    </cfRule>
    <cfRule type="expression" dxfId="665" priority="21">
      <formula>C58="Done"</formula>
    </cfRule>
  </conditionalFormatting>
  <conditionalFormatting sqref="C59:C61">
    <cfRule type="expression" dxfId="664" priority="18">
      <formula>C59="Blocked"</formula>
    </cfRule>
    <cfRule type="expression" dxfId="663" priority="19">
      <formula>C59="Done"</formula>
    </cfRule>
  </conditionalFormatting>
  <conditionalFormatting sqref="C62">
    <cfRule type="expression" dxfId="662" priority="16">
      <formula>C62="Blocked"</formula>
    </cfRule>
    <cfRule type="expression" dxfId="661" priority="17">
      <formula>C62="Done"</formula>
    </cfRule>
  </conditionalFormatting>
  <conditionalFormatting sqref="P9:R9">
    <cfRule type="expression" dxfId="660" priority="5">
      <formula>P9&gt;0.2</formula>
    </cfRule>
    <cfRule type="expression" dxfId="659" priority="6">
      <formula>P9&gt;0.4</formula>
    </cfRule>
  </conditionalFormatting>
  <conditionalFormatting sqref="P7:R8">
    <cfRule type="expression" dxfId="658" priority="2">
      <formula>P7&gt;0.2</formula>
    </cfRule>
    <cfRule type="expression" dxfId="657" priority="3">
      <formula>P7&gt;0.4</formula>
    </cfRule>
  </conditionalFormatting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281" r:id="rId8" name="Button 1">
              <controlPr defaultSize="0" print="0" autoFill="0" autoPict="0" macro="[0]!ResetAndLock">
                <anchor moveWithCells="1" sizeWithCells="1">
                  <from>
                    <xdr:col>18</xdr:col>
                    <xdr:colOff>952500</xdr:colOff>
                    <xdr:row>8</xdr:row>
                    <xdr:rowOff>9525</xdr:rowOff>
                  </from>
                  <to>
                    <xdr:col>23</xdr:col>
                    <xdr:colOff>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8">
    <tablePart r:id="rId9"/>
    <tablePart r:id="rId10"/>
    <tablePart r:id="rId11"/>
    <tablePart r:id="rId12"/>
    <tablePart r:id="rId13"/>
    <tablePart r:id="rId14"/>
    <tablePart r:id="rId15"/>
    <tablePart r:id="rId1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B10190F7-D7F1-437A-BA89-7A13E3EDF45F}">
            <x14:iconSet iconSet="4Arrows" custom="1">
              <x14:cfvo type="percent">
                <xm:f>0</xm:f>
              </x14:cfvo>
              <x14:cfvo type="num">
                <xm:f>0.2</xm:f>
              </x14:cfvo>
              <x14:cfvo type="num">
                <xm:f>0.3</xm:f>
              </x14:cfvo>
              <x14:cfvo type="num">
                <xm:f>0.5</xm:f>
              </x14:cfvo>
              <x14:cfIcon iconSet="3Symbols2" iconId="2"/>
              <x14:cfIcon iconSet="3Flags" iconId="1"/>
              <x14:cfIcon iconSet="3Symbols" iconId="1"/>
              <x14:cfIcon iconSet="3Symbols" iconId="0"/>
            </x14:iconSet>
          </x14:cfRule>
          <xm:sqref>P9:R9</xm:sqref>
        </x14:conditionalFormatting>
        <x14:conditionalFormatting xmlns:xm="http://schemas.microsoft.com/office/excel/2006/main">
          <x14:cfRule type="iconSet" priority="1" id="{37626AC7-9C85-4FAA-B1DD-BB7AB7243721}">
            <x14:iconSet iconSet="4Arrows" custom="1">
              <x14:cfvo type="percent">
                <xm:f>0</xm:f>
              </x14:cfvo>
              <x14:cfvo type="num">
                <xm:f>0.2</xm:f>
              </x14:cfvo>
              <x14:cfvo type="num">
                <xm:f>0.3</xm:f>
              </x14:cfvo>
              <x14:cfvo type="num">
                <xm:f>0.5</xm:f>
              </x14:cfvo>
              <x14:cfIcon iconSet="3Symbols2" iconId="2"/>
              <x14:cfIcon iconSet="3Flags" iconId="1"/>
              <x14:cfIcon iconSet="3Symbols" iconId="1"/>
              <x14:cfIcon iconSet="3Symbols" iconId="0"/>
            </x14:iconSet>
          </x14:cfRule>
          <xm:sqref>P7:R8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/>
  <dimension ref="A1:AD64"/>
  <sheetViews>
    <sheetView topLeftCell="J2" zoomScaleNormal="100" workbookViewId="0">
      <selection activeCell="O6" sqref="O6:R8"/>
    </sheetView>
  </sheetViews>
  <sheetFormatPr defaultRowHeight="15" x14ac:dyDescent="0.25"/>
  <cols>
    <col min="2" max="2" width="12.28515625" customWidth="1"/>
    <col min="3" max="3" width="11" style="106" customWidth="1"/>
    <col min="4" max="4" width="56.28515625" customWidth="1"/>
    <col min="5" max="5" width="13.140625" customWidth="1"/>
    <col min="6" max="6" width="13.85546875" bestFit="1" customWidth="1"/>
    <col min="8" max="8" width="14.140625" bestFit="1" customWidth="1"/>
    <col min="9" max="9" width="14.140625" style="106" bestFit="1" customWidth="1"/>
    <col min="10" max="10" width="10.85546875" style="106" customWidth="1"/>
    <col min="11" max="11" width="16.7109375" bestFit="1" customWidth="1"/>
    <col min="12" max="13" width="6.42578125" bestFit="1" customWidth="1"/>
    <col min="14" max="14" width="11.28515625" bestFit="1" customWidth="1"/>
    <col min="15" max="15" width="18.42578125" bestFit="1" customWidth="1"/>
    <col min="16" max="16" width="18.42578125" customWidth="1"/>
    <col min="17" max="17" width="19" customWidth="1"/>
    <col min="18" max="18" width="16.28515625" customWidth="1"/>
    <col min="19" max="19" width="16.5703125" customWidth="1"/>
    <col min="20" max="20" width="14.5703125" customWidth="1"/>
    <col min="21" max="21" width="18.140625" customWidth="1"/>
    <col min="22" max="22" width="1.42578125" customWidth="1"/>
    <col min="23" max="23" width="11" customWidth="1"/>
    <col min="24" max="24" width="10.85546875" customWidth="1"/>
    <col min="25" max="25" width="9.140625" customWidth="1"/>
    <col min="26" max="26" width="78.85546875" customWidth="1"/>
    <col min="27" max="27" width="14.5703125" customWidth="1"/>
    <col min="28" max="28" width="9.140625" customWidth="1"/>
    <col min="29" max="29" width="11.5703125" customWidth="1"/>
    <col min="30" max="32" width="9.140625" customWidth="1"/>
  </cols>
  <sheetData>
    <row r="1" spans="1:30" ht="30.75" customHeight="1" x14ac:dyDescent="0.25">
      <c r="A1" t="s">
        <v>231</v>
      </c>
      <c r="B1" t="s">
        <v>48</v>
      </c>
      <c r="C1" s="106" t="s">
        <v>47</v>
      </c>
      <c r="D1" t="s">
        <v>46</v>
      </c>
      <c r="E1" t="s">
        <v>45</v>
      </c>
      <c r="F1" t="s">
        <v>38</v>
      </c>
      <c r="G1" t="s">
        <v>44</v>
      </c>
      <c r="H1" s="106" t="s">
        <v>43</v>
      </c>
      <c r="I1" s="106" t="s">
        <v>144</v>
      </c>
      <c r="J1"/>
      <c r="N1" t="s">
        <v>133</v>
      </c>
      <c r="O1" t="s">
        <v>134</v>
      </c>
      <c r="P1" t="s">
        <v>41</v>
      </c>
      <c r="Q1" t="s">
        <v>135</v>
      </c>
      <c r="R1" t="s">
        <v>136</v>
      </c>
      <c r="S1" s="86" t="s">
        <v>143</v>
      </c>
      <c r="T1" s="86" t="s">
        <v>141</v>
      </c>
      <c r="U1" s="159" t="s">
        <v>142</v>
      </c>
      <c r="V1" s="86" t="s">
        <v>1108</v>
      </c>
      <c r="W1" s="86" t="s">
        <v>145</v>
      </c>
      <c r="Y1" t="s">
        <v>39</v>
      </c>
      <c r="Z1" t="s">
        <v>666</v>
      </c>
    </row>
    <row r="2" spans="1:30" x14ac:dyDescent="0.25">
      <c r="A2">
        <v>182429</v>
      </c>
      <c r="B2" t="s">
        <v>1045</v>
      </c>
      <c r="C2" t="s">
        <v>34</v>
      </c>
      <c r="D2" t="s">
        <v>1046</v>
      </c>
      <c r="E2" t="s">
        <v>189</v>
      </c>
      <c r="F2">
        <v>3</v>
      </c>
      <c r="G2" t="str">
        <f t="shared" ref="G2:G33" si="0">MID(B2,4,1)</f>
        <v>U</v>
      </c>
      <c r="H2" s="105" t="s">
        <v>35</v>
      </c>
      <c r="I2" s="109" t="s">
        <v>35</v>
      </c>
      <c r="J2"/>
      <c r="K2" s="72" t="s">
        <v>119</v>
      </c>
      <c r="L2" t="s">
        <v>120</v>
      </c>
      <c r="N2" t="s">
        <v>2</v>
      </c>
      <c r="O2">
        <f>+O12-Table92431384559526673808794[[#This Row],[Blocked]]</f>
        <v>48</v>
      </c>
      <c r="P2">
        <f>IF(ISERR(P12),0,P12)</f>
        <v>0</v>
      </c>
      <c r="Q2">
        <f>IF(ISERR(Q12),0,Q12)</f>
        <v>0</v>
      </c>
      <c r="R2">
        <f>+IF(ISERR(R16),0,R16)</f>
        <v>45</v>
      </c>
      <c r="S2" s="88">
        <f>Table92431384559526673808794[[#This Row],[Completed]]/Table92431384559526673808794[[#This Row],[Committed]]</f>
        <v>0.9375</v>
      </c>
      <c r="T2" s="83">
        <f>Table92431384559526673808794[[#This Row],[Completed]]/(Table92431384559526673808794[[#This Row],[Added]]+Table92431384559526673808794[[#This Row],[Committed]])</f>
        <v>0.9375</v>
      </c>
      <c r="V2" s="84" t="str">
        <f>IF(ISERR(O16),0,O16) &amp; "  (" &amp;TEXT(IF(ISERR(O16),0,O16)/Table92431384559526673808794[[#This Row],[Committed]],"#%") &amp; ")"</f>
        <v>45  (94%)</v>
      </c>
      <c r="W2" s="85" t="str">
        <f>+IF(ISERR(P16),0,P16) &amp; " (" &amp; TEXT(R20, "#%") &amp; ")"</f>
        <v>0 (%)</v>
      </c>
      <c r="Y2" s="69" t="s">
        <v>61</v>
      </c>
      <c r="Z2" s="68"/>
    </row>
    <row r="3" spans="1:30" x14ac:dyDescent="0.25">
      <c r="A3">
        <v>181933</v>
      </c>
      <c r="B3" t="s">
        <v>1047</v>
      </c>
      <c r="C3" t="s">
        <v>34</v>
      </c>
      <c r="D3" t="s">
        <v>1048</v>
      </c>
      <c r="E3" t="s">
        <v>152</v>
      </c>
      <c r="F3">
        <v>1</v>
      </c>
      <c r="G3" t="str">
        <f t="shared" si="0"/>
        <v>U</v>
      </c>
      <c r="H3" s="105" t="s">
        <v>35</v>
      </c>
      <c r="I3" s="109" t="s">
        <v>35</v>
      </c>
      <c r="J3"/>
      <c r="K3" s="69" t="s">
        <v>37</v>
      </c>
      <c r="L3" s="68">
        <v>48</v>
      </c>
      <c r="N3" t="s">
        <v>3</v>
      </c>
      <c r="O3">
        <f>+O13-Table92431384559526673808794[[#This Row],[Blocked]]</f>
        <v>37</v>
      </c>
      <c r="P3">
        <f>IF(ISERR(P13),0,P13)</f>
        <v>4</v>
      </c>
      <c r="Q3">
        <f>IF(ISERR(Q13),0,Q13)</f>
        <v>0</v>
      </c>
      <c r="R3">
        <f>+IF(ISERR(R17),0,R17)</f>
        <v>36</v>
      </c>
      <c r="S3" s="88">
        <f>Table92431384559526673808794[[#This Row],[Completed]]/Table92431384559526673808794[[#This Row],[Committed]]</f>
        <v>0.97297297297297303</v>
      </c>
      <c r="T3" s="83">
        <f>Table92431384559526673808794[[#This Row],[Completed]]/(Table92431384559526673808794[[#This Row],[Added]]+Table92431384559526673808794[[#This Row],[Committed]])</f>
        <v>0.87804878048780488</v>
      </c>
      <c r="V3" s="84" t="str">
        <f>IF(ISERR(O17),0,O17) &amp; "  (" &amp;TEXT(IF(ISERR(O17),0,O17)/Table92431384559526673808794[[#This Row],[Committed]],"#%") &amp; ")"</f>
        <v>32  (86%)</v>
      </c>
      <c r="W3" s="85" t="str">
        <f>+IF(ISERR(P17),0,P17) &amp; " (" &amp; TEXT(R21, "#%") &amp; ")"</f>
        <v>4 (100%)</v>
      </c>
      <c r="Y3" s="71" t="s">
        <v>33</v>
      </c>
      <c r="Z3" s="68"/>
    </row>
    <row r="4" spans="1:30" x14ac:dyDescent="0.25">
      <c r="A4">
        <v>180283</v>
      </c>
      <c r="B4" t="s">
        <v>1049</v>
      </c>
      <c r="C4" t="s">
        <v>34</v>
      </c>
      <c r="D4" t="s">
        <v>1050</v>
      </c>
      <c r="E4" t="s">
        <v>184</v>
      </c>
      <c r="F4">
        <v>3</v>
      </c>
      <c r="G4" s="90" t="str">
        <f t="shared" si="0"/>
        <v>U</v>
      </c>
      <c r="H4" s="105"/>
      <c r="I4" s="109" t="s">
        <v>35</v>
      </c>
      <c r="J4"/>
      <c r="K4" s="71" t="s">
        <v>34</v>
      </c>
      <c r="L4" s="68">
        <v>45</v>
      </c>
      <c r="N4" t="s">
        <v>303</v>
      </c>
      <c r="O4" s="68">
        <f>SUM(O2:O3)</f>
        <v>85</v>
      </c>
      <c r="P4">
        <f>SUM(P2:P3)</f>
        <v>4</v>
      </c>
      <c r="Q4" s="68">
        <f>SUM(Q2:Q3)</f>
        <v>0</v>
      </c>
      <c r="R4" s="68">
        <f>SUM(R2:R3)</f>
        <v>81</v>
      </c>
      <c r="S4" s="88">
        <f>Table92431384559526673808794[[#This Row],[Completed]]/Table92431384559526673808794[[#This Row],[Committed]]</f>
        <v>0.95294117647058818</v>
      </c>
      <c r="T4" s="83">
        <f>Table92431384559526673808794[[#This Row],[Completed]]/(Table92431384559526673808794[[#This Row],[Added]]+Table92431384559526673808794[[#This Row],[Committed]])</f>
        <v>0.9101123595505618</v>
      </c>
      <c r="V4" s="108" t="str">
        <f>IF(ISERR(SUM(O16:O17)),0,SUM(O16:O17)) &amp;"  ("&amp;TEXT(SUM(O16:O17)/O4,"#%") &amp;")"</f>
        <v>77  (91%)</v>
      </c>
      <c r="W4" s="85" t="str">
        <f>R4-SUM(O16:O17)&amp;" ("&amp;TEXT((R4-SUM(O16:O17))/IF(P4=0,1,P4),"#%")&amp;")"</f>
        <v>4 (100%)</v>
      </c>
      <c r="Y4" s="70" t="s">
        <v>625</v>
      </c>
      <c r="Z4" s="68">
        <v>1</v>
      </c>
    </row>
    <row r="5" spans="1:30" x14ac:dyDescent="0.25">
      <c r="A5">
        <v>180282</v>
      </c>
      <c r="B5" t="s">
        <v>1051</v>
      </c>
      <c r="C5" t="s">
        <v>34</v>
      </c>
      <c r="D5" t="s">
        <v>1052</v>
      </c>
      <c r="E5" t="s">
        <v>158</v>
      </c>
      <c r="F5">
        <v>3</v>
      </c>
      <c r="G5" t="str">
        <f t="shared" si="0"/>
        <v>U</v>
      </c>
      <c r="H5" s="106"/>
      <c r="I5" s="109" t="s">
        <v>35</v>
      </c>
      <c r="J5"/>
      <c r="K5" s="71" t="s">
        <v>33</v>
      </c>
      <c r="L5" s="68">
        <v>3</v>
      </c>
      <c r="O5" t="s">
        <v>140</v>
      </c>
      <c r="S5" t="s">
        <v>220</v>
      </c>
      <c r="Y5" s="71" t="s">
        <v>667</v>
      </c>
      <c r="Z5" s="68">
        <v>1</v>
      </c>
    </row>
    <row r="6" spans="1:30" x14ac:dyDescent="0.25">
      <c r="A6">
        <v>180281</v>
      </c>
      <c r="B6" t="s">
        <v>1053</v>
      </c>
      <c r="C6" t="s">
        <v>34</v>
      </c>
      <c r="D6" t="s">
        <v>1054</v>
      </c>
      <c r="E6" t="s">
        <v>184</v>
      </c>
      <c r="F6">
        <v>3</v>
      </c>
      <c r="G6" s="73" t="str">
        <f t="shared" si="0"/>
        <v>U</v>
      </c>
      <c r="H6" s="105"/>
      <c r="I6" s="109" t="s">
        <v>35</v>
      </c>
      <c r="J6"/>
      <c r="K6" s="69" t="s">
        <v>36</v>
      </c>
      <c r="L6" s="68">
        <v>41</v>
      </c>
      <c r="O6" s="175" t="s">
        <v>40</v>
      </c>
      <c r="P6" s="174" t="s">
        <v>2</v>
      </c>
      <c r="Q6" s="174" t="s">
        <v>137</v>
      </c>
      <c r="R6" s="174" t="s">
        <v>1436</v>
      </c>
      <c r="Y6" s="71" t="s">
        <v>32</v>
      </c>
      <c r="Z6" s="68"/>
    </row>
    <row r="7" spans="1:30" x14ac:dyDescent="0.25">
      <c r="A7">
        <v>180325</v>
      </c>
      <c r="B7" t="s">
        <v>1055</v>
      </c>
      <c r="C7" t="s">
        <v>34</v>
      </c>
      <c r="D7" t="s">
        <v>1056</v>
      </c>
      <c r="E7" t="s">
        <v>112</v>
      </c>
      <c r="F7">
        <v>2</v>
      </c>
      <c r="G7" t="str">
        <f t="shared" si="0"/>
        <v>U</v>
      </c>
      <c r="H7" s="105"/>
      <c r="I7" s="109" t="s">
        <v>35</v>
      </c>
      <c r="J7"/>
      <c r="K7" s="71" t="s">
        <v>32</v>
      </c>
      <c r="L7" s="68">
        <v>3</v>
      </c>
      <c r="O7" s="174" t="s">
        <v>1437</v>
      </c>
      <c r="P7" s="87">
        <f>+P2/(P2+O2)</f>
        <v>0</v>
      </c>
      <c r="Q7" s="87">
        <f>P3/(O3+P3)</f>
        <v>9.7560975609756101E-2</v>
      </c>
      <c r="R7" s="87">
        <f>P4/(O4+P4)</f>
        <v>4.49438202247191E-2</v>
      </c>
      <c r="Y7" s="70" t="s">
        <v>525</v>
      </c>
      <c r="Z7" s="68">
        <v>1</v>
      </c>
    </row>
    <row r="8" spans="1:30" ht="15.75" thickBot="1" x14ac:dyDescent="0.3">
      <c r="A8">
        <v>180585</v>
      </c>
      <c r="B8" t="s">
        <v>1057</v>
      </c>
      <c r="C8" t="s">
        <v>34</v>
      </c>
      <c r="D8" t="s">
        <v>1058</v>
      </c>
      <c r="E8" t="s">
        <v>158</v>
      </c>
      <c r="F8">
        <v>3</v>
      </c>
      <c r="G8" s="90" t="str">
        <f t="shared" si="0"/>
        <v>U</v>
      </c>
      <c r="H8" s="105"/>
      <c r="I8" s="109" t="s">
        <v>35</v>
      </c>
      <c r="J8"/>
      <c r="K8" s="71" t="s">
        <v>34</v>
      </c>
      <c r="L8" s="68">
        <v>36</v>
      </c>
      <c r="M8" s="68"/>
      <c r="N8" s="160"/>
      <c r="O8" s="174" t="s">
        <v>1438</v>
      </c>
      <c r="P8" s="87">
        <f>+P2/O2</f>
        <v>0</v>
      </c>
      <c r="Q8" s="87">
        <f>P3/O3</f>
        <v>0.10810810810810811</v>
      </c>
      <c r="R8" s="87">
        <f>P4/O4</f>
        <v>4.7058823529411764E-2</v>
      </c>
      <c r="Y8" s="70" t="s">
        <v>623</v>
      </c>
      <c r="Z8" s="68">
        <v>1</v>
      </c>
    </row>
    <row r="9" spans="1:30" ht="15.75" thickBot="1" x14ac:dyDescent="0.3">
      <c r="A9">
        <v>180318</v>
      </c>
      <c r="B9" t="s">
        <v>1059</v>
      </c>
      <c r="C9" t="s">
        <v>34</v>
      </c>
      <c r="D9" t="s">
        <v>1060</v>
      </c>
      <c r="E9" t="s">
        <v>92</v>
      </c>
      <c r="F9">
        <v>3</v>
      </c>
      <c r="G9" t="str">
        <f t="shared" si="0"/>
        <v>U</v>
      </c>
      <c r="H9" s="105"/>
      <c r="I9" s="109" t="s">
        <v>35</v>
      </c>
      <c r="J9"/>
      <c r="K9" s="71" t="s">
        <v>33</v>
      </c>
      <c r="L9" s="68">
        <v>2</v>
      </c>
      <c r="M9" s="68"/>
      <c r="N9" s="160"/>
      <c r="O9" s="174"/>
      <c r="P9" s="87"/>
      <c r="Q9" s="87"/>
      <c r="R9" s="87"/>
      <c r="Y9" s="71" t="s">
        <v>668</v>
      </c>
      <c r="Z9" s="68">
        <v>2</v>
      </c>
      <c r="AC9" s="195" t="s">
        <v>634</v>
      </c>
      <c r="AD9" s="196"/>
    </row>
    <row r="10" spans="1:30" ht="15.75" thickTop="1" x14ac:dyDescent="0.25">
      <c r="A10">
        <v>180258</v>
      </c>
      <c r="B10" t="s">
        <v>1061</v>
      </c>
      <c r="C10" t="s">
        <v>34</v>
      </c>
      <c r="D10" t="s">
        <v>1062</v>
      </c>
      <c r="E10" t="s">
        <v>81</v>
      </c>
      <c r="F10">
        <v>3</v>
      </c>
      <c r="G10" t="str">
        <f t="shared" si="0"/>
        <v>U</v>
      </c>
      <c r="H10" s="105"/>
      <c r="I10" s="109" t="s">
        <v>35</v>
      </c>
      <c r="J10"/>
      <c r="K10" s="69" t="s">
        <v>735</v>
      </c>
      <c r="L10" s="68"/>
      <c r="M10" s="68"/>
      <c r="N10" t="s">
        <v>139</v>
      </c>
      <c r="R10" t="s">
        <v>138</v>
      </c>
      <c r="V10" s="13"/>
      <c r="W10" s="13"/>
      <c r="Y10" s="69" t="s">
        <v>656</v>
      </c>
      <c r="Z10" s="68">
        <v>3</v>
      </c>
      <c r="AC10" s="121" t="e">
        <f>+GETPIVOTDATA("Story Points2",$K$20,"Project","A","Added After","Y")</f>
        <v>#REF!</v>
      </c>
      <c r="AD10" s="122" t="e">
        <f>GETPIVOTDATA("Story Points2",$K$2,"Status","Blocked","Project","A")</f>
        <v>#REF!</v>
      </c>
    </row>
    <row r="11" spans="1:30" x14ac:dyDescent="0.25">
      <c r="A11">
        <v>180046</v>
      </c>
      <c r="B11" t="s">
        <v>1063</v>
      </c>
      <c r="C11" t="s">
        <v>34</v>
      </c>
      <c r="D11" t="s">
        <v>1064</v>
      </c>
      <c r="E11" t="s">
        <v>235</v>
      </c>
      <c r="F11">
        <v>3</v>
      </c>
      <c r="G11" t="str">
        <f t="shared" si="0"/>
        <v>U</v>
      </c>
      <c r="H11" s="105"/>
      <c r="I11" s="109" t="s">
        <v>35</v>
      </c>
      <c r="J11"/>
      <c r="K11" s="71" t="s">
        <v>122</v>
      </c>
      <c r="L11" s="68"/>
      <c r="M11" s="68"/>
      <c r="N11" t="s">
        <v>133</v>
      </c>
      <c r="O11" t="s">
        <v>42</v>
      </c>
      <c r="P11" t="s">
        <v>41</v>
      </c>
      <c r="Q11" s="82" t="s">
        <v>135</v>
      </c>
      <c r="R11" t="s">
        <v>128</v>
      </c>
      <c r="V11" s="13"/>
      <c r="W11" s="13"/>
      <c r="Y11" s="69" t="s">
        <v>112</v>
      </c>
      <c r="Z11" s="68"/>
      <c r="AC11" s="121">
        <f>+GETPIVOTDATA("Story Points2",$K$20,"Project","U","Added After","Y")</f>
        <v>4</v>
      </c>
      <c r="AD11" s="122" t="e">
        <f>GETPIVOTDATA("Story Points2",$K$2,"Status","Blocked","Project","U")</f>
        <v>#REF!</v>
      </c>
    </row>
    <row r="12" spans="1:30" x14ac:dyDescent="0.25">
      <c r="A12">
        <v>180045</v>
      </c>
      <c r="B12" t="s">
        <v>1065</v>
      </c>
      <c r="C12" t="s">
        <v>34</v>
      </c>
      <c r="D12" t="s">
        <v>1066</v>
      </c>
      <c r="E12" t="s">
        <v>235</v>
      </c>
      <c r="F12">
        <v>1</v>
      </c>
      <c r="G12" t="str">
        <f t="shared" si="0"/>
        <v>U</v>
      </c>
      <c r="H12" s="105"/>
      <c r="I12" s="109" t="s">
        <v>35</v>
      </c>
      <c r="J12"/>
      <c r="K12" s="69" t="s">
        <v>31</v>
      </c>
      <c r="L12" s="68">
        <v>89</v>
      </c>
      <c r="M12" s="68"/>
      <c r="N12" t="s">
        <v>2</v>
      </c>
      <c r="O12">
        <f>+GETPIVOTDATA("Story Points2",$K$20,"Project","A","Added After",)</f>
        <v>48</v>
      </c>
      <c r="P12">
        <f>IFERROR(AC10,0)</f>
        <v>0</v>
      </c>
      <c r="Q12" s="81">
        <f>IFERROR(AD10,0)</f>
        <v>0</v>
      </c>
      <c r="R12">
        <f t="shared" ref="R12:R13" si="1">+IF(ISERR(P12),0,P12)+IF(ISERR(O12),0,O12)</f>
        <v>48</v>
      </c>
      <c r="V12" s="13"/>
      <c r="W12" s="13"/>
      <c r="Y12" s="71" t="s">
        <v>33</v>
      </c>
      <c r="Z12" s="68"/>
      <c r="AC12" s="121"/>
      <c r="AD12" s="122"/>
    </row>
    <row r="13" spans="1:30" x14ac:dyDescent="0.25">
      <c r="A13">
        <v>179970</v>
      </c>
      <c r="B13" t="s">
        <v>1067</v>
      </c>
      <c r="C13" t="s">
        <v>34</v>
      </c>
      <c r="D13" t="s">
        <v>1068</v>
      </c>
      <c r="E13" t="s">
        <v>184</v>
      </c>
      <c r="F13">
        <v>1</v>
      </c>
      <c r="G13" s="73" t="str">
        <f t="shared" si="0"/>
        <v>U</v>
      </c>
      <c r="H13" s="105"/>
      <c r="I13" s="109" t="s">
        <v>35</v>
      </c>
      <c r="J13"/>
      <c r="M13" s="68"/>
      <c r="N13" t="s">
        <v>3</v>
      </c>
      <c r="O13">
        <f>+GETPIVOTDATA("Story Points2",$K$20,"Project","U","Added After",)</f>
        <v>37</v>
      </c>
      <c r="P13">
        <f>IFERROR(AC11,0)</f>
        <v>4</v>
      </c>
      <c r="Q13" s="81">
        <f>IFERROR(AD11,0)</f>
        <v>0</v>
      </c>
      <c r="R13">
        <f t="shared" si="1"/>
        <v>41</v>
      </c>
      <c r="V13" s="13"/>
      <c r="W13" s="13"/>
      <c r="Y13" s="70" t="s">
        <v>579</v>
      </c>
      <c r="Z13" s="68">
        <v>1</v>
      </c>
      <c r="AC13" s="121"/>
      <c r="AD13" s="122"/>
    </row>
    <row r="14" spans="1:30" x14ac:dyDescent="0.25">
      <c r="A14">
        <v>179965</v>
      </c>
      <c r="B14" t="s">
        <v>1069</v>
      </c>
      <c r="C14" t="s">
        <v>33</v>
      </c>
      <c r="D14" t="s">
        <v>1070</v>
      </c>
      <c r="E14" t="s">
        <v>89</v>
      </c>
      <c r="F14">
        <v>2</v>
      </c>
      <c r="G14" t="str">
        <f t="shared" si="0"/>
        <v>U</v>
      </c>
      <c r="H14" s="105"/>
      <c r="I14" s="109"/>
      <c r="J14"/>
      <c r="M14" s="68"/>
      <c r="V14" s="13"/>
      <c r="W14" s="13"/>
      <c r="Y14" s="70" t="s">
        <v>585</v>
      </c>
      <c r="Z14" s="68">
        <v>1</v>
      </c>
      <c r="AC14" s="121">
        <f>+GETPIVOTDATA("Story Points2",$K$20,"Status","Done","Project","A","Added After",)</f>
        <v>45</v>
      </c>
      <c r="AD14" s="122" t="e">
        <f>+GETPIVOTDATA("Story Points2",$K$20,"Status","Done","Project","A","Added After","Y")</f>
        <v>#REF!</v>
      </c>
    </row>
    <row r="15" spans="1:30" x14ac:dyDescent="0.25">
      <c r="A15">
        <v>177877</v>
      </c>
      <c r="B15" t="s">
        <v>1071</v>
      </c>
      <c r="C15" t="s">
        <v>34</v>
      </c>
      <c r="D15" t="s">
        <v>1072</v>
      </c>
      <c r="E15" t="s">
        <v>189</v>
      </c>
      <c r="F15">
        <v>3</v>
      </c>
      <c r="G15" s="73" t="str">
        <f t="shared" si="0"/>
        <v>U</v>
      </c>
      <c r="H15" s="105"/>
      <c r="I15" s="109" t="s">
        <v>35</v>
      </c>
      <c r="J15"/>
      <c r="N15" t="s">
        <v>34</v>
      </c>
      <c r="O15" t="s">
        <v>126</v>
      </c>
      <c r="P15" t="s">
        <v>125</v>
      </c>
      <c r="Q15" s="80" t="s">
        <v>40</v>
      </c>
      <c r="R15" t="s">
        <v>127</v>
      </c>
      <c r="V15" s="13"/>
      <c r="W15" s="13"/>
      <c r="Y15" s="71" t="s">
        <v>667</v>
      </c>
      <c r="Z15" s="68">
        <v>2</v>
      </c>
      <c r="AC15" s="121">
        <f>+GETPIVOTDATA("Story Points2",$K$20,"Status","Done","Project","U","Added After",)</f>
        <v>32</v>
      </c>
      <c r="AD15" s="122">
        <f>+GETPIVOTDATA("Story Points2",$K$20,"Status","Done","Project","U","Added After","Y")</f>
        <v>4</v>
      </c>
    </row>
    <row r="16" spans="1:30" x14ac:dyDescent="0.25">
      <c r="A16">
        <v>177876</v>
      </c>
      <c r="B16" t="s">
        <v>1073</v>
      </c>
      <c r="C16" t="s">
        <v>34</v>
      </c>
      <c r="D16" t="s">
        <v>1074</v>
      </c>
      <c r="E16" t="s">
        <v>189</v>
      </c>
      <c r="F16">
        <v>3</v>
      </c>
      <c r="G16" s="73" t="str">
        <f t="shared" si="0"/>
        <v>U</v>
      </c>
      <c r="H16" s="105"/>
      <c r="I16" s="109" t="s">
        <v>35</v>
      </c>
      <c r="J16"/>
      <c r="N16" t="s">
        <v>2</v>
      </c>
      <c r="O16">
        <f>IFERROR(AC14,0)</f>
        <v>45</v>
      </c>
      <c r="P16">
        <f>IFERROR(AD14,0)</f>
        <v>0</v>
      </c>
      <c r="R16">
        <f t="shared" ref="R16:R17" si="2">+IF(ISERR(P16),0,P16)+IF(ISERR(O16),0,O16)</f>
        <v>45</v>
      </c>
      <c r="Y16" s="69" t="s">
        <v>657</v>
      </c>
      <c r="Z16" s="68">
        <v>2</v>
      </c>
      <c r="AC16" s="121"/>
      <c r="AD16" s="122"/>
    </row>
    <row r="17" spans="1:30" ht="14.25" customHeight="1" x14ac:dyDescent="0.25">
      <c r="A17">
        <v>162671</v>
      </c>
      <c r="B17" t="s">
        <v>845</v>
      </c>
      <c r="C17" t="s">
        <v>32</v>
      </c>
      <c r="D17" t="s">
        <v>846</v>
      </c>
      <c r="E17" t="s">
        <v>235</v>
      </c>
      <c r="F17">
        <v>3</v>
      </c>
      <c r="G17" t="str">
        <f t="shared" si="0"/>
        <v>U</v>
      </c>
      <c r="H17" s="105"/>
      <c r="I17" s="109"/>
      <c r="J17"/>
      <c r="N17" t="s">
        <v>3</v>
      </c>
      <c r="O17">
        <f>IFERROR(AC15,0)</f>
        <v>32</v>
      </c>
      <c r="P17">
        <f>IFERROR(AD15,0)</f>
        <v>4</v>
      </c>
      <c r="R17">
        <f t="shared" si="2"/>
        <v>36</v>
      </c>
      <c r="T17" s="197"/>
      <c r="U17" s="197"/>
      <c r="V17" s="197"/>
      <c r="W17" s="197"/>
      <c r="Y17" s="69" t="s">
        <v>64</v>
      </c>
      <c r="Z17" s="68"/>
      <c r="AC17" s="121"/>
      <c r="AD17" s="122"/>
    </row>
    <row r="18" spans="1:30" x14ac:dyDescent="0.25">
      <c r="A18">
        <v>154938</v>
      </c>
      <c r="B18" t="s">
        <v>994</v>
      </c>
      <c r="C18" t="s">
        <v>34</v>
      </c>
      <c r="D18" t="s">
        <v>995</v>
      </c>
      <c r="E18" t="s">
        <v>179</v>
      </c>
      <c r="F18">
        <v>1</v>
      </c>
      <c r="G18" s="73" t="str">
        <f t="shared" si="0"/>
        <v>U</v>
      </c>
      <c r="H18" s="105"/>
      <c r="I18" s="109" t="s">
        <v>35</v>
      </c>
      <c r="J18"/>
      <c r="T18" s="197"/>
      <c r="U18" s="197"/>
      <c r="V18" s="197"/>
      <c r="W18" s="197"/>
      <c r="Y18" s="71" t="s">
        <v>33</v>
      </c>
      <c r="Z18" s="68"/>
      <c r="AC18" s="121"/>
      <c r="AD18" s="122"/>
    </row>
    <row r="19" spans="1:30" x14ac:dyDescent="0.25">
      <c r="A19">
        <v>180291</v>
      </c>
      <c r="B19" t="s">
        <v>1075</v>
      </c>
      <c r="C19" t="s">
        <v>34</v>
      </c>
      <c r="D19" t="s">
        <v>1076</v>
      </c>
      <c r="E19" t="s">
        <v>72</v>
      </c>
      <c r="F19">
        <v>3</v>
      </c>
      <c r="G19" s="90" t="str">
        <f t="shared" si="0"/>
        <v>A</v>
      </c>
      <c r="H19" s="105"/>
      <c r="I19" s="109" t="s">
        <v>35</v>
      </c>
      <c r="J19"/>
      <c r="M19" s="68"/>
      <c r="N19" t="s">
        <v>34</v>
      </c>
      <c r="O19" t="s">
        <v>123</v>
      </c>
      <c r="P19" t="s">
        <v>124</v>
      </c>
      <c r="Q19" t="s">
        <v>126</v>
      </c>
      <c r="R19" t="s">
        <v>125</v>
      </c>
      <c r="T19" s="197"/>
      <c r="U19" s="197"/>
      <c r="V19" s="197"/>
      <c r="W19" s="197"/>
      <c r="Y19" s="70" t="s">
        <v>648</v>
      </c>
      <c r="Z19" s="68">
        <v>1</v>
      </c>
      <c r="AC19" s="121"/>
      <c r="AD19" s="122"/>
    </row>
    <row r="20" spans="1:30" x14ac:dyDescent="0.25">
      <c r="A20">
        <v>180630</v>
      </c>
      <c r="B20" t="s">
        <v>1077</v>
      </c>
      <c r="C20" t="s">
        <v>34</v>
      </c>
      <c r="D20" t="s">
        <v>1078</v>
      </c>
      <c r="E20" t="s">
        <v>210</v>
      </c>
      <c r="F20">
        <v>2</v>
      </c>
      <c r="G20" t="str">
        <f t="shared" si="0"/>
        <v>A</v>
      </c>
      <c r="H20" s="105"/>
      <c r="I20" s="109" t="s">
        <v>35</v>
      </c>
      <c r="J20"/>
      <c r="K20" s="72" t="s">
        <v>396</v>
      </c>
      <c r="L20" t="s">
        <v>120</v>
      </c>
      <c r="M20" s="68"/>
      <c r="N20" t="s">
        <v>2</v>
      </c>
      <c r="O20" s="64">
        <f>+R16/O12</f>
        <v>0.9375</v>
      </c>
      <c r="P20" s="64">
        <f t="shared" ref="P20:P21" si="3">+R16/R12</f>
        <v>0.9375</v>
      </c>
      <c r="Q20" s="64">
        <f>+O16/IF(ISERR(O12),1,O12)</f>
        <v>0.9375</v>
      </c>
      <c r="R20" s="64">
        <f>+P16/IF(ISERR(AC10),1,P12)</f>
        <v>0</v>
      </c>
      <c r="T20" s="197"/>
      <c r="U20" s="197"/>
      <c r="V20" s="197"/>
      <c r="W20" s="197"/>
      <c r="Y20" s="71" t="s">
        <v>667</v>
      </c>
      <c r="Z20" s="68">
        <v>1</v>
      </c>
      <c r="AC20" s="121"/>
      <c r="AD20" s="122"/>
    </row>
    <row r="21" spans="1:30" x14ac:dyDescent="0.25">
      <c r="A21">
        <v>180634</v>
      </c>
      <c r="B21" t="s">
        <v>1079</v>
      </c>
      <c r="C21" t="s">
        <v>34</v>
      </c>
      <c r="D21" t="s">
        <v>1035</v>
      </c>
      <c r="E21" t="s">
        <v>210</v>
      </c>
      <c r="G21" s="73" t="str">
        <f t="shared" si="0"/>
        <v>A</v>
      </c>
      <c r="H21" s="105"/>
      <c r="I21" s="109" t="s">
        <v>35</v>
      </c>
      <c r="J21"/>
      <c r="K21" s="69" t="s">
        <v>122</v>
      </c>
      <c r="L21" s="68">
        <v>85</v>
      </c>
      <c r="M21" s="68"/>
      <c r="N21" t="s">
        <v>3</v>
      </c>
      <c r="O21" s="64">
        <f>+R17/O13</f>
        <v>0.97297297297297303</v>
      </c>
      <c r="P21" s="64">
        <f t="shared" si="3"/>
        <v>0.87804878048780488</v>
      </c>
      <c r="Q21" s="64">
        <f>+O17/IF(ISERR(O13),1,O13)</f>
        <v>0.86486486486486491</v>
      </c>
      <c r="R21" s="64">
        <f>+P17/IF(ISERR(AC11),1,P13)</f>
        <v>1</v>
      </c>
      <c r="T21" s="197"/>
      <c r="U21" s="197"/>
      <c r="V21" s="197"/>
      <c r="W21" s="197"/>
      <c r="Y21" s="69" t="s">
        <v>658</v>
      </c>
      <c r="Z21" s="68">
        <v>1</v>
      </c>
      <c r="AC21" s="121"/>
      <c r="AD21" s="122"/>
    </row>
    <row r="22" spans="1:30" x14ac:dyDescent="0.25">
      <c r="A22">
        <v>180633</v>
      </c>
      <c r="B22" t="s">
        <v>1080</v>
      </c>
      <c r="C22" t="s">
        <v>34</v>
      </c>
      <c r="D22" t="s">
        <v>1033</v>
      </c>
      <c r="E22" t="s">
        <v>210</v>
      </c>
      <c r="G22" s="90" t="str">
        <f t="shared" si="0"/>
        <v>A</v>
      </c>
      <c r="H22" s="105"/>
      <c r="I22" s="109" t="s">
        <v>35</v>
      </c>
      <c r="J22"/>
      <c r="K22" s="71" t="s">
        <v>37</v>
      </c>
      <c r="L22" s="68">
        <v>48</v>
      </c>
      <c r="M22" s="68"/>
      <c r="T22" s="197"/>
      <c r="U22" s="197"/>
      <c r="V22" s="197"/>
      <c r="W22" s="197"/>
      <c r="Y22" s="69" t="s">
        <v>92</v>
      </c>
      <c r="Z22" s="68"/>
      <c r="AC22" s="121">
        <f>+GETPIVOTDATA("Story Points",$N$34,"Project","A","Added After",)</f>
        <v>45</v>
      </c>
      <c r="AD22" s="122" t="e">
        <f>+GETPIVOTDATA("Story Points",$N$34,"Project","A","Added After","Y")</f>
        <v>#REF!</v>
      </c>
    </row>
    <row r="23" spans="1:30" ht="15.75" thickBot="1" x14ac:dyDescent="0.3">
      <c r="A23">
        <v>180632</v>
      </c>
      <c r="B23" t="s">
        <v>1081</v>
      </c>
      <c r="C23" t="s">
        <v>34</v>
      </c>
      <c r="D23" t="s">
        <v>1031</v>
      </c>
      <c r="E23" t="s">
        <v>210</v>
      </c>
      <c r="G23" s="90" t="str">
        <f t="shared" si="0"/>
        <v>A</v>
      </c>
      <c r="H23" s="105"/>
      <c r="I23" s="109" t="s">
        <v>35</v>
      </c>
      <c r="J23"/>
      <c r="K23" s="70" t="s">
        <v>34</v>
      </c>
      <c r="L23" s="68">
        <v>45</v>
      </c>
      <c r="M23" s="68"/>
      <c r="N23" t="s">
        <v>49</v>
      </c>
      <c r="O23" t="s">
        <v>126</v>
      </c>
      <c r="P23" t="s">
        <v>125</v>
      </c>
      <c r="Q23" s="80" t="s">
        <v>239</v>
      </c>
      <c r="R23" t="s">
        <v>129</v>
      </c>
      <c r="T23" s="197"/>
      <c r="U23" s="197"/>
      <c r="V23" s="197"/>
      <c r="W23" s="197"/>
      <c r="Y23" s="71" t="s">
        <v>32</v>
      </c>
      <c r="Z23" s="68"/>
      <c r="AC23" s="123">
        <f>+GETPIVOTDATA("Story Points",$N$34,"Project","U","Added After",)</f>
        <v>32</v>
      </c>
      <c r="AD23" s="124">
        <f>+GETPIVOTDATA("Story Points",$N$34,"Project","U","Added After","Y")</f>
        <v>4</v>
      </c>
    </row>
    <row r="24" spans="1:30" x14ac:dyDescent="0.25">
      <c r="A24">
        <v>180631</v>
      </c>
      <c r="B24" t="s">
        <v>1082</v>
      </c>
      <c r="C24" t="s">
        <v>34</v>
      </c>
      <c r="D24" t="s">
        <v>1083</v>
      </c>
      <c r="E24" t="s">
        <v>210</v>
      </c>
      <c r="F24">
        <v>3</v>
      </c>
      <c r="G24" t="str">
        <f t="shared" si="0"/>
        <v>A</v>
      </c>
      <c r="H24" s="105"/>
      <c r="I24" s="109" t="s">
        <v>35</v>
      </c>
      <c r="J24"/>
      <c r="K24" s="70" t="s">
        <v>33</v>
      </c>
      <c r="L24" s="68">
        <v>3</v>
      </c>
      <c r="M24" s="68"/>
      <c r="N24" t="s">
        <v>2</v>
      </c>
      <c r="O24">
        <f>IFERROR(AC22,0)</f>
        <v>45</v>
      </c>
      <c r="P24">
        <f>IFERROR(AD22,0)</f>
        <v>0</v>
      </c>
      <c r="Q24">
        <f>+O12-Q12-Table72229364357506471788592[[#This Row],[Committed Done]]</f>
        <v>3</v>
      </c>
      <c r="R24">
        <f>+Table72229364357506471788592[[#This Row],[Committed Done]]+Table72229364357506471788592[[#This Row],[Added Done]]</f>
        <v>45</v>
      </c>
      <c r="T24" s="197"/>
      <c r="U24" s="197"/>
      <c r="V24" s="197"/>
      <c r="W24" s="197"/>
      <c r="Y24" s="70" t="s">
        <v>601</v>
      </c>
      <c r="Z24" s="68">
        <v>1</v>
      </c>
    </row>
    <row r="25" spans="1:30" x14ac:dyDescent="0.25">
      <c r="A25">
        <v>180596</v>
      </c>
      <c r="B25" t="s">
        <v>1084</v>
      </c>
      <c r="C25" t="s">
        <v>33</v>
      </c>
      <c r="D25" t="s">
        <v>1085</v>
      </c>
      <c r="E25" t="s">
        <v>58</v>
      </c>
      <c r="F25">
        <v>3</v>
      </c>
      <c r="G25" t="str">
        <f t="shared" si="0"/>
        <v>A</v>
      </c>
      <c r="H25" s="105"/>
      <c r="I25" s="109"/>
      <c r="J25"/>
      <c r="K25" s="71" t="s">
        <v>36</v>
      </c>
      <c r="L25" s="68">
        <v>37</v>
      </c>
      <c r="M25" s="68"/>
      <c r="N25" t="s">
        <v>3</v>
      </c>
      <c r="O25">
        <f>IFERROR(AC23,0)</f>
        <v>32</v>
      </c>
      <c r="P25">
        <f>IFERROR(AD23,0)</f>
        <v>4</v>
      </c>
      <c r="Q25">
        <f>+O13-Q13-Table72229364357506471788592[[#This Row],[Committed Done]]</f>
        <v>5</v>
      </c>
      <c r="R25">
        <f>+Table72229364357506471788592[[#This Row],[Committed Done]]+Table72229364357506471788592[[#This Row],[Added Done]]</f>
        <v>36</v>
      </c>
      <c r="T25" s="197"/>
      <c r="U25" s="197"/>
      <c r="V25" s="197"/>
      <c r="W25" s="197"/>
      <c r="Y25" s="71" t="s">
        <v>668</v>
      </c>
      <c r="Z25" s="68">
        <v>1</v>
      </c>
    </row>
    <row r="26" spans="1:30" x14ac:dyDescent="0.25">
      <c r="A26">
        <v>180284</v>
      </c>
      <c r="B26" t="s">
        <v>1086</v>
      </c>
      <c r="C26" t="s">
        <v>34</v>
      </c>
      <c r="D26" t="s">
        <v>1087</v>
      </c>
      <c r="E26" t="s">
        <v>203</v>
      </c>
      <c r="F26">
        <v>3</v>
      </c>
      <c r="G26" s="73" t="str">
        <f t="shared" si="0"/>
        <v>A</v>
      </c>
      <c r="H26" s="105"/>
      <c r="I26" s="109" t="s">
        <v>35</v>
      </c>
      <c r="J26"/>
      <c r="K26" s="70" t="s">
        <v>32</v>
      </c>
      <c r="L26" s="68">
        <v>3</v>
      </c>
      <c r="T26" s="197"/>
      <c r="U26" s="197"/>
      <c r="V26" s="197"/>
      <c r="W26" s="197"/>
      <c r="Y26" s="69" t="s">
        <v>659</v>
      </c>
      <c r="Z26" s="68">
        <v>1</v>
      </c>
    </row>
    <row r="27" spans="1:30" x14ac:dyDescent="0.25">
      <c r="A27">
        <v>180300</v>
      </c>
      <c r="B27" t="s">
        <v>1088</v>
      </c>
      <c r="C27" t="s">
        <v>34</v>
      </c>
      <c r="D27" t="s">
        <v>1089</v>
      </c>
      <c r="E27" t="s">
        <v>236</v>
      </c>
      <c r="F27">
        <v>3</v>
      </c>
      <c r="G27" t="str">
        <f t="shared" si="0"/>
        <v>A</v>
      </c>
      <c r="H27" s="105"/>
      <c r="I27" s="109" t="s">
        <v>35</v>
      </c>
      <c r="J27"/>
      <c r="K27" s="70" t="s">
        <v>34</v>
      </c>
      <c r="L27" s="68">
        <v>32</v>
      </c>
      <c r="M27" s="68"/>
      <c r="N27" t="s">
        <v>49</v>
      </c>
      <c r="O27" t="s">
        <v>123</v>
      </c>
      <c r="P27" t="s">
        <v>124</v>
      </c>
      <c r="Q27" t="s">
        <v>126</v>
      </c>
      <c r="R27" t="s">
        <v>130</v>
      </c>
      <c r="T27" s="197"/>
      <c r="U27" s="197"/>
      <c r="V27" s="197"/>
      <c r="W27" s="197"/>
      <c r="Y27" s="69" t="s">
        <v>58</v>
      </c>
      <c r="Z27" s="68"/>
    </row>
    <row r="28" spans="1:30" x14ac:dyDescent="0.25">
      <c r="A28">
        <v>180199</v>
      </c>
      <c r="B28" t="s">
        <v>1090</v>
      </c>
      <c r="C28" t="s">
        <v>34</v>
      </c>
      <c r="D28" t="s">
        <v>1091</v>
      </c>
      <c r="E28" t="s">
        <v>152</v>
      </c>
      <c r="F28">
        <v>3</v>
      </c>
      <c r="G28" s="90" t="str">
        <f t="shared" si="0"/>
        <v>A</v>
      </c>
      <c r="H28" s="105"/>
      <c r="I28" s="109" t="s">
        <v>35</v>
      </c>
      <c r="J28"/>
      <c r="K28" s="70" t="s">
        <v>33</v>
      </c>
      <c r="L28" s="68">
        <v>2</v>
      </c>
      <c r="M28" s="68"/>
      <c r="N28" t="s">
        <v>2</v>
      </c>
      <c r="O28" s="64">
        <f>R24/IF(O12=0, 1,O12)</f>
        <v>0.9375</v>
      </c>
      <c r="P28" s="64">
        <f>R24/IF(R12=0,1,R12)</f>
        <v>0.9375</v>
      </c>
      <c r="Q28" s="64">
        <f>O24/IF(O12=0,1,O12)</f>
        <v>0.9375</v>
      </c>
      <c r="R28" s="64">
        <f>+P24/IF(P12=0,1,P12)</f>
        <v>0</v>
      </c>
      <c r="T28" s="197"/>
      <c r="U28" s="197"/>
      <c r="V28" s="197"/>
      <c r="W28" s="197"/>
      <c r="Y28" s="71" t="s">
        <v>32</v>
      </c>
      <c r="Z28" s="68"/>
    </row>
    <row r="29" spans="1:30" x14ac:dyDescent="0.25">
      <c r="A29">
        <v>180198</v>
      </c>
      <c r="B29" t="s">
        <v>1092</v>
      </c>
      <c r="C29" t="s">
        <v>34</v>
      </c>
      <c r="D29" t="s">
        <v>1093</v>
      </c>
      <c r="E29" t="s">
        <v>64</v>
      </c>
      <c r="F29">
        <v>2</v>
      </c>
      <c r="G29" t="str">
        <f t="shared" si="0"/>
        <v>A</v>
      </c>
      <c r="H29" s="105"/>
      <c r="I29" s="109" t="s">
        <v>35</v>
      </c>
      <c r="J29"/>
      <c r="K29" s="71" t="s">
        <v>735</v>
      </c>
      <c r="L29" s="68"/>
      <c r="M29" s="68"/>
      <c r="N29" t="s">
        <v>3</v>
      </c>
      <c r="O29" s="64">
        <f>R25/IF(R17=0, 1,O13)</f>
        <v>0.97297297297297303</v>
      </c>
      <c r="P29" s="64">
        <f>R25/IF(R13=0,1,R13)</f>
        <v>0.87804878048780488</v>
      </c>
      <c r="Q29" s="64">
        <f>O25/IF(O13=0,1,O13)</f>
        <v>0.86486486486486491</v>
      </c>
      <c r="R29" s="64">
        <f>+P25/IF(P13=0,1,P13)</f>
        <v>1</v>
      </c>
      <c r="T29" s="197"/>
      <c r="U29" s="197"/>
      <c r="V29" s="197"/>
      <c r="W29" s="197"/>
      <c r="Y29" s="70" t="s">
        <v>631</v>
      </c>
      <c r="Z29" s="68">
        <v>1</v>
      </c>
    </row>
    <row r="30" spans="1:30" x14ac:dyDescent="0.25">
      <c r="A30">
        <v>180197</v>
      </c>
      <c r="B30" t="s">
        <v>1094</v>
      </c>
      <c r="C30" t="s">
        <v>34</v>
      </c>
      <c r="D30" t="s">
        <v>1095</v>
      </c>
      <c r="E30" t="s">
        <v>64</v>
      </c>
      <c r="F30">
        <v>3</v>
      </c>
      <c r="G30" t="str">
        <f t="shared" si="0"/>
        <v>A</v>
      </c>
      <c r="H30" s="105"/>
      <c r="I30" s="109" t="s">
        <v>35</v>
      </c>
      <c r="J30"/>
      <c r="K30" s="70" t="s">
        <v>122</v>
      </c>
      <c r="L30" s="68"/>
      <c r="M30" s="68"/>
      <c r="T30" s="197"/>
      <c r="U30" s="197"/>
      <c r="V30" s="197"/>
      <c r="W30" s="197"/>
      <c r="Y30" s="71" t="s">
        <v>668</v>
      </c>
      <c r="Z30" s="68">
        <v>1</v>
      </c>
    </row>
    <row r="31" spans="1:30" x14ac:dyDescent="0.25">
      <c r="A31">
        <v>180196</v>
      </c>
      <c r="B31" t="s">
        <v>1096</v>
      </c>
      <c r="C31" t="s">
        <v>34</v>
      </c>
      <c r="D31" t="s">
        <v>1097</v>
      </c>
      <c r="E31" t="s">
        <v>64</v>
      </c>
      <c r="F31">
        <v>3</v>
      </c>
      <c r="G31" t="str">
        <f t="shared" si="0"/>
        <v>A</v>
      </c>
      <c r="H31" s="105"/>
      <c r="I31" s="109" t="s">
        <v>35</v>
      </c>
      <c r="J31"/>
      <c r="K31" s="69" t="s">
        <v>35</v>
      </c>
      <c r="L31" s="68">
        <v>4</v>
      </c>
      <c r="M31" s="68"/>
      <c r="T31" s="197"/>
      <c r="U31" s="197"/>
      <c r="V31" s="197"/>
      <c r="W31" s="197"/>
      <c r="Y31" s="69" t="s">
        <v>660</v>
      </c>
      <c r="Z31" s="68">
        <v>1</v>
      </c>
    </row>
    <row r="32" spans="1:30" x14ac:dyDescent="0.25">
      <c r="A32">
        <v>180195</v>
      </c>
      <c r="B32" t="s">
        <v>1098</v>
      </c>
      <c r="C32" t="s">
        <v>34</v>
      </c>
      <c r="D32" t="s">
        <v>1099</v>
      </c>
      <c r="E32" t="s">
        <v>217</v>
      </c>
      <c r="F32">
        <v>2</v>
      </c>
      <c r="G32" t="str">
        <f t="shared" si="0"/>
        <v>A</v>
      </c>
      <c r="H32" s="105"/>
      <c r="I32" s="109" t="s">
        <v>35</v>
      </c>
      <c r="J32"/>
      <c r="K32" s="71" t="s">
        <v>36</v>
      </c>
      <c r="L32" s="68">
        <v>4</v>
      </c>
      <c r="N32" s="72" t="s">
        <v>144</v>
      </c>
      <c r="O32" t="s">
        <v>35</v>
      </c>
      <c r="T32" s="197"/>
      <c r="U32" s="197"/>
      <c r="V32" s="197"/>
      <c r="W32" s="197"/>
      <c r="Y32" s="69" t="s">
        <v>235</v>
      </c>
      <c r="Z32" s="68"/>
    </row>
    <row r="33" spans="1:26" x14ac:dyDescent="0.25">
      <c r="A33">
        <v>180194</v>
      </c>
      <c r="B33" t="s">
        <v>1100</v>
      </c>
      <c r="C33" t="s">
        <v>34</v>
      </c>
      <c r="D33" t="s">
        <v>1101</v>
      </c>
      <c r="E33" t="s">
        <v>196</v>
      </c>
      <c r="F33">
        <v>1</v>
      </c>
      <c r="G33" t="str">
        <f t="shared" si="0"/>
        <v>A</v>
      </c>
      <c r="H33" s="105"/>
      <c r="I33" s="109" t="s">
        <v>35</v>
      </c>
      <c r="J33"/>
      <c r="K33" s="70" t="s">
        <v>34</v>
      </c>
      <c r="L33" s="68">
        <v>4</v>
      </c>
      <c r="T33" s="197"/>
      <c r="U33" s="197"/>
      <c r="V33" s="197"/>
      <c r="W33" s="197"/>
      <c r="Y33" s="71" t="s">
        <v>33</v>
      </c>
      <c r="Z33" s="68"/>
    </row>
    <row r="34" spans="1:26" x14ac:dyDescent="0.25">
      <c r="A34">
        <v>179776</v>
      </c>
      <c r="B34" t="s">
        <v>1102</v>
      </c>
      <c r="C34" t="s">
        <v>34</v>
      </c>
      <c r="D34" t="s">
        <v>1103</v>
      </c>
      <c r="E34" t="s">
        <v>112</v>
      </c>
      <c r="F34">
        <v>5</v>
      </c>
      <c r="G34" t="str">
        <f t="shared" ref="G34:G62" si="4">MID(B34,4,1)</f>
        <v>A</v>
      </c>
      <c r="H34" s="105"/>
      <c r="I34" s="109" t="s">
        <v>35</v>
      </c>
      <c r="J34"/>
      <c r="K34" s="69" t="s">
        <v>31</v>
      </c>
      <c r="L34" s="68">
        <v>89</v>
      </c>
      <c r="N34" s="72" t="s">
        <v>655</v>
      </c>
      <c r="O34" t="s">
        <v>50</v>
      </c>
      <c r="T34" s="197"/>
      <c r="U34" s="197"/>
      <c r="V34" s="197"/>
      <c r="W34" s="197"/>
      <c r="Y34" s="70" t="s">
        <v>581</v>
      </c>
      <c r="Z34" s="68">
        <v>1</v>
      </c>
    </row>
    <row r="35" spans="1:26" x14ac:dyDescent="0.25">
      <c r="A35">
        <v>180004</v>
      </c>
      <c r="B35" t="s">
        <v>1104</v>
      </c>
      <c r="C35" t="s">
        <v>34</v>
      </c>
      <c r="D35" t="s">
        <v>1105</v>
      </c>
      <c r="E35" t="s">
        <v>152</v>
      </c>
      <c r="F35">
        <v>3</v>
      </c>
      <c r="G35" s="90" t="str">
        <f t="shared" si="4"/>
        <v>A</v>
      </c>
      <c r="H35" s="105"/>
      <c r="I35" s="109" t="s">
        <v>35</v>
      </c>
      <c r="J35"/>
      <c r="N35" s="69" t="s">
        <v>37</v>
      </c>
      <c r="O35" s="68"/>
      <c r="Q35">
        <f>77/99</f>
        <v>0.77777777777777779</v>
      </c>
      <c r="T35" s="197"/>
      <c r="U35" s="197"/>
      <c r="V35" s="197"/>
      <c r="W35" s="197"/>
      <c r="Y35" s="71" t="s">
        <v>667</v>
      </c>
      <c r="Z35" s="68">
        <v>1</v>
      </c>
    </row>
    <row r="36" spans="1:26" x14ac:dyDescent="0.25">
      <c r="A36">
        <v>180003</v>
      </c>
      <c r="B36" t="s">
        <v>1106</v>
      </c>
      <c r="C36" t="s">
        <v>34</v>
      </c>
      <c r="D36" t="s">
        <v>1107</v>
      </c>
      <c r="E36" t="s">
        <v>152</v>
      </c>
      <c r="F36">
        <v>3</v>
      </c>
      <c r="G36" t="str">
        <f t="shared" si="4"/>
        <v>A</v>
      </c>
      <c r="H36" s="105"/>
      <c r="I36" s="109" t="s">
        <v>35</v>
      </c>
      <c r="J36"/>
      <c r="N36" s="71" t="s">
        <v>122</v>
      </c>
      <c r="O36" s="68">
        <v>45</v>
      </c>
      <c r="T36" s="197"/>
      <c r="U36" s="197"/>
      <c r="V36" s="197"/>
      <c r="W36" s="197"/>
      <c r="Y36" s="69" t="s">
        <v>661</v>
      </c>
      <c r="Z36" s="68">
        <v>1</v>
      </c>
    </row>
    <row r="37" spans="1:26" x14ac:dyDescent="0.25">
      <c r="A37">
        <v>179152</v>
      </c>
      <c r="B37" t="s">
        <v>996</v>
      </c>
      <c r="C37" t="s">
        <v>34</v>
      </c>
      <c r="D37" t="s">
        <v>997</v>
      </c>
      <c r="E37" t="s">
        <v>203</v>
      </c>
      <c r="F37">
        <v>3</v>
      </c>
      <c r="G37" t="str">
        <f t="shared" si="4"/>
        <v>A</v>
      </c>
      <c r="H37" s="105"/>
      <c r="I37" s="109" t="s">
        <v>35</v>
      </c>
      <c r="J37"/>
      <c r="N37" s="69" t="s">
        <v>131</v>
      </c>
      <c r="O37" s="68">
        <v>45</v>
      </c>
      <c r="T37" s="197"/>
      <c r="U37" s="197"/>
      <c r="V37" s="197"/>
      <c r="W37" s="197"/>
      <c r="Y37" s="69" t="s">
        <v>89</v>
      </c>
      <c r="Z37" s="68"/>
    </row>
    <row r="38" spans="1:26" x14ac:dyDescent="0.25">
      <c r="A38">
        <v>173030</v>
      </c>
      <c r="B38" t="s">
        <v>1022</v>
      </c>
      <c r="C38" t="s">
        <v>34</v>
      </c>
      <c r="D38" t="s">
        <v>1023</v>
      </c>
      <c r="E38" t="s">
        <v>217</v>
      </c>
      <c r="F38">
        <v>3</v>
      </c>
      <c r="G38" s="73" t="str">
        <f t="shared" si="4"/>
        <v>A</v>
      </c>
      <c r="H38" s="105"/>
      <c r="I38" s="109" t="s">
        <v>35</v>
      </c>
      <c r="J38"/>
      <c r="N38" s="69" t="s">
        <v>36</v>
      </c>
      <c r="O38" s="68"/>
      <c r="T38" s="197"/>
      <c r="U38" s="197"/>
      <c r="V38" s="197"/>
      <c r="W38" s="197"/>
      <c r="Y38" s="71" t="s">
        <v>33</v>
      </c>
      <c r="Z38" s="68"/>
    </row>
    <row r="39" spans="1:26" x14ac:dyDescent="0.25">
      <c r="C39"/>
      <c r="G39" s="73" t="str">
        <f t="shared" si="4"/>
        <v/>
      </c>
      <c r="H39" s="105"/>
      <c r="I39" s="109"/>
      <c r="J39"/>
      <c r="M39" s="68"/>
      <c r="N39" s="71" t="s">
        <v>122</v>
      </c>
      <c r="O39" s="68">
        <v>32</v>
      </c>
      <c r="T39" s="197"/>
      <c r="U39" s="197"/>
      <c r="V39" s="197"/>
      <c r="W39" s="197"/>
      <c r="Y39" s="70" t="s">
        <v>597</v>
      </c>
      <c r="Z39" s="68">
        <v>1</v>
      </c>
    </row>
    <row r="40" spans="1:26" x14ac:dyDescent="0.25">
      <c r="C40"/>
      <c r="G40" s="90" t="str">
        <f t="shared" si="4"/>
        <v/>
      </c>
      <c r="H40" s="105"/>
      <c r="I40" s="109"/>
      <c r="J40"/>
      <c r="M40" s="68"/>
      <c r="N40" s="71" t="s">
        <v>35</v>
      </c>
      <c r="O40" s="68">
        <v>4</v>
      </c>
      <c r="T40" s="197"/>
      <c r="U40" s="197"/>
      <c r="V40" s="197"/>
      <c r="W40" s="197"/>
      <c r="Y40" s="71" t="s">
        <v>667</v>
      </c>
      <c r="Z40" s="68">
        <v>1</v>
      </c>
    </row>
    <row r="41" spans="1:26" x14ac:dyDescent="0.25">
      <c r="C41"/>
      <c r="G41" t="str">
        <f t="shared" si="4"/>
        <v/>
      </c>
      <c r="H41" s="105"/>
      <c r="I41" s="109"/>
      <c r="J41"/>
      <c r="M41" s="68"/>
      <c r="N41" s="69" t="s">
        <v>132</v>
      </c>
      <c r="O41" s="68">
        <v>36</v>
      </c>
      <c r="Y41" s="69" t="s">
        <v>662</v>
      </c>
      <c r="Z41" s="68">
        <v>1</v>
      </c>
    </row>
    <row r="42" spans="1:26" x14ac:dyDescent="0.25">
      <c r="C42"/>
      <c r="G42" s="90" t="str">
        <f t="shared" si="4"/>
        <v/>
      </c>
      <c r="H42" s="105"/>
      <c r="I42" s="109"/>
      <c r="J42"/>
      <c r="M42" s="68"/>
      <c r="N42" s="69" t="s">
        <v>31</v>
      </c>
      <c r="O42" s="68">
        <v>81</v>
      </c>
      <c r="Y42" s="69" t="s">
        <v>81</v>
      </c>
      <c r="Z42" s="68"/>
    </row>
    <row r="43" spans="1:26" x14ac:dyDescent="0.25">
      <c r="C43"/>
      <c r="G43" t="str">
        <f t="shared" si="4"/>
        <v/>
      </c>
      <c r="H43" s="105"/>
      <c r="I43" s="109"/>
      <c r="J43"/>
      <c r="M43" s="68"/>
      <c r="Y43" s="71" t="s">
        <v>33</v>
      </c>
      <c r="Z43" s="68"/>
    </row>
    <row r="44" spans="1:26" x14ac:dyDescent="0.25">
      <c r="C44"/>
      <c r="G44" t="str">
        <f t="shared" si="4"/>
        <v/>
      </c>
      <c r="H44" s="105"/>
      <c r="I44" s="109"/>
      <c r="J44"/>
      <c r="M44" s="68"/>
      <c r="Y44" s="70" t="s">
        <v>589</v>
      </c>
      <c r="Z44" s="68">
        <v>1</v>
      </c>
    </row>
    <row r="45" spans="1:26" x14ac:dyDescent="0.25">
      <c r="C45"/>
      <c r="G45" t="str">
        <f t="shared" si="4"/>
        <v/>
      </c>
      <c r="H45" s="105"/>
      <c r="I45" s="109"/>
      <c r="J45"/>
      <c r="M45" s="68"/>
      <c r="Y45" s="71" t="s">
        <v>667</v>
      </c>
      <c r="Z45" s="68">
        <v>1</v>
      </c>
    </row>
    <row r="46" spans="1:26" x14ac:dyDescent="0.25">
      <c r="C46"/>
      <c r="G46" s="73" t="str">
        <f t="shared" si="4"/>
        <v/>
      </c>
      <c r="H46" s="105"/>
      <c r="I46" s="109"/>
      <c r="J46"/>
      <c r="M46" s="68"/>
      <c r="Y46" s="69" t="s">
        <v>663</v>
      </c>
      <c r="Z46" s="68">
        <v>1</v>
      </c>
    </row>
    <row r="47" spans="1:26" x14ac:dyDescent="0.25">
      <c r="C47"/>
      <c r="G47" t="str">
        <f t="shared" si="4"/>
        <v/>
      </c>
      <c r="H47" s="105"/>
      <c r="I47" s="109"/>
      <c r="J47"/>
      <c r="M47" s="68"/>
      <c r="Y47" s="69" t="s">
        <v>236</v>
      </c>
      <c r="Z47" s="68"/>
    </row>
    <row r="48" spans="1:26" x14ac:dyDescent="0.25">
      <c r="C48"/>
      <c r="G48" t="str">
        <f t="shared" si="4"/>
        <v/>
      </c>
      <c r="H48" s="105"/>
      <c r="I48" s="109"/>
      <c r="J48"/>
      <c r="Y48" s="71" t="s">
        <v>33</v>
      </c>
      <c r="Z48" s="68"/>
    </row>
    <row r="49" spans="1:26" x14ac:dyDescent="0.25">
      <c r="C49"/>
      <c r="G49" s="90" t="str">
        <f t="shared" si="4"/>
        <v/>
      </c>
      <c r="H49" s="105"/>
      <c r="I49" s="109"/>
      <c r="J49"/>
      <c r="Y49" s="70" t="s">
        <v>533</v>
      </c>
      <c r="Z49" s="68">
        <v>1</v>
      </c>
    </row>
    <row r="50" spans="1:26" x14ac:dyDescent="0.25">
      <c r="C50"/>
      <c r="G50" s="90" t="str">
        <f t="shared" si="4"/>
        <v/>
      </c>
      <c r="H50" s="105"/>
      <c r="I50" s="109"/>
      <c r="J50"/>
      <c r="Y50" s="71" t="s">
        <v>667</v>
      </c>
      <c r="Z50" s="68">
        <v>1</v>
      </c>
    </row>
    <row r="51" spans="1:26" x14ac:dyDescent="0.25">
      <c r="C51"/>
      <c r="G51" s="90" t="str">
        <f t="shared" si="4"/>
        <v/>
      </c>
      <c r="H51" s="105"/>
      <c r="I51" s="109"/>
      <c r="J51"/>
      <c r="Y51" s="71" t="s">
        <v>32</v>
      </c>
      <c r="Z51" s="68"/>
    </row>
    <row r="52" spans="1:26" x14ac:dyDescent="0.25">
      <c r="C52"/>
      <c r="G52" s="90" t="str">
        <f t="shared" si="4"/>
        <v/>
      </c>
      <c r="H52" s="105"/>
      <c r="I52" s="109"/>
      <c r="J52"/>
      <c r="Y52" s="70" t="s">
        <v>567</v>
      </c>
      <c r="Z52" s="68">
        <v>1</v>
      </c>
    </row>
    <row r="53" spans="1:26" x14ac:dyDescent="0.25">
      <c r="C53"/>
      <c r="G53" s="90" t="str">
        <f t="shared" si="4"/>
        <v/>
      </c>
      <c r="H53" s="105"/>
      <c r="I53" s="109"/>
      <c r="J53"/>
      <c r="K53" t="s">
        <v>669</v>
      </c>
      <c r="Y53" s="70" t="s">
        <v>633</v>
      </c>
      <c r="Z53" s="68">
        <v>1</v>
      </c>
    </row>
    <row r="54" spans="1:26" x14ac:dyDescent="0.25">
      <c r="C54"/>
      <c r="G54" s="90" t="str">
        <f t="shared" si="4"/>
        <v/>
      </c>
      <c r="H54" s="105"/>
      <c r="I54" s="109"/>
      <c r="J54"/>
      <c r="M54" s="68"/>
      <c r="Y54" s="71" t="s">
        <v>668</v>
      </c>
      <c r="Z54" s="68">
        <v>2</v>
      </c>
    </row>
    <row r="55" spans="1:26" x14ac:dyDescent="0.25">
      <c r="A55" s="90" t="str">
        <f t="shared" ref="A55:A62" si="5">MID(B55,8,3)</f>
        <v/>
      </c>
      <c r="B55" s="105"/>
      <c r="C55" s="105"/>
      <c r="D55" s="105"/>
      <c r="E55" s="107"/>
      <c r="F55" s="105"/>
      <c r="G55" s="90" t="str">
        <f t="shared" si="4"/>
        <v/>
      </c>
      <c r="H55" s="105"/>
      <c r="I55" s="109"/>
      <c r="J55"/>
      <c r="M55" s="68"/>
      <c r="Y55" s="69" t="s">
        <v>664</v>
      </c>
      <c r="Z55" s="68">
        <v>3</v>
      </c>
    </row>
    <row r="56" spans="1:26" x14ac:dyDescent="0.25">
      <c r="A56" s="73" t="str">
        <f t="shared" si="5"/>
        <v/>
      </c>
      <c r="C56"/>
      <c r="G56" s="73" t="str">
        <f t="shared" si="4"/>
        <v/>
      </c>
      <c r="H56" s="105"/>
      <c r="I56" s="109"/>
      <c r="J56"/>
      <c r="K56" s="71"/>
      <c r="L56" s="68"/>
      <c r="M56" s="68"/>
      <c r="Y56" s="69" t="s">
        <v>72</v>
      </c>
      <c r="Z56" s="68"/>
    </row>
    <row r="57" spans="1:26" x14ac:dyDescent="0.25">
      <c r="A57" s="90" t="str">
        <f t="shared" si="5"/>
        <v/>
      </c>
      <c r="C57"/>
      <c r="G57" s="90" t="str">
        <f t="shared" si="4"/>
        <v/>
      </c>
      <c r="H57" s="105"/>
      <c r="I57" s="109"/>
      <c r="J57"/>
      <c r="K57" s="69"/>
      <c r="L57" s="68"/>
      <c r="Y57" s="71" t="s">
        <v>32</v>
      </c>
      <c r="Z57" s="68"/>
    </row>
    <row r="58" spans="1:26" x14ac:dyDescent="0.25">
      <c r="A58" s="90" t="str">
        <f t="shared" si="5"/>
        <v/>
      </c>
      <c r="C58"/>
      <c r="G58" s="90" t="str">
        <f t="shared" si="4"/>
        <v/>
      </c>
      <c r="H58" s="105"/>
      <c r="I58" s="109"/>
      <c r="J58"/>
      <c r="K58" s="69"/>
      <c r="L58" s="68"/>
      <c r="Y58" s="70" t="s">
        <v>599</v>
      </c>
      <c r="Z58" s="68">
        <v>1</v>
      </c>
    </row>
    <row r="59" spans="1:26" x14ac:dyDescent="0.25">
      <c r="A59" s="73" t="str">
        <f t="shared" si="5"/>
        <v/>
      </c>
      <c r="C59"/>
      <c r="F59" s="13"/>
      <c r="G59" s="73" t="str">
        <f t="shared" si="4"/>
        <v/>
      </c>
      <c r="H59" s="105"/>
      <c r="I59" s="109"/>
      <c r="J59"/>
      <c r="Y59" s="70" t="s">
        <v>603</v>
      </c>
      <c r="Z59" s="68">
        <v>1</v>
      </c>
    </row>
    <row r="60" spans="1:26" x14ac:dyDescent="0.25">
      <c r="A60" s="90" t="str">
        <f t="shared" si="5"/>
        <v/>
      </c>
      <c r="C60"/>
      <c r="G60" s="90" t="str">
        <f t="shared" si="4"/>
        <v/>
      </c>
      <c r="H60" s="105"/>
      <c r="I60" s="109"/>
      <c r="J60"/>
      <c r="Y60" s="71" t="s">
        <v>668</v>
      </c>
      <c r="Z60" s="68">
        <v>2</v>
      </c>
    </row>
    <row r="61" spans="1:26" x14ac:dyDescent="0.25">
      <c r="A61" s="90" t="str">
        <f t="shared" si="5"/>
        <v/>
      </c>
      <c r="C61"/>
      <c r="G61" s="90" t="str">
        <f t="shared" si="4"/>
        <v/>
      </c>
      <c r="H61" s="105"/>
      <c r="I61" s="109"/>
      <c r="J61"/>
      <c r="Y61" s="69" t="s">
        <v>665</v>
      </c>
      <c r="Z61" s="68">
        <v>2</v>
      </c>
    </row>
    <row r="62" spans="1:26" x14ac:dyDescent="0.25">
      <c r="A62" s="90" t="str">
        <f t="shared" si="5"/>
        <v/>
      </c>
      <c r="C62"/>
      <c r="G62" s="90" t="str">
        <f t="shared" si="4"/>
        <v/>
      </c>
      <c r="H62" s="105"/>
      <c r="I62" s="109"/>
      <c r="J62"/>
      <c r="Y62" s="69" t="s">
        <v>31</v>
      </c>
      <c r="Z62" s="68">
        <v>16</v>
      </c>
    </row>
    <row r="63" spans="1:26" x14ac:dyDescent="0.25">
      <c r="B63" s="106"/>
      <c r="D63" s="106"/>
      <c r="E63" s="106"/>
      <c r="F63" s="106"/>
    </row>
    <row r="64" spans="1:26" x14ac:dyDescent="0.25">
      <c r="B64" s="106"/>
      <c r="D64" s="106"/>
      <c r="E64" s="106"/>
      <c r="F64" s="106"/>
    </row>
  </sheetData>
  <sheetProtection sort="0" autoFilter="0" pivotTables="0"/>
  <mergeCells count="2">
    <mergeCell ref="AC9:AD9"/>
    <mergeCell ref="T17:W40"/>
  </mergeCells>
  <conditionalFormatting sqref="I2:I62">
    <cfRule type="expression" dxfId="617" priority="29">
      <formula>$C2="Done"</formula>
    </cfRule>
  </conditionalFormatting>
  <conditionalFormatting sqref="C2:C57">
    <cfRule type="expression" dxfId="616" priority="27">
      <formula>C2="Blocked"</formula>
    </cfRule>
    <cfRule type="expression" dxfId="615" priority="28">
      <formula>C2="Done"</formula>
    </cfRule>
  </conditionalFormatting>
  <conditionalFormatting sqref="I2:I62">
    <cfRule type="expression" dxfId="614" priority="26" stopIfTrue="1">
      <formula>IF(C2="Done", IF(I2&lt;&gt;"Y",TRUE,FALSE),FALSE)</formula>
    </cfRule>
  </conditionalFormatting>
  <conditionalFormatting sqref="S2:S4">
    <cfRule type="expression" dxfId="613" priority="25">
      <formula>IF(S2&lt;0.8, TRUE, IF(S2&gt;1.2, TRUE, FALSE))</formula>
    </cfRule>
  </conditionalFormatting>
  <conditionalFormatting sqref="A30:I30">
    <cfRule type="expression" dxfId="612" priority="24">
      <formula>$C30="Blocked"</formula>
    </cfRule>
  </conditionalFormatting>
  <conditionalFormatting sqref="D43:E49">
    <cfRule type="expression" dxfId="611" priority="22">
      <formula>D43="Blocked"</formula>
    </cfRule>
    <cfRule type="expression" dxfId="610" priority="23">
      <formula>D43="Done"</formula>
    </cfRule>
  </conditionalFormatting>
  <conditionalFormatting sqref="C58">
    <cfRule type="expression" dxfId="609" priority="20">
      <formula>C58="Blocked"</formula>
    </cfRule>
    <cfRule type="expression" dxfId="608" priority="21">
      <formula>C58="Done"</formula>
    </cfRule>
  </conditionalFormatting>
  <conditionalFormatting sqref="C59:C61">
    <cfRule type="expression" dxfId="607" priority="18">
      <formula>C59="Blocked"</formula>
    </cfRule>
    <cfRule type="expression" dxfId="606" priority="19">
      <formula>C59="Done"</formula>
    </cfRule>
  </conditionalFormatting>
  <conditionalFormatting sqref="C62">
    <cfRule type="expression" dxfId="605" priority="16">
      <formula>C62="Blocked"</formula>
    </cfRule>
    <cfRule type="expression" dxfId="604" priority="17">
      <formula>C62="Done"</formula>
    </cfRule>
  </conditionalFormatting>
  <conditionalFormatting sqref="P9:R9">
    <cfRule type="expression" dxfId="603" priority="5">
      <formula>P9&gt;0.2</formula>
    </cfRule>
    <cfRule type="expression" dxfId="602" priority="6">
      <formula>P9&gt;0.4</formula>
    </cfRule>
  </conditionalFormatting>
  <conditionalFormatting sqref="P7:R8">
    <cfRule type="expression" dxfId="601" priority="2">
      <formula>P7&gt;0.2</formula>
    </cfRule>
    <cfRule type="expression" dxfId="600" priority="3">
      <formula>P7&gt;0.4</formula>
    </cfRule>
  </conditionalFormatting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8" name="Button 1">
              <controlPr defaultSize="0" print="0" autoFill="0" autoPict="0" macro="[0]!ResetAndLock">
                <anchor moveWithCells="1" sizeWithCells="1">
                  <from>
                    <xdr:col>18</xdr:col>
                    <xdr:colOff>952500</xdr:colOff>
                    <xdr:row>8</xdr:row>
                    <xdr:rowOff>9525</xdr:rowOff>
                  </from>
                  <to>
                    <xdr:col>23</xdr:col>
                    <xdr:colOff>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8">
    <tablePart r:id="rId9"/>
    <tablePart r:id="rId10"/>
    <tablePart r:id="rId11"/>
    <tablePart r:id="rId12"/>
    <tablePart r:id="rId13"/>
    <tablePart r:id="rId14"/>
    <tablePart r:id="rId15"/>
    <tablePart r:id="rId1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F8738075-A0AE-42C3-88CD-F1AF27F1FFB9}">
            <x14:iconSet iconSet="4Arrows" custom="1">
              <x14:cfvo type="percent">
                <xm:f>0</xm:f>
              </x14:cfvo>
              <x14:cfvo type="num">
                <xm:f>0.2</xm:f>
              </x14:cfvo>
              <x14:cfvo type="num">
                <xm:f>0.3</xm:f>
              </x14:cfvo>
              <x14:cfvo type="num">
                <xm:f>0.5</xm:f>
              </x14:cfvo>
              <x14:cfIcon iconSet="3Symbols2" iconId="2"/>
              <x14:cfIcon iconSet="3Flags" iconId="1"/>
              <x14:cfIcon iconSet="3Symbols" iconId="1"/>
              <x14:cfIcon iconSet="3Symbols" iconId="0"/>
            </x14:iconSet>
          </x14:cfRule>
          <xm:sqref>P9:R9</xm:sqref>
        </x14:conditionalFormatting>
        <x14:conditionalFormatting xmlns:xm="http://schemas.microsoft.com/office/excel/2006/main">
          <x14:cfRule type="iconSet" priority="1" id="{12CFB673-529D-4E4A-B4D1-DA05B0C798EB}">
            <x14:iconSet iconSet="4Arrows" custom="1">
              <x14:cfvo type="percent">
                <xm:f>0</xm:f>
              </x14:cfvo>
              <x14:cfvo type="num">
                <xm:f>0.2</xm:f>
              </x14:cfvo>
              <x14:cfvo type="num">
                <xm:f>0.3</xm:f>
              </x14:cfvo>
              <x14:cfvo type="num">
                <xm:f>0.5</xm:f>
              </x14:cfvo>
              <x14:cfIcon iconSet="3Symbols2" iconId="2"/>
              <x14:cfIcon iconSet="3Flags" iconId="1"/>
              <x14:cfIcon iconSet="3Symbols" iconId="1"/>
              <x14:cfIcon iconSet="3Symbols" iconId="0"/>
            </x14:iconSet>
          </x14:cfRule>
          <xm:sqref>P7:R8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A1:AD64"/>
  <sheetViews>
    <sheetView topLeftCell="J1" zoomScaleNormal="100" workbookViewId="0">
      <selection activeCell="T7" sqref="T7"/>
    </sheetView>
  </sheetViews>
  <sheetFormatPr defaultRowHeight="15" x14ac:dyDescent="0.25"/>
  <cols>
    <col min="2" max="2" width="12.28515625" customWidth="1"/>
    <col min="3" max="3" width="11" style="106" customWidth="1"/>
    <col min="4" max="4" width="56.28515625" customWidth="1"/>
    <col min="5" max="5" width="8.85546875" customWidth="1"/>
    <col min="6" max="6" width="13.140625" customWidth="1"/>
    <col min="7" max="7" width="3" customWidth="1"/>
    <col min="8" max="8" width="14.140625" style="106" bestFit="1" customWidth="1"/>
    <col min="9" max="9" width="10.85546875" style="106" customWidth="1"/>
    <col min="10" max="10" width="4.28515625" customWidth="1"/>
    <col min="11" max="11" width="11.7109375" bestFit="1" customWidth="1"/>
    <col min="12" max="12" width="6.42578125" bestFit="1" customWidth="1"/>
    <col min="13" max="13" width="6.42578125" customWidth="1"/>
    <col min="14" max="14" width="11.28515625" customWidth="1"/>
    <col min="15" max="15" width="18.42578125" customWidth="1"/>
    <col min="16" max="16" width="19" customWidth="1"/>
    <col min="17" max="17" width="16.28515625" customWidth="1"/>
    <col min="18" max="18" width="16.5703125" customWidth="1"/>
    <col min="19" max="19" width="14.5703125" customWidth="1"/>
    <col min="20" max="20" width="18.140625" customWidth="1"/>
    <col min="21" max="21" width="1.42578125" customWidth="1"/>
    <col min="22" max="22" width="11" customWidth="1"/>
    <col min="23" max="23" width="10.85546875" customWidth="1"/>
    <col min="24" max="24" width="9.140625" customWidth="1"/>
    <col min="25" max="25" width="78.85546875" customWidth="1"/>
    <col min="26" max="26" width="14.5703125" customWidth="1"/>
    <col min="27" max="27" width="9.140625" customWidth="1"/>
    <col min="28" max="28" width="11.5703125" customWidth="1"/>
    <col min="29" max="31" width="9.140625" customWidth="1"/>
  </cols>
  <sheetData>
    <row r="1" spans="1:30" ht="30.75" customHeight="1" x14ac:dyDescent="0.25">
      <c r="A1" t="s">
        <v>231</v>
      </c>
      <c r="B1" t="s">
        <v>48</v>
      </c>
      <c r="C1" s="106" t="s">
        <v>47</v>
      </c>
      <c r="D1" t="s">
        <v>46</v>
      </c>
      <c r="E1" t="s">
        <v>38</v>
      </c>
      <c r="F1" t="s">
        <v>45</v>
      </c>
      <c r="G1" t="s">
        <v>44</v>
      </c>
      <c r="H1" s="106" t="s">
        <v>43</v>
      </c>
      <c r="I1" s="106" t="s">
        <v>144</v>
      </c>
      <c r="N1" t="s">
        <v>133</v>
      </c>
      <c r="O1" t="s">
        <v>134</v>
      </c>
      <c r="P1" t="s">
        <v>41</v>
      </c>
      <c r="Q1" t="s">
        <v>135</v>
      </c>
      <c r="R1" t="s">
        <v>136</v>
      </c>
      <c r="S1" s="86" t="s">
        <v>143</v>
      </c>
      <c r="T1" s="86" t="s">
        <v>141</v>
      </c>
      <c r="U1" s="80" t="s">
        <v>40</v>
      </c>
      <c r="V1" s="86" t="s">
        <v>142</v>
      </c>
      <c r="W1" s="86" t="s">
        <v>145</v>
      </c>
      <c r="Y1" t="s">
        <v>39</v>
      </c>
      <c r="Z1" t="s">
        <v>666</v>
      </c>
    </row>
    <row r="2" spans="1:30" x14ac:dyDescent="0.25">
      <c r="A2">
        <v>136360</v>
      </c>
      <c r="B2" t="s">
        <v>1028</v>
      </c>
      <c r="C2" t="s">
        <v>135</v>
      </c>
      <c r="D2" t="s">
        <v>1029</v>
      </c>
      <c r="E2">
        <v>3</v>
      </c>
      <c r="F2" t="s">
        <v>203</v>
      </c>
      <c r="G2" t="str">
        <f t="shared" ref="G2:G33" si="0">MID(B2,4,1)</f>
        <v>A</v>
      </c>
      <c r="H2" s="105"/>
      <c r="I2" s="109"/>
      <c r="K2" s="72" t="s">
        <v>119</v>
      </c>
      <c r="L2" t="s">
        <v>120</v>
      </c>
      <c r="N2" t="s">
        <v>2</v>
      </c>
      <c r="O2">
        <f>+O10-Table924313845595266738087[[#This Row],[Blocked]]</f>
        <v>44</v>
      </c>
      <c r="P2">
        <f>IF(ISERR(P10),0,P10)</f>
        <v>11</v>
      </c>
      <c r="Q2">
        <f>IF(ISERR(Q10),0,Q10)</f>
        <v>6</v>
      </c>
      <c r="R2">
        <f>+IF(ISERR(R14),0,R14)</f>
        <v>44</v>
      </c>
      <c r="S2" s="88">
        <f>Table924313845595266738087[[#This Row],[Completed]]/Table924313845595266738087[[#This Row],[Committed]]</f>
        <v>1</v>
      </c>
      <c r="T2" s="83">
        <f>Table924313845595266738087[[#This Row],[Completed]]/(Table924313845595266738087[[#This Row],[Added]]+Table924313845595266738087[[#This Row],[Committed]])</f>
        <v>0.8</v>
      </c>
      <c r="V2" s="84" t="str">
        <f>IF(ISERR(O14),0,O14) &amp; "  (" &amp;TEXT(IF(ISERR(O14),0,O14)/Table924313845595266738087[[#This Row],[Committed]],"#%") &amp; ")"</f>
        <v>36  (82%)</v>
      </c>
      <c r="W2" s="85" t="str">
        <f>+IF(ISERR(P14),0,P14) &amp; " (" &amp; TEXT(R18, "#%") &amp; ")"</f>
        <v>8 (73%)</v>
      </c>
      <c r="Y2" s="69" t="s">
        <v>61</v>
      </c>
      <c r="Z2" s="68"/>
    </row>
    <row r="3" spans="1:30" x14ac:dyDescent="0.25">
      <c r="A3">
        <v>139794</v>
      </c>
      <c r="B3" t="s">
        <v>1026</v>
      </c>
      <c r="C3" t="s">
        <v>32</v>
      </c>
      <c r="D3" t="s">
        <v>1027</v>
      </c>
      <c r="E3">
        <v>3</v>
      </c>
      <c r="F3" t="s">
        <v>196</v>
      </c>
      <c r="G3" t="str">
        <f t="shared" si="0"/>
        <v>A</v>
      </c>
      <c r="H3" s="105"/>
      <c r="I3" s="109"/>
      <c r="K3" s="69" t="s">
        <v>37</v>
      </c>
      <c r="L3" s="68">
        <v>61</v>
      </c>
      <c r="N3" t="s">
        <v>3</v>
      </c>
      <c r="O3">
        <f>+O11-Table924313845595266738087[[#This Row],[Blocked]]</f>
        <v>42</v>
      </c>
      <c r="P3">
        <f>IF(ISERR(P11),0,P11)</f>
        <v>7</v>
      </c>
      <c r="Q3">
        <f>IF(ISERR(Q11),0,Q11)</f>
        <v>5</v>
      </c>
      <c r="R3">
        <f>+IF(ISERR(R15),0,R15)</f>
        <v>45</v>
      </c>
      <c r="S3" s="88">
        <f>Table924313845595266738087[[#This Row],[Completed]]/Table924313845595266738087[[#This Row],[Committed]]</f>
        <v>1.0714285714285714</v>
      </c>
      <c r="T3" s="83">
        <f>Table924313845595266738087[[#This Row],[Completed]]/(Table924313845595266738087[[#This Row],[Added]]+Table924313845595266738087[[#This Row],[Committed]])</f>
        <v>0.91836734693877553</v>
      </c>
      <c r="V3" s="84" t="str">
        <f>IF(ISERR(O15),0,O15) &amp; "  (" &amp;TEXT(IF(ISERR(O15),0,O15)/Table924313845595266738087[[#This Row],[Committed]],"#%") &amp; ")"</f>
        <v>38  (90%)</v>
      </c>
      <c r="W3" s="85" t="str">
        <f>+IF(ISERR(P15),0,P15) &amp; " (" &amp; TEXT(R19, "#%") &amp; ")"</f>
        <v>7 (100%)</v>
      </c>
      <c r="Y3" s="71" t="s">
        <v>33</v>
      </c>
      <c r="Z3" s="68"/>
    </row>
    <row r="4" spans="1:30" x14ac:dyDescent="0.25">
      <c r="A4">
        <v>147608</v>
      </c>
      <c r="B4" t="s">
        <v>524</v>
      </c>
      <c r="C4" t="s">
        <v>32</v>
      </c>
      <c r="D4" t="s">
        <v>525</v>
      </c>
      <c r="E4">
        <v>3</v>
      </c>
      <c r="F4" t="s">
        <v>203</v>
      </c>
      <c r="G4" s="90" t="str">
        <f t="shared" si="0"/>
        <v>A</v>
      </c>
      <c r="H4" s="105"/>
      <c r="I4" s="109"/>
      <c r="K4" s="71" t="s">
        <v>32</v>
      </c>
      <c r="L4" s="68">
        <v>11</v>
      </c>
      <c r="N4" t="s">
        <v>303</v>
      </c>
      <c r="O4" s="68">
        <f>SUM(O2:O3)</f>
        <v>86</v>
      </c>
      <c r="P4">
        <f>SUM(P2:P3)</f>
        <v>18</v>
      </c>
      <c r="Q4" s="68">
        <f>SUM(Q2:Q3)</f>
        <v>11</v>
      </c>
      <c r="R4" s="68">
        <f>SUM(R2:R3)</f>
        <v>89</v>
      </c>
      <c r="S4" s="88">
        <f>Table924313845595266738087[[#This Row],[Completed]]/Table924313845595266738087[[#This Row],[Committed]]</f>
        <v>1.0348837209302326</v>
      </c>
      <c r="T4" s="83">
        <f>Table924313845595266738087[[#This Row],[Completed]]/(Table924313845595266738087[[#This Row],[Added]]+Table924313845595266738087[[#This Row],[Committed]])</f>
        <v>0.85576923076923073</v>
      </c>
      <c r="V4" s="108" t="str">
        <f>IF(ISERR(SUM(O14:O15)),0,SUM(O14:O15)) &amp;"  ("&amp;TEXT(SUM(O14:O15)/O4,"#%") &amp;")"</f>
        <v>74  (86%)</v>
      </c>
      <c r="W4" s="85" t="str">
        <f>R4-SUM(O14:O15)&amp;" ("&amp;TEXT((R4-SUM(O14:O15))/IF(P4=0,1,P4),"#%")&amp;")"</f>
        <v>15 (83%)</v>
      </c>
      <c r="Y4" s="70" t="s">
        <v>625</v>
      </c>
      <c r="Z4" s="68">
        <v>1</v>
      </c>
    </row>
    <row r="5" spans="1:30" x14ac:dyDescent="0.25">
      <c r="A5">
        <v>160415</v>
      </c>
      <c r="B5" t="s">
        <v>809</v>
      </c>
      <c r="C5" t="s">
        <v>34</v>
      </c>
      <c r="D5" t="s">
        <v>810</v>
      </c>
      <c r="E5">
        <v>3</v>
      </c>
      <c r="F5" t="s">
        <v>210</v>
      </c>
      <c r="G5" t="str">
        <f t="shared" si="0"/>
        <v>A</v>
      </c>
      <c r="I5" s="109" t="s">
        <v>35</v>
      </c>
      <c r="K5" s="71" t="s">
        <v>34</v>
      </c>
      <c r="L5" s="68">
        <v>44</v>
      </c>
      <c r="O5" t="s">
        <v>140</v>
      </c>
      <c r="S5" t="s">
        <v>220</v>
      </c>
      <c r="Y5" s="71" t="s">
        <v>667</v>
      </c>
      <c r="Z5" s="68">
        <v>1</v>
      </c>
    </row>
    <row r="6" spans="1:30" x14ac:dyDescent="0.25">
      <c r="A6">
        <v>160417</v>
      </c>
      <c r="B6" t="s">
        <v>811</v>
      </c>
      <c r="C6" t="s">
        <v>34</v>
      </c>
      <c r="D6" t="s">
        <v>812</v>
      </c>
      <c r="E6">
        <v>3</v>
      </c>
      <c r="F6" t="s">
        <v>210</v>
      </c>
      <c r="G6" s="73" t="str">
        <f t="shared" si="0"/>
        <v>A</v>
      </c>
      <c r="H6" s="105"/>
      <c r="I6" s="109" t="s">
        <v>35</v>
      </c>
      <c r="K6" s="71" t="s">
        <v>135</v>
      </c>
      <c r="L6" s="68">
        <v>6</v>
      </c>
      <c r="Y6" s="71" t="s">
        <v>32</v>
      </c>
      <c r="Z6" s="68"/>
    </row>
    <row r="7" spans="1:30" x14ac:dyDescent="0.25">
      <c r="A7">
        <v>164835</v>
      </c>
      <c r="B7" t="s">
        <v>943</v>
      </c>
      <c r="C7" t="s">
        <v>32</v>
      </c>
      <c r="D7" t="s">
        <v>944</v>
      </c>
      <c r="E7">
        <v>2</v>
      </c>
      <c r="F7" t="s">
        <v>155</v>
      </c>
      <c r="G7" t="str">
        <f t="shared" si="0"/>
        <v>A</v>
      </c>
      <c r="H7" s="105"/>
      <c r="I7" s="109"/>
      <c r="K7" s="69" t="s">
        <v>36</v>
      </c>
      <c r="L7" s="68">
        <v>54</v>
      </c>
      <c r="Y7" s="70" t="s">
        <v>525</v>
      </c>
      <c r="Z7" s="68">
        <v>1</v>
      </c>
    </row>
    <row r="8" spans="1:30" ht="15.75" thickBot="1" x14ac:dyDescent="0.3">
      <c r="A8">
        <v>168258</v>
      </c>
      <c r="B8" t="s">
        <v>1024</v>
      </c>
      <c r="C8" t="s">
        <v>34</v>
      </c>
      <c r="D8" t="s">
        <v>1025</v>
      </c>
      <c r="E8">
        <v>2</v>
      </c>
      <c r="F8" t="s">
        <v>155</v>
      </c>
      <c r="G8" s="90" t="str">
        <f t="shared" si="0"/>
        <v>A</v>
      </c>
      <c r="H8" s="105"/>
      <c r="I8" s="109" t="s">
        <v>35</v>
      </c>
      <c r="K8" s="71" t="s">
        <v>32</v>
      </c>
      <c r="L8" s="68">
        <v>4</v>
      </c>
      <c r="M8" s="68"/>
      <c r="N8" t="s">
        <v>139</v>
      </c>
      <c r="R8" t="s">
        <v>138</v>
      </c>
      <c r="Y8" s="70" t="s">
        <v>623</v>
      </c>
      <c r="Z8" s="68">
        <v>1</v>
      </c>
    </row>
    <row r="9" spans="1:30" ht="15.75" thickBot="1" x14ac:dyDescent="0.3">
      <c r="A9">
        <v>168923</v>
      </c>
      <c r="B9" t="s">
        <v>925</v>
      </c>
      <c r="C9" t="s">
        <v>34</v>
      </c>
      <c r="D9" t="s">
        <v>926</v>
      </c>
      <c r="E9">
        <v>3</v>
      </c>
      <c r="F9" t="s">
        <v>210</v>
      </c>
      <c r="G9" t="str">
        <f t="shared" si="0"/>
        <v>A</v>
      </c>
      <c r="H9" s="105"/>
      <c r="I9" s="109" t="s">
        <v>35</v>
      </c>
      <c r="K9" s="71" t="s">
        <v>34</v>
      </c>
      <c r="L9" s="68">
        <v>45</v>
      </c>
      <c r="M9" s="68"/>
      <c r="N9" t="s">
        <v>133</v>
      </c>
      <c r="O9" t="s">
        <v>42</v>
      </c>
      <c r="P9" t="s">
        <v>41</v>
      </c>
      <c r="Q9" s="82" t="s">
        <v>135</v>
      </c>
      <c r="R9" t="s">
        <v>128</v>
      </c>
      <c r="Y9" s="71" t="s">
        <v>668</v>
      </c>
      <c r="Z9" s="68">
        <v>2</v>
      </c>
      <c r="AC9" s="195" t="s">
        <v>634</v>
      </c>
      <c r="AD9" s="196"/>
    </row>
    <row r="10" spans="1:30" ht="15.75" thickTop="1" x14ac:dyDescent="0.25">
      <c r="A10">
        <v>168924</v>
      </c>
      <c r="B10" t="s">
        <v>923</v>
      </c>
      <c r="C10" t="s">
        <v>34</v>
      </c>
      <c r="D10" t="s">
        <v>924</v>
      </c>
      <c r="E10">
        <v>2</v>
      </c>
      <c r="F10" t="s">
        <v>210</v>
      </c>
      <c r="G10" t="str">
        <f t="shared" si="0"/>
        <v>A</v>
      </c>
      <c r="H10" s="105"/>
      <c r="I10" s="109" t="s">
        <v>35</v>
      </c>
      <c r="K10" s="71" t="s">
        <v>135</v>
      </c>
      <c r="L10" s="68">
        <v>5</v>
      </c>
      <c r="M10" s="68"/>
      <c r="N10" t="s">
        <v>2</v>
      </c>
      <c r="O10">
        <f>+GETPIVOTDATA("Story Points2",$K$20,"Project","A","Added After",)</f>
        <v>50</v>
      </c>
      <c r="P10">
        <f>IFERROR(AC10,0)</f>
        <v>11</v>
      </c>
      <c r="Q10" s="81">
        <f>IFERROR(AD10,0)</f>
        <v>6</v>
      </c>
      <c r="R10">
        <f t="shared" ref="R10:R11" si="1">+IF(ISERR(P10),0,P10)+IF(ISERR(O10),0,O10)</f>
        <v>61</v>
      </c>
      <c r="V10" s="13"/>
      <c r="W10" s="13"/>
      <c r="Y10" s="69" t="s">
        <v>656</v>
      </c>
      <c r="Z10" s="68">
        <v>3</v>
      </c>
      <c r="AC10" s="121">
        <f>+GETPIVOTDATA("Story Points2",$K$20,"Project","A","Added After","Y")</f>
        <v>11</v>
      </c>
      <c r="AD10" s="122">
        <f>GETPIVOTDATA("Story Points2",$K$2,"Status","Blocked","Project","A")</f>
        <v>6</v>
      </c>
    </row>
    <row r="11" spans="1:30" x14ac:dyDescent="0.25">
      <c r="A11">
        <v>173030</v>
      </c>
      <c r="B11" t="s">
        <v>1022</v>
      </c>
      <c r="C11" t="s">
        <v>135</v>
      </c>
      <c r="D11" t="s">
        <v>1023</v>
      </c>
      <c r="E11">
        <v>3</v>
      </c>
      <c r="F11" t="s">
        <v>217</v>
      </c>
      <c r="G11" t="str">
        <f t="shared" si="0"/>
        <v>A</v>
      </c>
      <c r="H11" s="105"/>
      <c r="I11" s="109"/>
      <c r="K11" s="69" t="s">
        <v>735</v>
      </c>
      <c r="L11" s="68"/>
      <c r="M11" s="68"/>
      <c r="N11" t="s">
        <v>3</v>
      </c>
      <c r="O11">
        <f>+GETPIVOTDATA("Story Points2",$K$20,"Project","U","Added After",)</f>
        <v>47</v>
      </c>
      <c r="P11">
        <f>IFERROR(AC11,0)</f>
        <v>7</v>
      </c>
      <c r="Q11" s="81">
        <f>IFERROR(AD11,0)</f>
        <v>5</v>
      </c>
      <c r="R11">
        <f t="shared" si="1"/>
        <v>54</v>
      </c>
      <c r="V11" s="13"/>
      <c r="W11" s="13"/>
      <c r="Y11" s="69" t="s">
        <v>112</v>
      </c>
      <c r="Z11" s="68"/>
      <c r="AC11" s="121">
        <f>+GETPIVOTDATA("Story Points2",$K$20,"Project","U","Added After","Y")</f>
        <v>7</v>
      </c>
      <c r="AD11" s="122">
        <f>GETPIVOTDATA("Story Points2",$K$2,"Status","Blocked","Project","U")</f>
        <v>5</v>
      </c>
    </row>
    <row r="12" spans="1:30" x14ac:dyDescent="0.25">
      <c r="A12">
        <v>174241</v>
      </c>
      <c r="B12" t="s">
        <v>1020</v>
      </c>
      <c r="C12" t="s">
        <v>34</v>
      </c>
      <c r="D12" t="s">
        <v>1021</v>
      </c>
      <c r="E12">
        <v>3</v>
      </c>
      <c r="F12" t="s">
        <v>152</v>
      </c>
      <c r="G12" t="str">
        <f t="shared" si="0"/>
        <v>A</v>
      </c>
      <c r="H12" s="105"/>
      <c r="I12" s="109" t="s">
        <v>35</v>
      </c>
      <c r="K12" s="71" t="s">
        <v>122</v>
      </c>
      <c r="L12" s="68"/>
      <c r="M12" s="68"/>
      <c r="V12" s="13"/>
      <c r="W12" s="13"/>
      <c r="Y12" s="71" t="s">
        <v>33</v>
      </c>
      <c r="Z12" s="68"/>
      <c r="AC12" s="121"/>
      <c r="AD12" s="122"/>
    </row>
    <row r="13" spans="1:30" x14ac:dyDescent="0.25">
      <c r="A13">
        <v>174242</v>
      </c>
      <c r="B13" t="s">
        <v>1018</v>
      </c>
      <c r="C13" t="s">
        <v>34</v>
      </c>
      <c r="D13" t="s">
        <v>1019</v>
      </c>
      <c r="E13">
        <v>3</v>
      </c>
      <c r="F13" t="s">
        <v>152</v>
      </c>
      <c r="G13" s="73" t="str">
        <f t="shared" si="0"/>
        <v>A</v>
      </c>
      <c r="H13" s="105"/>
      <c r="I13" s="109" t="s">
        <v>35</v>
      </c>
      <c r="K13" s="69" t="s">
        <v>31</v>
      </c>
      <c r="L13" s="68">
        <v>115</v>
      </c>
      <c r="M13" s="68"/>
      <c r="N13" t="s">
        <v>34</v>
      </c>
      <c r="O13" t="s">
        <v>126</v>
      </c>
      <c r="P13" t="s">
        <v>125</v>
      </c>
      <c r="Q13" s="80" t="s">
        <v>40</v>
      </c>
      <c r="R13" t="s">
        <v>127</v>
      </c>
      <c r="V13" s="13"/>
      <c r="W13" s="13"/>
      <c r="Y13" s="70" t="s">
        <v>579</v>
      </c>
      <c r="Z13" s="68">
        <v>1</v>
      </c>
      <c r="AC13" s="121"/>
      <c r="AD13" s="122"/>
    </row>
    <row r="14" spans="1:30" x14ac:dyDescent="0.25">
      <c r="A14">
        <v>174243</v>
      </c>
      <c r="B14" t="s">
        <v>1016</v>
      </c>
      <c r="C14" t="s">
        <v>34</v>
      </c>
      <c r="D14" t="s">
        <v>1017</v>
      </c>
      <c r="E14">
        <v>3</v>
      </c>
      <c r="F14" t="s">
        <v>152</v>
      </c>
      <c r="G14" t="str">
        <f t="shared" si="0"/>
        <v>A</v>
      </c>
      <c r="H14" s="105"/>
      <c r="I14" s="109" t="s">
        <v>35</v>
      </c>
      <c r="M14" s="68"/>
      <c r="N14" t="s">
        <v>2</v>
      </c>
      <c r="O14">
        <f>IFERROR(AC14,0)</f>
        <v>36</v>
      </c>
      <c r="P14">
        <f>IFERROR(AD14,0)</f>
        <v>8</v>
      </c>
      <c r="R14">
        <f t="shared" ref="R14:R15" si="2">+IF(ISERR(P14),0,P14)+IF(ISERR(O14),0,O14)</f>
        <v>44</v>
      </c>
      <c r="V14" s="13"/>
      <c r="W14" s="13"/>
      <c r="Y14" s="70" t="s">
        <v>585</v>
      </c>
      <c r="Z14" s="68">
        <v>1</v>
      </c>
      <c r="AC14" s="121">
        <f>+GETPIVOTDATA("Story Points2",$K$20,"Status","Done","Project","A","Added After",)</f>
        <v>36</v>
      </c>
      <c r="AD14" s="122">
        <f>+GETPIVOTDATA("Story Points2",$K$20,"Status","Done","Project","A","Added After","Y")</f>
        <v>8</v>
      </c>
    </row>
    <row r="15" spans="1:30" x14ac:dyDescent="0.25">
      <c r="A15">
        <v>174180</v>
      </c>
      <c r="B15" t="s">
        <v>1014</v>
      </c>
      <c r="C15" t="s">
        <v>34</v>
      </c>
      <c r="D15" t="s">
        <v>1015</v>
      </c>
      <c r="E15">
        <v>5</v>
      </c>
      <c r="F15" t="s">
        <v>217</v>
      </c>
      <c r="G15" s="73" t="str">
        <f t="shared" si="0"/>
        <v>A</v>
      </c>
      <c r="H15" s="105"/>
      <c r="I15" s="109" t="s">
        <v>35</v>
      </c>
      <c r="N15" t="s">
        <v>3</v>
      </c>
      <c r="O15">
        <f>IFERROR(AC15,0)</f>
        <v>38</v>
      </c>
      <c r="P15">
        <f>IFERROR(AD15,0)</f>
        <v>7</v>
      </c>
      <c r="R15">
        <f t="shared" si="2"/>
        <v>45</v>
      </c>
      <c r="V15" s="13"/>
      <c r="W15" s="13"/>
      <c r="Y15" s="71" t="s">
        <v>667</v>
      </c>
      <c r="Z15" s="68">
        <v>2</v>
      </c>
      <c r="AC15" s="121">
        <f>+GETPIVOTDATA("Story Points2",$K$20,"Status","Done","Project","U","Added After",)</f>
        <v>38</v>
      </c>
      <c r="AD15" s="122">
        <f>+GETPIVOTDATA("Story Points2",$K$20,"Status","Done","Project","U","Added After","Y")</f>
        <v>7</v>
      </c>
    </row>
    <row r="16" spans="1:30" x14ac:dyDescent="0.25">
      <c r="A16">
        <v>174022</v>
      </c>
      <c r="B16" t="s">
        <v>1012</v>
      </c>
      <c r="C16" t="s">
        <v>34</v>
      </c>
      <c r="D16" t="s">
        <v>1013</v>
      </c>
      <c r="E16">
        <v>2</v>
      </c>
      <c r="F16" t="s">
        <v>196</v>
      </c>
      <c r="G16" s="73" t="str">
        <f t="shared" si="0"/>
        <v>A</v>
      </c>
      <c r="H16" s="105"/>
      <c r="I16" s="109" t="s">
        <v>35</v>
      </c>
      <c r="Y16" s="69" t="s">
        <v>657</v>
      </c>
      <c r="Z16" s="68">
        <v>2</v>
      </c>
      <c r="AC16" s="121"/>
      <c r="AD16" s="122"/>
    </row>
    <row r="17" spans="1:30" ht="14.25" customHeight="1" x14ac:dyDescent="0.25">
      <c r="A17">
        <v>174999</v>
      </c>
      <c r="B17" t="s">
        <v>1010</v>
      </c>
      <c r="C17" t="s">
        <v>34</v>
      </c>
      <c r="D17" t="s">
        <v>1011</v>
      </c>
      <c r="E17">
        <v>3</v>
      </c>
      <c r="F17" t="s">
        <v>203</v>
      </c>
      <c r="G17" t="str">
        <f t="shared" si="0"/>
        <v>A</v>
      </c>
      <c r="H17" s="105"/>
      <c r="I17" s="109" t="s">
        <v>35</v>
      </c>
      <c r="N17" t="s">
        <v>34</v>
      </c>
      <c r="O17" t="s">
        <v>123</v>
      </c>
      <c r="P17" t="s">
        <v>124</v>
      </c>
      <c r="Q17" t="s">
        <v>126</v>
      </c>
      <c r="R17" t="s">
        <v>125</v>
      </c>
      <c r="T17" s="197"/>
      <c r="U17" s="197"/>
      <c r="V17" s="197"/>
      <c r="W17" s="197"/>
      <c r="Y17" s="69" t="s">
        <v>64</v>
      </c>
      <c r="Z17" s="68"/>
      <c r="AC17" s="121"/>
      <c r="AD17" s="122"/>
    </row>
    <row r="18" spans="1:30" x14ac:dyDescent="0.25">
      <c r="A18">
        <v>175200</v>
      </c>
      <c r="B18" t="s">
        <v>1030</v>
      </c>
      <c r="C18" t="s">
        <v>34</v>
      </c>
      <c r="D18" t="s">
        <v>1031</v>
      </c>
      <c r="F18" t="s">
        <v>203</v>
      </c>
      <c r="G18" s="73" t="str">
        <f t="shared" si="0"/>
        <v>A</v>
      </c>
      <c r="H18" s="105"/>
      <c r="I18" s="109" t="s">
        <v>35</v>
      </c>
      <c r="N18" t="s">
        <v>2</v>
      </c>
      <c r="O18" s="64">
        <f>+R14/O10</f>
        <v>0.88</v>
      </c>
      <c r="P18" s="64">
        <f t="shared" ref="P18:P19" si="3">+R14/R10</f>
        <v>0.72131147540983609</v>
      </c>
      <c r="Q18" s="64">
        <f>+O14/IF(ISERR(O10),1,O10)</f>
        <v>0.72</v>
      </c>
      <c r="R18" s="64">
        <f>+P14/IF(ISERR(AC10),1,P10)</f>
        <v>0.72727272727272729</v>
      </c>
      <c r="T18" s="197"/>
      <c r="U18" s="197"/>
      <c r="V18" s="197"/>
      <c r="W18" s="197"/>
      <c r="Y18" s="71" t="s">
        <v>33</v>
      </c>
      <c r="Z18" s="68"/>
      <c r="AC18" s="121"/>
      <c r="AD18" s="122"/>
    </row>
    <row r="19" spans="1:30" x14ac:dyDescent="0.25">
      <c r="A19">
        <v>175201</v>
      </c>
      <c r="B19" t="s">
        <v>1032</v>
      </c>
      <c r="C19" t="s">
        <v>34</v>
      </c>
      <c r="D19" t="s">
        <v>1033</v>
      </c>
      <c r="F19" t="s">
        <v>203</v>
      </c>
      <c r="G19" s="90" t="str">
        <f t="shared" si="0"/>
        <v>A</v>
      </c>
      <c r="H19" s="105"/>
      <c r="I19" s="109" t="s">
        <v>35</v>
      </c>
      <c r="M19" s="68"/>
      <c r="N19" t="s">
        <v>3</v>
      </c>
      <c r="O19" s="64">
        <f>+R15/O11</f>
        <v>0.95744680851063835</v>
      </c>
      <c r="P19" s="64">
        <f t="shared" si="3"/>
        <v>0.83333333333333337</v>
      </c>
      <c r="Q19" s="64">
        <f>+O15/IF(ISERR(O11),1,O11)</f>
        <v>0.80851063829787229</v>
      </c>
      <c r="R19" s="64">
        <f>+P15/IF(ISERR(AC11),1,P11)</f>
        <v>1</v>
      </c>
      <c r="T19" s="197"/>
      <c r="U19" s="197"/>
      <c r="V19" s="197"/>
      <c r="W19" s="197"/>
      <c r="Y19" s="70" t="s">
        <v>648</v>
      </c>
      <c r="Z19" s="68">
        <v>1</v>
      </c>
      <c r="AC19" s="121"/>
      <c r="AD19" s="122"/>
    </row>
    <row r="20" spans="1:30" x14ac:dyDescent="0.25">
      <c r="A20">
        <v>175202</v>
      </c>
      <c r="B20" t="s">
        <v>1034</v>
      </c>
      <c r="C20" t="s">
        <v>34</v>
      </c>
      <c r="D20" t="s">
        <v>1035</v>
      </c>
      <c r="F20" t="s">
        <v>203</v>
      </c>
      <c r="G20" t="str">
        <f t="shared" si="0"/>
        <v>A</v>
      </c>
      <c r="H20" s="105"/>
      <c r="I20" s="109" t="s">
        <v>35</v>
      </c>
      <c r="K20" s="72" t="s">
        <v>396</v>
      </c>
      <c r="L20" t="s">
        <v>120</v>
      </c>
      <c r="M20" s="68"/>
      <c r="T20" s="197"/>
      <c r="U20" s="197"/>
      <c r="V20" s="197"/>
      <c r="W20" s="197"/>
      <c r="Y20" s="71" t="s">
        <v>667</v>
      </c>
      <c r="Z20" s="68">
        <v>1</v>
      </c>
      <c r="AC20" s="121"/>
      <c r="AD20" s="122"/>
    </row>
    <row r="21" spans="1:30" x14ac:dyDescent="0.25">
      <c r="A21">
        <v>174893</v>
      </c>
      <c r="B21" t="s">
        <v>1008</v>
      </c>
      <c r="C21" t="s">
        <v>34</v>
      </c>
      <c r="D21" t="s">
        <v>1009</v>
      </c>
      <c r="E21">
        <v>1</v>
      </c>
      <c r="F21" t="s">
        <v>196</v>
      </c>
      <c r="G21" s="73" t="str">
        <f t="shared" si="0"/>
        <v>A</v>
      </c>
      <c r="H21" s="105"/>
      <c r="I21" s="109" t="s">
        <v>35</v>
      </c>
      <c r="K21" s="69" t="s">
        <v>122</v>
      </c>
      <c r="L21" s="68">
        <v>97</v>
      </c>
      <c r="M21" s="68"/>
      <c r="N21" t="s">
        <v>49</v>
      </c>
      <c r="O21" t="s">
        <v>126</v>
      </c>
      <c r="P21" t="s">
        <v>125</v>
      </c>
      <c r="Q21" s="80" t="s">
        <v>239</v>
      </c>
      <c r="R21" t="s">
        <v>129</v>
      </c>
      <c r="T21" s="197"/>
      <c r="U21" s="197"/>
      <c r="V21" s="197"/>
      <c r="W21" s="197"/>
      <c r="Y21" s="69" t="s">
        <v>658</v>
      </c>
      <c r="Z21" s="68">
        <v>1</v>
      </c>
      <c r="AC21" s="121"/>
      <c r="AD21" s="122"/>
    </row>
    <row r="22" spans="1:30" x14ac:dyDescent="0.25">
      <c r="A22">
        <v>174894</v>
      </c>
      <c r="B22" t="s">
        <v>1006</v>
      </c>
      <c r="C22" t="s">
        <v>34</v>
      </c>
      <c r="D22" t="s">
        <v>1007</v>
      </c>
      <c r="E22">
        <v>3</v>
      </c>
      <c r="F22" t="s">
        <v>196</v>
      </c>
      <c r="G22" s="90" t="str">
        <f t="shared" si="0"/>
        <v>A</v>
      </c>
      <c r="H22" s="105"/>
      <c r="I22" s="109" t="s">
        <v>35</v>
      </c>
      <c r="K22" s="71" t="s">
        <v>37</v>
      </c>
      <c r="L22" s="68">
        <v>50</v>
      </c>
      <c r="M22" s="68"/>
      <c r="N22" t="s">
        <v>2</v>
      </c>
      <c r="O22">
        <f>IFERROR(AC22,0)</f>
        <v>50</v>
      </c>
      <c r="P22">
        <f>IFERROR(AD22,0)</f>
        <v>11</v>
      </c>
      <c r="Q22">
        <f>+O10-Q10-Table722293643575064717885[[#This Row],[Committed Done]]</f>
        <v>-6</v>
      </c>
      <c r="R22">
        <f>+Table722293643575064717885[[#This Row],[Committed Done]]+Table722293643575064717885[[#This Row],[Added Done]]</f>
        <v>61</v>
      </c>
      <c r="T22" s="197"/>
      <c r="U22" s="197"/>
      <c r="V22" s="197"/>
      <c r="W22" s="197"/>
      <c r="Y22" s="69" t="s">
        <v>92</v>
      </c>
      <c r="Z22" s="68"/>
      <c r="AC22" s="121">
        <f>+GETPIVOTDATA("Story Points",$N$32,"Project","A","Added After",)</f>
        <v>50</v>
      </c>
      <c r="AD22" s="122">
        <f>+GETPIVOTDATA("Story Points",$N$32,"Project","A","Added After","Y")</f>
        <v>11</v>
      </c>
    </row>
    <row r="23" spans="1:30" ht="15.75" thickBot="1" x14ac:dyDescent="0.3">
      <c r="A23">
        <v>175405</v>
      </c>
      <c r="B23" t="s">
        <v>1004</v>
      </c>
      <c r="C23" t="s">
        <v>34</v>
      </c>
      <c r="D23" t="s">
        <v>1005</v>
      </c>
      <c r="E23">
        <v>1</v>
      </c>
      <c r="F23" t="s">
        <v>217</v>
      </c>
      <c r="G23" s="90" t="str">
        <f t="shared" si="0"/>
        <v>A</v>
      </c>
      <c r="H23" s="105" t="s">
        <v>35</v>
      </c>
      <c r="I23" s="109" t="s">
        <v>35</v>
      </c>
      <c r="K23" s="70" t="s">
        <v>32</v>
      </c>
      <c r="L23" s="68">
        <v>8</v>
      </c>
      <c r="M23" s="68"/>
      <c r="N23" t="s">
        <v>3</v>
      </c>
      <c r="O23">
        <f>IFERROR(AC23,0)</f>
        <v>47</v>
      </c>
      <c r="P23">
        <f>IFERROR(AD23,0)</f>
        <v>7</v>
      </c>
      <c r="Q23">
        <f>+O11-Q11-Table722293643575064717885[[#This Row],[Committed Done]]</f>
        <v>-5</v>
      </c>
      <c r="R23">
        <f>+Table722293643575064717885[[#This Row],[Committed Done]]+Table722293643575064717885[[#This Row],[Added Done]]</f>
        <v>54</v>
      </c>
      <c r="T23" s="197"/>
      <c r="U23" s="197"/>
      <c r="V23" s="197"/>
      <c r="W23" s="197"/>
      <c r="Y23" s="71" t="s">
        <v>32</v>
      </c>
      <c r="Z23" s="68"/>
      <c r="AC23" s="123">
        <f>+GETPIVOTDATA("Story Points",$N$32,"Project","U","Added After",)</f>
        <v>47</v>
      </c>
      <c r="AD23" s="124">
        <f>+GETPIVOTDATA("Story Points",$N$32,"Project","U","Added After","Y")</f>
        <v>7</v>
      </c>
    </row>
    <row r="24" spans="1:30" x14ac:dyDescent="0.25">
      <c r="A24">
        <v>175903</v>
      </c>
      <c r="B24" t="s">
        <v>1002</v>
      </c>
      <c r="C24" t="s">
        <v>34</v>
      </c>
      <c r="D24" t="s">
        <v>1003</v>
      </c>
      <c r="E24">
        <v>2</v>
      </c>
      <c r="F24" t="s">
        <v>155</v>
      </c>
      <c r="G24" t="str">
        <f t="shared" si="0"/>
        <v>A</v>
      </c>
      <c r="H24" s="105" t="s">
        <v>35</v>
      </c>
      <c r="I24" s="109" t="s">
        <v>35</v>
      </c>
      <c r="K24" s="70" t="s">
        <v>34</v>
      </c>
      <c r="L24" s="68">
        <v>36</v>
      </c>
      <c r="M24" s="68"/>
      <c r="T24" s="197"/>
      <c r="U24" s="197"/>
      <c r="V24" s="197"/>
      <c r="W24" s="197"/>
      <c r="Y24" s="70" t="s">
        <v>601</v>
      </c>
      <c r="Z24" s="68">
        <v>1</v>
      </c>
    </row>
    <row r="25" spans="1:30" x14ac:dyDescent="0.25">
      <c r="A25">
        <v>176931</v>
      </c>
      <c r="B25" t="s">
        <v>1000</v>
      </c>
      <c r="C25" t="s">
        <v>34</v>
      </c>
      <c r="D25" t="s">
        <v>1001</v>
      </c>
      <c r="E25">
        <v>2</v>
      </c>
      <c r="F25" t="s">
        <v>217</v>
      </c>
      <c r="G25" t="str">
        <f t="shared" si="0"/>
        <v>A</v>
      </c>
      <c r="H25" s="105" t="s">
        <v>35</v>
      </c>
      <c r="I25" s="109" t="s">
        <v>35</v>
      </c>
      <c r="K25" s="70" t="s">
        <v>135</v>
      </c>
      <c r="L25" s="68">
        <v>6</v>
      </c>
      <c r="M25" s="68"/>
      <c r="N25" t="s">
        <v>49</v>
      </c>
      <c r="O25" t="s">
        <v>123</v>
      </c>
      <c r="P25" t="s">
        <v>124</v>
      </c>
      <c r="Q25" t="s">
        <v>126</v>
      </c>
      <c r="R25" t="s">
        <v>130</v>
      </c>
      <c r="T25" s="197"/>
      <c r="U25" s="197"/>
      <c r="V25" s="197"/>
      <c r="W25" s="197"/>
      <c r="Y25" s="71" t="s">
        <v>668</v>
      </c>
      <c r="Z25" s="68">
        <v>1</v>
      </c>
    </row>
    <row r="26" spans="1:30" x14ac:dyDescent="0.25">
      <c r="A26">
        <v>176960</v>
      </c>
      <c r="B26" t="s">
        <v>1036</v>
      </c>
      <c r="C26" t="s">
        <v>34</v>
      </c>
      <c r="D26" t="s">
        <v>1037</v>
      </c>
      <c r="F26" t="s">
        <v>217</v>
      </c>
      <c r="G26" s="73" t="str">
        <f t="shared" si="0"/>
        <v>A</v>
      </c>
      <c r="H26" s="105"/>
      <c r="I26" s="109" t="s">
        <v>35</v>
      </c>
      <c r="K26" s="71" t="s">
        <v>36</v>
      </c>
      <c r="L26" s="68">
        <v>47</v>
      </c>
      <c r="N26" t="s">
        <v>2</v>
      </c>
      <c r="O26" s="64">
        <f>R22/IF(O10=0, 1,O10)</f>
        <v>1.22</v>
      </c>
      <c r="P26" s="64">
        <f>R22/IF(R10=0,1,R10)</f>
        <v>1</v>
      </c>
      <c r="Q26" s="64">
        <f>O22/IF(O10=0,1,O10)</f>
        <v>1</v>
      </c>
      <c r="R26" s="64">
        <f>+P22/IF(P10=0,1,P10)</f>
        <v>1</v>
      </c>
      <c r="T26" s="197"/>
      <c r="U26" s="197"/>
      <c r="V26" s="197"/>
      <c r="W26" s="197"/>
      <c r="Y26" s="69" t="s">
        <v>659</v>
      </c>
      <c r="Z26" s="68">
        <v>1</v>
      </c>
    </row>
    <row r="27" spans="1:30" x14ac:dyDescent="0.25">
      <c r="A27">
        <v>176961</v>
      </c>
      <c r="B27" t="s">
        <v>1038</v>
      </c>
      <c r="C27" t="s">
        <v>34</v>
      </c>
      <c r="D27" t="s">
        <v>1039</v>
      </c>
      <c r="F27" t="s">
        <v>217</v>
      </c>
      <c r="G27" t="str">
        <f t="shared" si="0"/>
        <v>A</v>
      </c>
      <c r="H27" s="105"/>
      <c r="I27" s="109" t="s">
        <v>35</v>
      </c>
      <c r="K27" s="70" t="s">
        <v>32</v>
      </c>
      <c r="L27" s="68">
        <v>4</v>
      </c>
      <c r="M27" s="68"/>
      <c r="N27" t="s">
        <v>3</v>
      </c>
      <c r="O27" s="64">
        <f>R23/IF(O11=0, 1,O11)</f>
        <v>1.1489361702127661</v>
      </c>
      <c r="P27" s="64">
        <f>R23/IF(R11=0,1,R11)</f>
        <v>1</v>
      </c>
      <c r="Q27" s="64">
        <f>O23/IF(O11=0,1,O11)</f>
        <v>1</v>
      </c>
      <c r="R27" s="64">
        <f>+P23/IF(P11=0,1,P11)</f>
        <v>1</v>
      </c>
      <c r="T27" s="197"/>
      <c r="U27" s="197"/>
      <c r="V27" s="197"/>
      <c r="W27" s="197"/>
      <c r="Y27" s="69" t="s">
        <v>58</v>
      </c>
      <c r="Z27" s="68"/>
    </row>
    <row r="28" spans="1:30" x14ac:dyDescent="0.25">
      <c r="A28">
        <v>176962</v>
      </c>
      <c r="B28" t="s">
        <v>1040</v>
      </c>
      <c r="C28" t="s">
        <v>34</v>
      </c>
      <c r="D28" t="s">
        <v>1041</v>
      </c>
      <c r="F28" t="s">
        <v>217</v>
      </c>
      <c r="G28" s="90" t="str">
        <f t="shared" si="0"/>
        <v>A</v>
      </c>
      <c r="H28" s="105"/>
      <c r="I28" s="109" t="s">
        <v>35</v>
      </c>
      <c r="K28" s="70" t="s">
        <v>34</v>
      </c>
      <c r="L28" s="68">
        <v>38</v>
      </c>
      <c r="M28" s="68"/>
      <c r="T28" s="197"/>
      <c r="U28" s="197"/>
      <c r="V28" s="197"/>
      <c r="W28" s="197"/>
      <c r="Y28" s="71" t="s">
        <v>32</v>
      </c>
      <c r="Z28" s="68"/>
    </row>
    <row r="29" spans="1:30" x14ac:dyDescent="0.25">
      <c r="A29">
        <v>177163</v>
      </c>
      <c r="B29" t="s">
        <v>1042</v>
      </c>
      <c r="C29" t="s">
        <v>34</v>
      </c>
      <c r="D29" t="s">
        <v>1043</v>
      </c>
      <c r="F29" t="s">
        <v>217</v>
      </c>
      <c r="G29" t="str">
        <f t="shared" si="0"/>
        <v>A</v>
      </c>
      <c r="H29" s="105"/>
      <c r="I29" s="109" t="s">
        <v>35</v>
      </c>
      <c r="K29" s="70" t="s">
        <v>135</v>
      </c>
      <c r="L29" s="68">
        <v>5</v>
      </c>
      <c r="M29" s="68"/>
      <c r="T29" s="197"/>
      <c r="U29" s="197"/>
      <c r="V29" s="197"/>
      <c r="W29" s="197"/>
      <c r="Y29" s="70" t="s">
        <v>631</v>
      </c>
      <c r="Z29" s="68">
        <v>1</v>
      </c>
    </row>
    <row r="30" spans="1:30" x14ac:dyDescent="0.25">
      <c r="A30">
        <v>179150</v>
      </c>
      <c r="B30" t="s">
        <v>998</v>
      </c>
      <c r="C30" t="s">
        <v>34</v>
      </c>
      <c r="D30" t="s">
        <v>999</v>
      </c>
      <c r="E30">
        <v>3</v>
      </c>
      <c r="F30" t="s">
        <v>203</v>
      </c>
      <c r="G30" t="str">
        <f t="shared" si="0"/>
        <v>A</v>
      </c>
      <c r="H30" s="105" t="s">
        <v>35</v>
      </c>
      <c r="I30" s="109" t="s">
        <v>35</v>
      </c>
      <c r="K30" s="71" t="s">
        <v>735</v>
      </c>
      <c r="L30" s="68"/>
      <c r="M30" s="68"/>
      <c r="N30" s="72" t="s">
        <v>144</v>
      </c>
      <c r="O30" s="160" t="s">
        <v>951</v>
      </c>
      <c r="T30" s="197"/>
      <c r="U30" s="197"/>
      <c r="V30" s="197"/>
      <c r="W30" s="197"/>
      <c r="Y30" s="71" t="s">
        <v>668</v>
      </c>
      <c r="Z30" s="68">
        <v>1</v>
      </c>
    </row>
    <row r="31" spans="1:30" x14ac:dyDescent="0.25">
      <c r="A31">
        <v>179152</v>
      </c>
      <c r="B31" t="s">
        <v>996</v>
      </c>
      <c r="C31" t="s">
        <v>32</v>
      </c>
      <c r="D31" t="s">
        <v>997</v>
      </c>
      <c r="E31">
        <v>3</v>
      </c>
      <c r="F31" t="s">
        <v>203</v>
      </c>
      <c r="G31" t="str">
        <f t="shared" si="0"/>
        <v>A</v>
      </c>
      <c r="H31" s="105" t="s">
        <v>35</v>
      </c>
      <c r="I31" s="109"/>
      <c r="K31" s="70" t="s">
        <v>122</v>
      </c>
      <c r="L31" s="68"/>
      <c r="M31" s="68"/>
      <c r="T31" s="197"/>
      <c r="U31" s="197"/>
      <c r="V31" s="197"/>
      <c r="W31" s="197"/>
      <c r="Y31" s="69" t="s">
        <v>660</v>
      </c>
      <c r="Z31" s="68">
        <v>1</v>
      </c>
    </row>
    <row r="32" spans="1:30" x14ac:dyDescent="0.25">
      <c r="A32">
        <v>164520</v>
      </c>
      <c r="B32" t="s">
        <v>992</v>
      </c>
      <c r="C32" t="s">
        <v>34</v>
      </c>
      <c r="D32" t="s">
        <v>993</v>
      </c>
      <c r="E32">
        <v>5</v>
      </c>
      <c r="F32" t="s">
        <v>184</v>
      </c>
      <c r="G32" t="str">
        <f t="shared" si="0"/>
        <v>U</v>
      </c>
      <c r="H32" s="105"/>
      <c r="I32" s="109" t="s">
        <v>35</v>
      </c>
      <c r="K32" s="69" t="s">
        <v>35</v>
      </c>
      <c r="L32" s="68">
        <v>18</v>
      </c>
      <c r="N32" s="72" t="s">
        <v>655</v>
      </c>
      <c r="O32" t="s">
        <v>50</v>
      </c>
      <c r="T32" s="197"/>
      <c r="U32" s="197"/>
      <c r="V32" s="197"/>
      <c r="W32" s="197"/>
      <c r="Y32" s="69" t="s">
        <v>235</v>
      </c>
      <c r="Z32" s="68"/>
    </row>
    <row r="33" spans="1:26" x14ac:dyDescent="0.25">
      <c r="A33">
        <v>168534</v>
      </c>
      <c r="B33" t="s">
        <v>990</v>
      </c>
      <c r="C33" t="s">
        <v>34</v>
      </c>
      <c r="D33" t="s">
        <v>991</v>
      </c>
      <c r="E33">
        <v>3</v>
      </c>
      <c r="F33" t="s">
        <v>189</v>
      </c>
      <c r="G33" t="str">
        <f t="shared" si="0"/>
        <v>U</v>
      </c>
      <c r="H33" s="105"/>
      <c r="I33" s="109" t="s">
        <v>35</v>
      </c>
      <c r="K33" s="71" t="s">
        <v>37</v>
      </c>
      <c r="L33" s="68">
        <v>11</v>
      </c>
      <c r="N33" s="69" t="s">
        <v>37</v>
      </c>
      <c r="O33" s="68"/>
      <c r="Q33">
        <f>77/99</f>
        <v>0.77777777777777779</v>
      </c>
      <c r="T33" s="197"/>
      <c r="U33" s="197"/>
      <c r="V33" s="197"/>
      <c r="W33" s="197"/>
      <c r="Y33" s="71" t="s">
        <v>33</v>
      </c>
      <c r="Z33" s="68"/>
    </row>
    <row r="34" spans="1:26" x14ac:dyDescent="0.25">
      <c r="A34">
        <v>169065</v>
      </c>
      <c r="B34" t="s">
        <v>988</v>
      </c>
      <c r="C34" t="s">
        <v>34</v>
      </c>
      <c r="D34" t="s">
        <v>989</v>
      </c>
      <c r="E34">
        <v>3</v>
      </c>
      <c r="F34" t="s">
        <v>179</v>
      </c>
      <c r="G34" t="str">
        <f t="shared" ref="G34:G62" si="4">MID(B34,4,1)</f>
        <v>U</v>
      </c>
      <c r="H34" s="105"/>
      <c r="I34" s="109" t="s">
        <v>35</v>
      </c>
      <c r="K34" s="70" t="s">
        <v>32</v>
      </c>
      <c r="L34" s="68">
        <v>3</v>
      </c>
      <c r="N34" s="71" t="s">
        <v>122</v>
      </c>
      <c r="O34" s="68">
        <v>50</v>
      </c>
      <c r="T34" s="197"/>
      <c r="U34" s="197"/>
      <c r="V34" s="197"/>
      <c r="W34" s="197"/>
      <c r="Y34" s="70" t="s">
        <v>581</v>
      </c>
      <c r="Z34" s="68">
        <v>1</v>
      </c>
    </row>
    <row r="35" spans="1:26" x14ac:dyDescent="0.25">
      <c r="A35">
        <v>173139</v>
      </c>
      <c r="B35" t="s">
        <v>986</v>
      </c>
      <c r="C35" t="s">
        <v>34</v>
      </c>
      <c r="D35" t="s">
        <v>987</v>
      </c>
      <c r="E35">
        <v>2</v>
      </c>
      <c r="F35" t="s">
        <v>189</v>
      </c>
      <c r="G35" s="90" t="str">
        <f t="shared" si="4"/>
        <v>U</v>
      </c>
      <c r="H35" s="105"/>
      <c r="I35" s="109" t="s">
        <v>35</v>
      </c>
      <c r="K35" s="70" t="s">
        <v>34</v>
      </c>
      <c r="L35" s="68">
        <v>8</v>
      </c>
      <c r="N35" s="71" t="s">
        <v>35</v>
      </c>
      <c r="O35" s="68">
        <v>11</v>
      </c>
      <c r="T35" s="197"/>
      <c r="U35" s="197"/>
      <c r="V35" s="197"/>
      <c r="W35" s="197"/>
      <c r="Y35" s="71" t="s">
        <v>667</v>
      </c>
      <c r="Z35" s="68">
        <v>1</v>
      </c>
    </row>
    <row r="36" spans="1:26" x14ac:dyDescent="0.25">
      <c r="A36">
        <v>172991</v>
      </c>
      <c r="B36" t="s">
        <v>984</v>
      </c>
      <c r="C36" t="s">
        <v>34</v>
      </c>
      <c r="D36" t="s">
        <v>985</v>
      </c>
      <c r="E36">
        <v>2</v>
      </c>
      <c r="F36" t="s">
        <v>189</v>
      </c>
      <c r="G36" t="str">
        <f t="shared" si="4"/>
        <v>U</v>
      </c>
      <c r="H36" s="105"/>
      <c r="I36" s="109" t="s">
        <v>35</v>
      </c>
      <c r="K36" s="71" t="s">
        <v>36</v>
      </c>
      <c r="L36" s="68">
        <v>7</v>
      </c>
      <c r="N36" s="69" t="s">
        <v>131</v>
      </c>
      <c r="O36" s="68">
        <v>61</v>
      </c>
      <c r="T36" s="197"/>
      <c r="U36" s="197"/>
      <c r="V36" s="197"/>
      <c r="W36" s="197"/>
      <c r="Y36" s="69" t="s">
        <v>661</v>
      </c>
      <c r="Z36" s="68">
        <v>1</v>
      </c>
    </row>
    <row r="37" spans="1:26" x14ac:dyDescent="0.25">
      <c r="A37">
        <v>172992</v>
      </c>
      <c r="B37" t="s">
        <v>982</v>
      </c>
      <c r="C37" t="s">
        <v>34</v>
      </c>
      <c r="D37" t="s">
        <v>983</v>
      </c>
      <c r="E37">
        <v>2</v>
      </c>
      <c r="F37" t="s">
        <v>189</v>
      </c>
      <c r="G37" t="str">
        <f t="shared" si="4"/>
        <v>U</v>
      </c>
      <c r="H37" s="105"/>
      <c r="I37" s="109" t="s">
        <v>35</v>
      </c>
      <c r="K37" s="70" t="s">
        <v>34</v>
      </c>
      <c r="L37" s="68">
        <v>7</v>
      </c>
      <c r="N37" s="69" t="s">
        <v>36</v>
      </c>
      <c r="O37" s="68"/>
      <c r="T37" s="197"/>
      <c r="U37" s="197"/>
      <c r="V37" s="197"/>
      <c r="W37" s="197"/>
      <c r="Y37" s="69" t="s">
        <v>89</v>
      </c>
      <c r="Z37" s="68"/>
    </row>
    <row r="38" spans="1:26" x14ac:dyDescent="0.25">
      <c r="A38">
        <v>172995</v>
      </c>
      <c r="B38" t="s">
        <v>980</v>
      </c>
      <c r="C38" t="s">
        <v>34</v>
      </c>
      <c r="D38" t="s">
        <v>981</v>
      </c>
      <c r="E38">
        <v>3</v>
      </c>
      <c r="F38" t="s">
        <v>184</v>
      </c>
      <c r="G38" s="73" t="str">
        <f t="shared" si="4"/>
        <v>U</v>
      </c>
      <c r="H38" s="105"/>
      <c r="I38" s="109" t="s">
        <v>35</v>
      </c>
      <c r="K38" s="69" t="s">
        <v>31</v>
      </c>
      <c r="L38" s="68">
        <v>115</v>
      </c>
      <c r="N38" s="71" t="s">
        <v>122</v>
      </c>
      <c r="O38" s="68">
        <v>47</v>
      </c>
      <c r="T38" s="197"/>
      <c r="U38" s="197"/>
      <c r="V38" s="197"/>
      <c r="W38" s="197"/>
      <c r="Y38" s="71" t="s">
        <v>33</v>
      </c>
      <c r="Z38" s="68"/>
    </row>
    <row r="39" spans="1:26" x14ac:dyDescent="0.25">
      <c r="A39">
        <v>174849</v>
      </c>
      <c r="B39" t="s">
        <v>978</v>
      </c>
      <c r="C39" t="s">
        <v>34</v>
      </c>
      <c r="D39" t="s">
        <v>979</v>
      </c>
      <c r="E39">
        <v>3</v>
      </c>
      <c r="F39" t="s">
        <v>155</v>
      </c>
      <c r="G39" s="73" t="str">
        <f t="shared" si="4"/>
        <v>U</v>
      </c>
      <c r="H39" s="105"/>
      <c r="I39" s="109" t="s">
        <v>35</v>
      </c>
      <c r="M39" s="68"/>
      <c r="N39" s="71" t="s">
        <v>35</v>
      </c>
      <c r="O39" s="68">
        <v>7</v>
      </c>
      <c r="T39" s="197"/>
      <c r="U39" s="197"/>
      <c r="V39" s="197"/>
      <c r="W39" s="197"/>
      <c r="Y39" s="70" t="s">
        <v>597</v>
      </c>
      <c r="Z39" s="68">
        <v>1</v>
      </c>
    </row>
    <row r="40" spans="1:26" x14ac:dyDescent="0.25">
      <c r="A40">
        <v>174850</v>
      </c>
      <c r="B40" t="s">
        <v>976</v>
      </c>
      <c r="C40" t="s">
        <v>34</v>
      </c>
      <c r="D40" t="s">
        <v>977</v>
      </c>
      <c r="E40">
        <v>3</v>
      </c>
      <c r="F40" t="s">
        <v>155</v>
      </c>
      <c r="G40" s="90" t="str">
        <f t="shared" si="4"/>
        <v>U</v>
      </c>
      <c r="H40" s="105"/>
      <c r="I40" s="109" t="s">
        <v>35</v>
      </c>
      <c r="M40" s="68"/>
      <c r="N40" s="69" t="s">
        <v>132</v>
      </c>
      <c r="O40" s="68">
        <v>54</v>
      </c>
      <c r="T40" s="197"/>
      <c r="U40" s="197"/>
      <c r="V40" s="197"/>
      <c r="W40" s="197"/>
      <c r="Y40" s="71" t="s">
        <v>667</v>
      </c>
      <c r="Z40" s="68">
        <v>1</v>
      </c>
    </row>
    <row r="41" spans="1:26" x14ac:dyDescent="0.25">
      <c r="A41">
        <v>174851</v>
      </c>
      <c r="B41" t="s">
        <v>974</v>
      </c>
      <c r="C41" t="s">
        <v>32</v>
      </c>
      <c r="D41" t="s">
        <v>975</v>
      </c>
      <c r="E41">
        <v>2</v>
      </c>
      <c r="F41" t="s">
        <v>155</v>
      </c>
      <c r="G41" t="str">
        <f t="shared" si="4"/>
        <v>U</v>
      </c>
      <c r="H41" s="105"/>
      <c r="I41" s="109"/>
      <c r="M41" s="68"/>
      <c r="N41" s="69" t="s">
        <v>735</v>
      </c>
      <c r="O41" s="68"/>
      <c r="Y41" s="69" t="s">
        <v>662</v>
      </c>
      <c r="Z41" s="68">
        <v>1</v>
      </c>
    </row>
    <row r="42" spans="1:26" x14ac:dyDescent="0.25">
      <c r="A42">
        <v>174979</v>
      </c>
      <c r="B42" t="s">
        <v>972</v>
      </c>
      <c r="C42" t="s">
        <v>34</v>
      </c>
      <c r="D42" t="s">
        <v>973</v>
      </c>
      <c r="E42">
        <v>2</v>
      </c>
      <c r="F42" t="s">
        <v>108</v>
      </c>
      <c r="G42" s="90" t="str">
        <f t="shared" si="4"/>
        <v>U</v>
      </c>
      <c r="H42" s="105"/>
      <c r="I42" s="109" t="s">
        <v>35</v>
      </c>
      <c r="M42" s="68"/>
      <c r="N42" s="71" t="s">
        <v>122</v>
      </c>
      <c r="O42" s="68"/>
      <c r="Y42" s="69" t="s">
        <v>81</v>
      </c>
      <c r="Z42" s="68"/>
    </row>
    <row r="43" spans="1:26" x14ac:dyDescent="0.25">
      <c r="A43">
        <v>174852</v>
      </c>
      <c r="B43" t="s">
        <v>970</v>
      </c>
      <c r="C43" t="s">
        <v>135</v>
      </c>
      <c r="D43" t="s">
        <v>971</v>
      </c>
      <c r="E43">
        <v>2</v>
      </c>
      <c r="F43" t="s">
        <v>155</v>
      </c>
      <c r="G43" t="str">
        <f t="shared" si="4"/>
        <v>U</v>
      </c>
      <c r="H43" s="105"/>
      <c r="I43" s="109"/>
      <c r="M43" s="68"/>
      <c r="N43" s="69" t="s">
        <v>950</v>
      </c>
      <c r="O43" s="68"/>
      <c r="Y43" s="71" t="s">
        <v>33</v>
      </c>
      <c r="Z43" s="68"/>
    </row>
    <row r="44" spans="1:26" x14ac:dyDescent="0.25">
      <c r="A44">
        <v>174980</v>
      </c>
      <c r="B44" t="s">
        <v>968</v>
      </c>
      <c r="C44" t="s">
        <v>34</v>
      </c>
      <c r="D44" t="s">
        <v>969</v>
      </c>
      <c r="E44">
        <v>2</v>
      </c>
      <c r="F44" t="s">
        <v>108</v>
      </c>
      <c r="G44" t="str">
        <f t="shared" si="4"/>
        <v>U</v>
      </c>
      <c r="H44" s="105"/>
      <c r="I44" s="109" t="s">
        <v>35</v>
      </c>
      <c r="M44" s="68"/>
      <c r="N44" s="69" t="s">
        <v>31</v>
      </c>
      <c r="O44" s="68">
        <v>115</v>
      </c>
      <c r="Y44" s="70" t="s">
        <v>589</v>
      </c>
      <c r="Z44" s="68">
        <v>1</v>
      </c>
    </row>
    <row r="45" spans="1:26" x14ac:dyDescent="0.25">
      <c r="A45">
        <v>174994</v>
      </c>
      <c r="B45" t="s">
        <v>966</v>
      </c>
      <c r="C45" t="s">
        <v>135</v>
      </c>
      <c r="D45" t="s">
        <v>967</v>
      </c>
      <c r="E45">
        <v>3</v>
      </c>
      <c r="F45" t="s">
        <v>179</v>
      </c>
      <c r="G45" t="str">
        <f t="shared" si="4"/>
        <v>U</v>
      </c>
      <c r="H45" s="105"/>
      <c r="I45" s="109"/>
      <c r="M45" s="68"/>
      <c r="Y45" s="71" t="s">
        <v>667</v>
      </c>
      <c r="Z45" s="68">
        <v>1</v>
      </c>
    </row>
    <row r="46" spans="1:26" x14ac:dyDescent="0.25">
      <c r="A46">
        <v>174996</v>
      </c>
      <c r="B46" t="s">
        <v>964</v>
      </c>
      <c r="C46" t="s">
        <v>34</v>
      </c>
      <c r="D46" t="s">
        <v>965</v>
      </c>
      <c r="E46">
        <v>3</v>
      </c>
      <c r="F46" t="s">
        <v>158</v>
      </c>
      <c r="G46" s="73" t="str">
        <f t="shared" si="4"/>
        <v>U</v>
      </c>
      <c r="H46" s="105"/>
      <c r="I46" s="109" t="s">
        <v>35</v>
      </c>
      <c r="M46" s="68"/>
      <c r="Y46" s="69" t="s">
        <v>663</v>
      </c>
      <c r="Z46" s="68">
        <v>1</v>
      </c>
    </row>
    <row r="47" spans="1:26" x14ac:dyDescent="0.25">
      <c r="A47">
        <v>174997</v>
      </c>
      <c r="B47" t="s">
        <v>962</v>
      </c>
      <c r="C47" t="s">
        <v>34</v>
      </c>
      <c r="D47" t="s">
        <v>963</v>
      </c>
      <c r="E47">
        <v>3</v>
      </c>
      <c r="F47" t="s">
        <v>184</v>
      </c>
      <c r="G47" t="str">
        <f t="shared" si="4"/>
        <v>U</v>
      </c>
      <c r="H47" s="105"/>
      <c r="I47" s="109" t="s">
        <v>35</v>
      </c>
      <c r="M47" s="68"/>
      <c r="Y47" s="69" t="s">
        <v>236</v>
      </c>
      <c r="Z47" s="68"/>
    </row>
    <row r="48" spans="1:26" x14ac:dyDescent="0.25">
      <c r="A48">
        <v>174866</v>
      </c>
      <c r="B48" t="s">
        <v>960</v>
      </c>
      <c r="C48" t="s">
        <v>34</v>
      </c>
      <c r="D48" t="s">
        <v>961</v>
      </c>
      <c r="E48">
        <v>1</v>
      </c>
      <c r="F48" t="s">
        <v>155</v>
      </c>
      <c r="G48" t="str">
        <f t="shared" si="4"/>
        <v>U</v>
      </c>
      <c r="H48" s="105"/>
      <c r="I48" s="109" t="s">
        <v>35</v>
      </c>
      <c r="Y48" s="71" t="s">
        <v>33</v>
      </c>
      <c r="Z48" s="68"/>
    </row>
    <row r="49" spans="1:26" x14ac:dyDescent="0.25">
      <c r="A49">
        <v>174867</v>
      </c>
      <c r="B49" t="s">
        <v>958</v>
      </c>
      <c r="C49" t="s">
        <v>34</v>
      </c>
      <c r="D49" t="s">
        <v>959</v>
      </c>
      <c r="E49">
        <v>1</v>
      </c>
      <c r="F49" t="s">
        <v>155</v>
      </c>
      <c r="G49" s="90" t="str">
        <f t="shared" si="4"/>
        <v>U</v>
      </c>
      <c r="H49" s="105"/>
      <c r="I49" s="109" t="s">
        <v>35</v>
      </c>
      <c r="Y49" s="70" t="s">
        <v>533</v>
      </c>
      <c r="Z49" s="68">
        <v>1</v>
      </c>
    </row>
    <row r="50" spans="1:26" x14ac:dyDescent="0.25">
      <c r="A50">
        <v>177014</v>
      </c>
      <c r="B50" t="s">
        <v>956</v>
      </c>
      <c r="C50" t="s">
        <v>34</v>
      </c>
      <c r="D50" t="s">
        <v>957</v>
      </c>
      <c r="E50">
        <v>3</v>
      </c>
      <c r="F50" t="s">
        <v>184</v>
      </c>
      <c r="G50" s="90" t="str">
        <f t="shared" si="4"/>
        <v>U</v>
      </c>
      <c r="H50" s="105" t="s">
        <v>35</v>
      </c>
      <c r="I50" s="109" t="s">
        <v>35</v>
      </c>
      <c r="Y50" s="71" t="s">
        <v>667</v>
      </c>
      <c r="Z50" s="68">
        <v>1</v>
      </c>
    </row>
    <row r="51" spans="1:26" x14ac:dyDescent="0.25">
      <c r="A51">
        <v>177654</v>
      </c>
      <c r="B51" t="s">
        <v>954</v>
      </c>
      <c r="C51" t="s">
        <v>34</v>
      </c>
      <c r="D51" t="s">
        <v>955</v>
      </c>
      <c r="E51">
        <v>2</v>
      </c>
      <c r="F51" t="s">
        <v>189</v>
      </c>
      <c r="G51" s="90" t="str">
        <f t="shared" si="4"/>
        <v>U</v>
      </c>
      <c r="H51" s="105" t="s">
        <v>35</v>
      </c>
      <c r="I51" s="109" t="s">
        <v>35</v>
      </c>
      <c r="Y51" s="71" t="s">
        <v>32</v>
      </c>
      <c r="Z51" s="68"/>
    </row>
    <row r="52" spans="1:26" x14ac:dyDescent="0.25">
      <c r="A52">
        <v>179572</v>
      </c>
      <c r="B52" t="s">
        <v>952</v>
      </c>
      <c r="C52" t="s">
        <v>34</v>
      </c>
      <c r="D52" t="s">
        <v>953</v>
      </c>
      <c r="E52">
        <v>2</v>
      </c>
      <c r="F52" t="s">
        <v>203</v>
      </c>
      <c r="G52" s="90" t="str">
        <f t="shared" si="4"/>
        <v>U</v>
      </c>
      <c r="H52" s="105" t="s">
        <v>35</v>
      </c>
      <c r="I52" s="109" t="s">
        <v>35</v>
      </c>
      <c r="Y52" s="70" t="s">
        <v>567</v>
      </c>
      <c r="Z52" s="68">
        <v>1</v>
      </c>
    </row>
    <row r="53" spans="1:26" x14ac:dyDescent="0.25">
      <c r="A53">
        <v>147871</v>
      </c>
      <c r="B53" t="s">
        <v>911</v>
      </c>
      <c r="C53" t="s">
        <v>32</v>
      </c>
      <c r="D53" t="s">
        <v>912</v>
      </c>
      <c r="E53">
        <v>1</v>
      </c>
      <c r="F53" t="s">
        <v>108</v>
      </c>
      <c r="G53" s="90" t="str">
        <f t="shared" si="4"/>
        <v>U</v>
      </c>
      <c r="H53" s="105"/>
      <c r="I53" s="109"/>
      <c r="K53" t="s">
        <v>669</v>
      </c>
      <c r="Y53" s="70" t="s">
        <v>633</v>
      </c>
      <c r="Z53" s="68">
        <v>1</v>
      </c>
    </row>
    <row r="54" spans="1:26" x14ac:dyDescent="0.25">
      <c r="A54">
        <v>154938</v>
      </c>
      <c r="B54" t="s">
        <v>994</v>
      </c>
      <c r="C54" t="s">
        <v>32</v>
      </c>
      <c r="D54" t="s">
        <v>995</v>
      </c>
      <c r="E54">
        <v>1</v>
      </c>
      <c r="F54" t="s">
        <v>179</v>
      </c>
      <c r="G54" s="90" t="str">
        <f t="shared" si="4"/>
        <v>U</v>
      </c>
      <c r="H54" s="105"/>
      <c r="I54" s="109"/>
      <c r="M54" s="68"/>
      <c r="Y54" s="71" t="s">
        <v>668</v>
      </c>
      <c r="Z54" s="68">
        <v>2</v>
      </c>
    </row>
    <row r="55" spans="1:26" x14ac:dyDescent="0.25">
      <c r="A55" s="90" t="str">
        <f t="shared" ref="A55:A62" si="5">MID(B55,8,3)</f>
        <v/>
      </c>
      <c r="B55" s="105"/>
      <c r="C55" s="105"/>
      <c r="D55" s="105"/>
      <c r="E55" s="105"/>
      <c r="F55" s="107"/>
      <c r="G55" s="90" t="str">
        <f t="shared" si="4"/>
        <v/>
      </c>
      <c r="H55" s="105"/>
      <c r="I55" s="109"/>
      <c r="M55" s="68"/>
      <c r="Y55" s="69" t="s">
        <v>664</v>
      </c>
      <c r="Z55" s="68">
        <v>3</v>
      </c>
    </row>
    <row r="56" spans="1:26" x14ac:dyDescent="0.25">
      <c r="A56" s="73" t="str">
        <f t="shared" si="5"/>
        <v/>
      </c>
      <c r="C56"/>
      <c r="G56" s="73" t="str">
        <f t="shared" si="4"/>
        <v/>
      </c>
      <c r="H56" s="105"/>
      <c r="I56" s="109"/>
      <c r="K56" s="71"/>
      <c r="L56" s="68"/>
      <c r="M56" s="68"/>
      <c r="Y56" s="69" t="s">
        <v>72</v>
      </c>
      <c r="Z56" s="68"/>
    </row>
    <row r="57" spans="1:26" x14ac:dyDescent="0.25">
      <c r="A57" s="90" t="str">
        <f t="shared" si="5"/>
        <v/>
      </c>
      <c r="C57"/>
      <c r="G57" s="90" t="str">
        <f t="shared" si="4"/>
        <v/>
      </c>
      <c r="H57" s="105"/>
      <c r="I57" s="109"/>
      <c r="K57" s="69"/>
      <c r="L57" s="68"/>
      <c r="Y57" s="71" t="s">
        <v>32</v>
      </c>
      <c r="Z57" s="68"/>
    </row>
    <row r="58" spans="1:26" x14ac:dyDescent="0.25">
      <c r="A58" s="90" t="str">
        <f t="shared" si="5"/>
        <v/>
      </c>
      <c r="C58"/>
      <c r="G58" s="90" t="str">
        <f t="shared" si="4"/>
        <v/>
      </c>
      <c r="H58" s="105"/>
      <c r="I58" s="109"/>
      <c r="K58" s="69"/>
      <c r="L58" s="68"/>
      <c r="Y58" s="70" t="s">
        <v>599</v>
      </c>
      <c r="Z58" s="68">
        <v>1</v>
      </c>
    </row>
    <row r="59" spans="1:26" x14ac:dyDescent="0.25">
      <c r="A59" s="73" t="str">
        <f t="shared" si="5"/>
        <v/>
      </c>
      <c r="C59"/>
      <c r="E59" s="13"/>
      <c r="G59" s="73" t="str">
        <f t="shared" si="4"/>
        <v/>
      </c>
      <c r="H59" s="105"/>
      <c r="I59" s="109"/>
      <c r="Y59" s="70" t="s">
        <v>603</v>
      </c>
      <c r="Z59" s="68">
        <v>1</v>
      </c>
    </row>
    <row r="60" spans="1:26" x14ac:dyDescent="0.25">
      <c r="A60" s="90" t="str">
        <f t="shared" si="5"/>
        <v/>
      </c>
      <c r="C60"/>
      <c r="G60" s="90" t="str">
        <f t="shared" si="4"/>
        <v/>
      </c>
      <c r="H60" s="105"/>
      <c r="I60" s="109"/>
      <c r="Y60" s="71" t="s">
        <v>668</v>
      </c>
      <c r="Z60" s="68">
        <v>2</v>
      </c>
    </row>
    <row r="61" spans="1:26" x14ac:dyDescent="0.25">
      <c r="A61" s="90" t="str">
        <f t="shared" si="5"/>
        <v/>
      </c>
      <c r="C61"/>
      <c r="G61" s="90" t="str">
        <f t="shared" si="4"/>
        <v/>
      </c>
      <c r="H61" s="105"/>
      <c r="I61" s="109"/>
      <c r="Y61" s="69" t="s">
        <v>665</v>
      </c>
      <c r="Z61" s="68">
        <v>2</v>
      </c>
    </row>
    <row r="62" spans="1:26" x14ac:dyDescent="0.25">
      <c r="A62" s="90" t="str">
        <f t="shared" si="5"/>
        <v/>
      </c>
      <c r="C62"/>
      <c r="G62" s="90" t="str">
        <f t="shared" si="4"/>
        <v/>
      </c>
      <c r="H62" s="105"/>
      <c r="I62" s="109"/>
      <c r="Y62" s="69" t="s">
        <v>31</v>
      </c>
      <c r="Z62" s="68">
        <v>16</v>
      </c>
    </row>
    <row r="63" spans="1:26" x14ac:dyDescent="0.25">
      <c r="B63" s="106"/>
      <c r="D63" s="106"/>
      <c r="E63" s="106"/>
      <c r="F63" s="106"/>
    </row>
    <row r="64" spans="1:26" x14ac:dyDescent="0.25">
      <c r="B64" s="106"/>
      <c r="D64" s="106"/>
      <c r="E64" s="106"/>
      <c r="F64" s="106"/>
    </row>
  </sheetData>
  <sheetProtection sort="0" autoFilter="0" pivotTables="0"/>
  <mergeCells count="2">
    <mergeCell ref="AC9:AD9"/>
    <mergeCell ref="T17:W40"/>
  </mergeCells>
  <conditionalFormatting sqref="I2:I62">
    <cfRule type="expression" dxfId="560" priority="16">
      <formula>$C2="Done"</formula>
    </cfRule>
  </conditionalFormatting>
  <conditionalFormatting sqref="C2:C57">
    <cfRule type="expression" dxfId="559" priority="14">
      <formula>C2="Blocked"</formula>
    </cfRule>
    <cfRule type="expression" dxfId="558" priority="15">
      <formula>C2="Done"</formula>
    </cfRule>
  </conditionalFormatting>
  <conditionalFormatting sqref="I2:I62">
    <cfRule type="expression" dxfId="557" priority="13" stopIfTrue="1">
      <formula>IF(C2="Done", IF(I2&lt;&gt;"Y",TRUE,FALSE),FALSE)</formula>
    </cfRule>
  </conditionalFormatting>
  <conditionalFormatting sqref="S2:S4">
    <cfRule type="expression" dxfId="556" priority="12">
      <formula>IF(S2&lt;0.8, TRUE, IF(S2&gt;1.2, TRUE, FALSE))</formula>
    </cfRule>
  </conditionalFormatting>
  <conditionalFormatting sqref="A30:I30">
    <cfRule type="expression" dxfId="555" priority="11">
      <formula>$C30="Blocked"</formula>
    </cfRule>
  </conditionalFormatting>
  <conditionalFormatting sqref="D43:D49">
    <cfRule type="expression" dxfId="554" priority="9">
      <formula>D43="Blocked"</formula>
    </cfRule>
    <cfRule type="expression" dxfId="553" priority="10">
      <formula>D43="Done"</formula>
    </cfRule>
  </conditionalFormatting>
  <conditionalFormatting sqref="C58">
    <cfRule type="expression" dxfId="552" priority="5">
      <formula>C58="Blocked"</formula>
    </cfRule>
    <cfRule type="expression" dxfId="551" priority="6">
      <formula>C58="Done"</formula>
    </cfRule>
  </conditionalFormatting>
  <conditionalFormatting sqref="C59:C61">
    <cfRule type="expression" dxfId="550" priority="3">
      <formula>C59="Blocked"</formula>
    </cfRule>
    <cfRule type="expression" dxfId="549" priority="4">
      <formula>C59="Done"</formula>
    </cfRule>
  </conditionalFormatting>
  <conditionalFormatting sqref="C62">
    <cfRule type="expression" dxfId="548" priority="1">
      <formula>C62="Blocked"</formula>
    </cfRule>
    <cfRule type="expression" dxfId="547" priority="2">
      <formula>C62="Done"</formula>
    </cfRule>
  </conditionalFormatting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8" name="Button 1">
              <controlPr defaultSize="0" print="0" autoFill="0" autoPict="0" macro="[0]!ResetAndLock">
                <anchor moveWithCells="1" sizeWithCells="1">
                  <from>
                    <xdr:col>18</xdr:col>
                    <xdr:colOff>952500</xdr:colOff>
                    <xdr:row>8</xdr:row>
                    <xdr:rowOff>9525</xdr:rowOff>
                  </from>
                  <to>
                    <xdr:col>23</xdr:col>
                    <xdr:colOff>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7">
    <tablePart r:id="rId9"/>
    <tablePart r:id="rId10"/>
    <tablePart r:id="rId11"/>
    <tablePart r:id="rId12"/>
    <tablePart r:id="rId13"/>
    <tablePart r:id="rId14"/>
    <tablePart r:id="rId1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AD62"/>
  <sheetViews>
    <sheetView topLeftCell="E1" zoomScaleNormal="100" workbookViewId="0">
      <selection activeCell="O4" sqref="O4:P4"/>
    </sheetView>
  </sheetViews>
  <sheetFormatPr defaultRowHeight="15" x14ac:dyDescent="0.25"/>
  <cols>
    <col min="2" max="2" width="12.28515625" customWidth="1"/>
    <col min="3" max="3" width="11" style="106" customWidth="1"/>
    <col min="4" max="4" width="56.28515625" customWidth="1"/>
    <col min="5" max="5" width="8.85546875" customWidth="1"/>
    <col min="6" max="6" width="13.140625" customWidth="1"/>
    <col min="7" max="7" width="3" customWidth="1"/>
    <col min="8" max="8" width="2.28515625" style="106" customWidth="1"/>
    <col min="9" max="9" width="10.85546875" style="106" customWidth="1"/>
    <col min="10" max="10" width="4.28515625" customWidth="1"/>
    <col min="11" max="11" width="16.7109375" bestFit="1" customWidth="1"/>
    <col min="12" max="12" width="6.42578125" bestFit="1" customWidth="1"/>
    <col min="13" max="13" width="6.42578125" customWidth="1"/>
    <col min="14" max="14" width="11.28515625" customWidth="1"/>
    <col min="15" max="15" width="18.42578125" customWidth="1"/>
    <col min="16" max="16" width="19" customWidth="1"/>
    <col min="17" max="17" width="16.28515625" customWidth="1"/>
    <col min="18" max="18" width="16.5703125" customWidth="1"/>
    <col min="19" max="19" width="14.5703125" customWidth="1"/>
    <col min="20" max="20" width="18.140625" customWidth="1"/>
    <col min="21" max="21" width="1.42578125" customWidth="1"/>
    <col min="22" max="22" width="11" customWidth="1"/>
    <col min="23" max="23" width="10.85546875" customWidth="1"/>
    <col min="24" max="24" width="9.140625" customWidth="1"/>
    <col min="25" max="25" width="78.85546875" customWidth="1"/>
    <col min="26" max="26" width="14.5703125" customWidth="1"/>
    <col min="27" max="27" width="9.140625" customWidth="1"/>
    <col min="28" max="28" width="11.5703125" customWidth="1"/>
    <col min="29" max="31" width="9.140625" customWidth="1"/>
  </cols>
  <sheetData>
    <row r="1" spans="1:30" ht="30.75" customHeight="1" x14ac:dyDescent="0.25">
      <c r="A1" t="s">
        <v>231</v>
      </c>
      <c r="B1" t="s">
        <v>48</v>
      </c>
      <c r="C1" s="106" t="s">
        <v>47</v>
      </c>
      <c r="D1" t="s">
        <v>46</v>
      </c>
      <c r="E1" t="s">
        <v>38</v>
      </c>
      <c r="F1" t="s">
        <v>45</v>
      </c>
      <c r="G1" t="s">
        <v>44</v>
      </c>
      <c r="H1" s="106" t="s">
        <v>43</v>
      </c>
      <c r="I1" s="106" t="s">
        <v>144</v>
      </c>
      <c r="N1" t="s">
        <v>133</v>
      </c>
      <c r="O1" t="s">
        <v>134</v>
      </c>
      <c r="P1" t="s">
        <v>41</v>
      </c>
      <c r="Q1" t="s">
        <v>135</v>
      </c>
      <c r="R1" t="s">
        <v>136</v>
      </c>
      <c r="S1" s="86" t="s">
        <v>143</v>
      </c>
      <c r="T1" s="86" t="s">
        <v>141</v>
      </c>
      <c r="U1" s="80" t="s">
        <v>40</v>
      </c>
      <c r="V1" s="86" t="s">
        <v>142</v>
      </c>
      <c r="W1" s="86" t="s">
        <v>145</v>
      </c>
      <c r="Y1" t="s">
        <v>39</v>
      </c>
      <c r="Z1" t="s">
        <v>666</v>
      </c>
    </row>
    <row r="2" spans="1:30" x14ac:dyDescent="0.25">
      <c r="A2">
        <v>172724</v>
      </c>
      <c r="B2" t="s">
        <v>878</v>
      </c>
      <c r="C2" t="s">
        <v>34</v>
      </c>
      <c r="D2" t="s">
        <v>879</v>
      </c>
      <c r="E2">
        <v>1</v>
      </c>
      <c r="F2" t="s">
        <v>189</v>
      </c>
      <c r="G2" t="str">
        <f t="shared" ref="G2:G57" si="0">MID(B2,4,1)</f>
        <v>U</v>
      </c>
      <c r="H2" s="105" t="s">
        <v>35</v>
      </c>
      <c r="I2" s="109" t="s">
        <v>35</v>
      </c>
      <c r="K2" s="72" t="s">
        <v>119</v>
      </c>
      <c r="L2" t="s">
        <v>120</v>
      </c>
      <c r="N2" t="s">
        <v>2</v>
      </c>
      <c r="O2">
        <f>+O10-Table9243138455952667380[[#This Row],[Blocked]]</f>
        <v>39</v>
      </c>
      <c r="P2">
        <f>IF(ISERR(P10),0,P10)</f>
        <v>28</v>
      </c>
      <c r="Q2">
        <f>IF(ISERR(Q10),0,Q10)</f>
        <v>0</v>
      </c>
      <c r="R2">
        <f>+IF(ISERR(R14),0,R14)</f>
        <v>41</v>
      </c>
      <c r="S2" s="88">
        <f>Table9243138455952667380[[#This Row],[Completed]]/Table9243138455952667380[[#This Row],[Committed]]</f>
        <v>1.0512820512820513</v>
      </c>
      <c r="T2" s="83">
        <f>Table9243138455952667380[[#This Row],[Completed]]/(Table9243138455952667380[[#This Row],[Added]]+Table9243138455952667380[[#This Row],[Committed]])</f>
        <v>0.61194029850746268</v>
      </c>
      <c r="V2" s="84" t="str">
        <f>IF(ISERR(O14),0,O14) &amp; "  (" &amp;TEXT(IF(ISERR(O14),0,O14)/Table9243138455952667380[[#This Row],[Committed]],"#%") &amp; ")"</f>
        <v>23  (59%)</v>
      </c>
      <c r="W2" s="85" t="str">
        <f>+IF(ISERR(P14),0,P14) &amp; " (" &amp; TEXT(R18, "#%") &amp; ")"</f>
        <v>18 (64%)</v>
      </c>
      <c r="Y2" s="69" t="s">
        <v>61</v>
      </c>
      <c r="Z2" s="68"/>
    </row>
    <row r="3" spans="1:30" x14ac:dyDescent="0.25">
      <c r="A3">
        <v>169728</v>
      </c>
      <c r="B3" t="s">
        <v>880</v>
      </c>
      <c r="C3" t="s">
        <v>34</v>
      </c>
      <c r="D3" t="s">
        <v>881</v>
      </c>
      <c r="E3">
        <v>1</v>
      </c>
      <c r="F3" t="s">
        <v>184</v>
      </c>
      <c r="G3" t="str">
        <f t="shared" si="0"/>
        <v>U</v>
      </c>
      <c r="H3" s="105" t="s">
        <v>35</v>
      </c>
      <c r="I3" s="109" t="s">
        <v>35</v>
      </c>
      <c r="K3" s="69" t="s">
        <v>37</v>
      </c>
      <c r="L3" s="68">
        <v>67</v>
      </c>
      <c r="N3" t="s">
        <v>3</v>
      </c>
      <c r="O3">
        <f>+O11-Table9243138455952667380[[#This Row],[Blocked]]</f>
        <v>50</v>
      </c>
      <c r="P3">
        <f>IF(ISERR(P11),0,P11)</f>
        <v>5</v>
      </c>
      <c r="Q3">
        <f>IF(ISERR(Q11),0,Q11)</f>
        <v>3</v>
      </c>
      <c r="R3">
        <f>+IF(ISERR(R15),0,R15)</f>
        <v>46</v>
      </c>
      <c r="S3" s="88">
        <f>Table9243138455952667380[[#This Row],[Completed]]/Table9243138455952667380[[#This Row],[Committed]]</f>
        <v>0.92</v>
      </c>
      <c r="T3" s="83">
        <f>Table9243138455952667380[[#This Row],[Completed]]/(Table9243138455952667380[[#This Row],[Added]]+Table9243138455952667380[[#This Row],[Committed]])</f>
        <v>0.83636363636363631</v>
      </c>
      <c r="V3" s="84" t="str">
        <f>IF(ISERR(O15),0,O15) &amp; "  (" &amp;TEXT(IF(ISERR(O15),0,O15)/Table9243138455952667380[[#This Row],[Committed]],"#%") &amp; ")"</f>
        <v>41  (82%)</v>
      </c>
      <c r="W3" s="85" t="str">
        <f>+IF(ISERR(P15),0,P15) &amp; " (" &amp; TEXT(R19, "#%") &amp; ")"</f>
        <v>5 (100%)</v>
      </c>
      <c r="Y3" s="71" t="s">
        <v>33</v>
      </c>
      <c r="Z3" s="68"/>
    </row>
    <row r="4" spans="1:30" x14ac:dyDescent="0.25">
      <c r="A4">
        <v>169141</v>
      </c>
      <c r="B4" t="s">
        <v>882</v>
      </c>
      <c r="C4" t="s">
        <v>34</v>
      </c>
      <c r="D4" t="s">
        <v>883</v>
      </c>
      <c r="E4">
        <v>1</v>
      </c>
      <c r="F4" t="s">
        <v>184</v>
      </c>
      <c r="G4" t="str">
        <f t="shared" si="0"/>
        <v>U</v>
      </c>
      <c r="H4" s="105" t="s">
        <v>35</v>
      </c>
      <c r="I4" s="109" t="s">
        <v>35</v>
      </c>
      <c r="K4" s="71" t="s">
        <v>32</v>
      </c>
      <c r="L4" s="68">
        <v>14</v>
      </c>
      <c r="N4" t="s">
        <v>303</v>
      </c>
      <c r="O4" s="68">
        <f>SUM(O2:O3)</f>
        <v>89</v>
      </c>
      <c r="P4">
        <f>SUM(P2:P3)</f>
        <v>33</v>
      </c>
      <c r="Q4" s="68">
        <f>SUM(Q2:Q3)</f>
        <v>3</v>
      </c>
      <c r="R4" s="68">
        <f>SUM(R2:R3)</f>
        <v>87</v>
      </c>
      <c r="S4" s="88">
        <f>Table9243138455952667380[[#This Row],[Completed]]/Table9243138455952667380[[#This Row],[Committed]]</f>
        <v>0.97752808988764039</v>
      </c>
      <c r="T4" s="83">
        <f>Table9243138455952667380[[#This Row],[Completed]]/(Table9243138455952667380[[#This Row],[Added]]+Table9243138455952667380[[#This Row],[Committed]])</f>
        <v>0.71311475409836067</v>
      </c>
      <c r="V4" s="108" t="str">
        <f>IF(ISERR(SUM(O14:O15)),0,SUM(O14:O15)) &amp;"  ("&amp;TEXT(SUM(O14:O15)/O4,"#%") &amp;")"</f>
        <v>64  (72%)</v>
      </c>
      <c r="W4" s="85" t="str">
        <f>R4-SUM(O14:O15)&amp;" ("&amp;TEXT((R4-SUM(O14:O15))/IF(P4=0,1,P4),"#%")&amp;")"</f>
        <v>23 (70%)</v>
      </c>
      <c r="Y4" s="70" t="s">
        <v>625</v>
      </c>
      <c r="Z4" s="68">
        <v>1</v>
      </c>
    </row>
    <row r="5" spans="1:30" x14ac:dyDescent="0.25">
      <c r="A5">
        <v>169221</v>
      </c>
      <c r="B5" t="s">
        <v>884</v>
      </c>
      <c r="C5" t="s">
        <v>34</v>
      </c>
      <c r="D5" t="s">
        <v>885</v>
      </c>
      <c r="E5">
        <v>1</v>
      </c>
      <c r="F5" t="s">
        <v>158</v>
      </c>
      <c r="G5" t="str">
        <f t="shared" si="0"/>
        <v>U</v>
      </c>
      <c r="H5" s="105"/>
      <c r="I5" s="109" t="s">
        <v>35</v>
      </c>
      <c r="K5" s="71" t="s">
        <v>33</v>
      </c>
      <c r="L5" s="68">
        <v>12</v>
      </c>
      <c r="O5" t="s">
        <v>140</v>
      </c>
      <c r="S5" t="s">
        <v>220</v>
      </c>
      <c r="Y5" s="71" t="s">
        <v>667</v>
      </c>
      <c r="Z5" s="68">
        <v>1</v>
      </c>
    </row>
    <row r="6" spans="1:30" x14ac:dyDescent="0.25">
      <c r="A6">
        <v>168943</v>
      </c>
      <c r="B6" t="s">
        <v>886</v>
      </c>
      <c r="C6" t="s">
        <v>34</v>
      </c>
      <c r="D6" t="s">
        <v>887</v>
      </c>
      <c r="E6">
        <v>5</v>
      </c>
      <c r="F6" t="s">
        <v>184</v>
      </c>
      <c r="G6" t="str">
        <f t="shared" si="0"/>
        <v>U</v>
      </c>
      <c r="H6" s="105"/>
      <c r="I6" s="109" t="s">
        <v>35</v>
      </c>
      <c r="K6" s="71" t="s">
        <v>34</v>
      </c>
      <c r="L6" s="68">
        <v>41</v>
      </c>
      <c r="Y6" s="71" t="s">
        <v>32</v>
      </c>
      <c r="Z6" s="68"/>
    </row>
    <row r="7" spans="1:30" x14ac:dyDescent="0.25">
      <c r="A7">
        <v>169217</v>
      </c>
      <c r="B7" t="s">
        <v>888</v>
      </c>
      <c r="C7" t="s">
        <v>34</v>
      </c>
      <c r="D7" t="s">
        <v>889</v>
      </c>
      <c r="E7">
        <v>3</v>
      </c>
      <c r="F7" t="s">
        <v>179</v>
      </c>
      <c r="G7" t="str">
        <f t="shared" si="0"/>
        <v>U</v>
      </c>
      <c r="H7" s="105"/>
      <c r="I7" s="109" t="s">
        <v>35</v>
      </c>
      <c r="K7" s="69" t="s">
        <v>36</v>
      </c>
      <c r="L7" s="68">
        <v>58</v>
      </c>
      <c r="Y7" s="70" t="s">
        <v>525</v>
      </c>
      <c r="Z7" s="68">
        <v>1</v>
      </c>
    </row>
    <row r="8" spans="1:30" ht="15.75" thickBot="1" x14ac:dyDescent="0.3">
      <c r="A8">
        <v>169215</v>
      </c>
      <c r="B8" t="s">
        <v>890</v>
      </c>
      <c r="C8" t="s">
        <v>34</v>
      </c>
      <c r="D8" t="s">
        <v>891</v>
      </c>
      <c r="E8">
        <v>1</v>
      </c>
      <c r="F8" t="s">
        <v>179</v>
      </c>
      <c r="G8" t="str">
        <f t="shared" si="0"/>
        <v>U</v>
      </c>
      <c r="H8" s="105"/>
      <c r="I8" s="109" t="s">
        <v>35</v>
      </c>
      <c r="K8" s="71" t="s">
        <v>32</v>
      </c>
      <c r="L8" s="68">
        <v>8</v>
      </c>
      <c r="M8" s="68"/>
      <c r="N8" t="s">
        <v>139</v>
      </c>
      <c r="R8" t="s">
        <v>138</v>
      </c>
      <c r="Y8" s="70" t="s">
        <v>623</v>
      </c>
      <c r="Z8" s="68">
        <v>1</v>
      </c>
    </row>
    <row r="9" spans="1:30" ht="15.75" thickBot="1" x14ac:dyDescent="0.3">
      <c r="A9">
        <v>169067</v>
      </c>
      <c r="B9" t="s">
        <v>892</v>
      </c>
      <c r="C9" t="s">
        <v>34</v>
      </c>
      <c r="D9" t="s">
        <v>893</v>
      </c>
      <c r="E9">
        <v>3</v>
      </c>
      <c r="F9" t="s">
        <v>155</v>
      </c>
      <c r="G9" t="str">
        <f t="shared" si="0"/>
        <v>U</v>
      </c>
      <c r="H9" s="105"/>
      <c r="I9" s="109" t="s">
        <v>35</v>
      </c>
      <c r="K9" s="71" t="s">
        <v>33</v>
      </c>
      <c r="L9" s="68">
        <v>1</v>
      </c>
      <c r="M9" s="68"/>
      <c r="N9" t="s">
        <v>133</v>
      </c>
      <c r="O9" t="s">
        <v>42</v>
      </c>
      <c r="P9" t="s">
        <v>41</v>
      </c>
      <c r="Q9" s="82" t="s">
        <v>135</v>
      </c>
      <c r="R9" t="s">
        <v>128</v>
      </c>
      <c r="Y9" s="71" t="s">
        <v>668</v>
      </c>
      <c r="Z9" s="68">
        <v>2</v>
      </c>
      <c r="AC9" s="195" t="s">
        <v>634</v>
      </c>
      <c r="AD9" s="196"/>
    </row>
    <row r="10" spans="1:30" ht="15.75" thickTop="1" x14ac:dyDescent="0.25">
      <c r="A10">
        <v>169066</v>
      </c>
      <c r="B10" t="s">
        <v>894</v>
      </c>
      <c r="C10" t="s">
        <v>34</v>
      </c>
      <c r="D10" t="s">
        <v>895</v>
      </c>
      <c r="E10">
        <v>3</v>
      </c>
      <c r="F10" t="s">
        <v>155</v>
      </c>
      <c r="G10" t="str">
        <f t="shared" si="0"/>
        <v>U</v>
      </c>
      <c r="H10" s="105"/>
      <c r="I10" s="109" t="s">
        <v>35</v>
      </c>
      <c r="K10" s="71" t="s">
        <v>34</v>
      </c>
      <c r="L10" s="68">
        <v>46</v>
      </c>
      <c r="M10" s="68"/>
      <c r="N10" t="s">
        <v>2</v>
      </c>
      <c r="O10">
        <f>+GETPIVOTDATA("Story Points2",$K$20,"Project","A","Added After",)</f>
        <v>39</v>
      </c>
      <c r="P10">
        <f>IFERROR(AC10,0)</f>
        <v>28</v>
      </c>
      <c r="Q10" s="81">
        <f>IFERROR(AD10,0)</f>
        <v>0</v>
      </c>
      <c r="R10">
        <f t="shared" ref="R10:R11" si="1">+IF(ISERR(P10),0,P10)+IF(ISERR(O10),0,O10)</f>
        <v>67</v>
      </c>
      <c r="V10" s="13"/>
      <c r="W10" s="13"/>
      <c r="Y10" s="69" t="s">
        <v>656</v>
      </c>
      <c r="Z10" s="68">
        <v>3</v>
      </c>
      <c r="AC10" s="121">
        <f>+GETPIVOTDATA("Story Points2",$K$20,"Project","A","Added After","Y")</f>
        <v>28</v>
      </c>
      <c r="AD10" s="122" t="e">
        <f>GETPIVOTDATA("Story Points2",$K$2,"Status","Blocked","Project","A")</f>
        <v>#REF!</v>
      </c>
    </row>
    <row r="11" spans="1:30" x14ac:dyDescent="0.25">
      <c r="A11">
        <v>168906</v>
      </c>
      <c r="B11" t="s">
        <v>896</v>
      </c>
      <c r="C11" t="s">
        <v>34</v>
      </c>
      <c r="D11" t="s">
        <v>897</v>
      </c>
      <c r="E11">
        <v>2</v>
      </c>
      <c r="F11" t="s">
        <v>158</v>
      </c>
      <c r="G11" t="str">
        <f t="shared" si="0"/>
        <v>U</v>
      </c>
      <c r="H11" s="105"/>
      <c r="I11" s="109" t="s">
        <v>35</v>
      </c>
      <c r="K11" s="71" t="s">
        <v>135</v>
      </c>
      <c r="L11" s="68">
        <v>3</v>
      </c>
      <c r="M11" s="68"/>
      <c r="N11" t="s">
        <v>3</v>
      </c>
      <c r="O11">
        <f>+GETPIVOTDATA("Story Points2",$K$20,"Project","U","Added After",)</f>
        <v>53</v>
      </c>
      <c r="P11">
        <f>IFERROR(AC11,0)</f>
        <v>5</v>
      </c>
      <c r="Q11" s="81">
        <f>IFERROR(AD11,0)</f>
        <v>3</v>
      </c>
      <c r="R11">
        <f t="shared" si="1"/>
        <v>58</v>
      </c>
      <c r="V11" s="13"/>
      <c r="W11" s="13"/>
      <c r="Y11" s="69" t="s">
        <v>112</v>
      </c>
      <c r="Z11" s="68"/>
      <c r="AC11" s="121">
        <f>+GETPIVOTDATA("Story Points2",$K$20,"Project","U","Added After","Y")</f>
        <v>5</v>
      </c>
      <c r="AD11" s="122">
        <f>GETPIVOTDATA("Story Points2",$K$2,"Status","Blocked","Project","U")</f>
        <v>3</v>
      </c>
    </row>
    <row r="12" spans="1:30" x14ac:dyDescent="0.25">
      <c r="A12">
        <v>168905</v>
      </c>
      <c r="B12" t="s">
        <v>898</v>
      </c>
      <c r="C12" t="s">
        <v>34</v>
      </c>
      <c r="D12" t="s">
        <v>899</v>
      </c>
      <c r="E12">
        <v>2</v>
      </c>
      <c r="F12" t="s">
        <v>158</v>
      </c>
      <c r="G12" t="str">
        <f t="shared" si="0"/>
        <v>U</v>
      </c>
      <c r="H12" s="105"/>
      <c r="I12" s="109" t="s">
        <v>35</v>
      </c>
      <c r="K12" s="69" t="s">
        <v>735</v>
      </c>
      <c r="L12" s="68"/>
      <c r="M12" s="68"/>
      <c r="V12" s="13"/>
      <c r="W12" s="13"/>
      <c r="Y12" s="71" t="s">
        <v>33</v>
      </c>
      <c r="Z12" s="68"/>
      <c r="AC12" s="121"/>
      <c r="AD12" s="122"/>
    </row>
    <row r="13" spans="1:30" x14ac:dyDescent="0.25">
      <c r="A13">
        <v>168904</v>
      </c>
      <c r="B13" t="s">
        <v>900</v>
      </c>
      <c r="C13" t="s">
        <v>34</v>
      </c>
      <c r="D13" t="s">
        <v>693</v>
      </c>
      <c r="E13">
        <v>3</v>
      </c>
      <c r="F13" t="s">
        <v>158</v>
      </c>
      <c r="G13" t="str">
        <f t="shared" si="0"/>
        <v>U</v>
      </c>
      <c r="H13" s="105"/>
      <c r="I13" s="109" t="s">
        <v>35</v>
      </c>
      <c r="K13" s="71" t="s">
        <v>122</v>
      </c>
      <c r="L13" s="68"/>
      <c r="M13" s="68"/>
      <c r="N13" t="s">
        <v>34</v>
      </c>
      <c r="O13" t="s">
        <v>126</v>
      </c>
      <c r="P13" t="s">
        <v>125</v>
      </c>
      <c r="Q13" s="80" t="s">
        <v>40</v>
      </c>
      <c r="R13" t="s">
        <v>127</v>
      </c>
      <c r="V13" s="13"/>
      <c r="W13" s="13"/>
      <c r="Y13" s="70" t="s">
        <v>579</v>
      </c>
      <c r="Z13" s="68">
        <v>1</v>
      </c>
      <c r="AC13" s="121"/>
      <c r="AD13" s="122"/>
    </row>
    <row r="14" spans="1:30" x14ac:dyDescent="0.25">
      <c r="A14">
        <v>168570</v>
      </c>
      <c r="B14" t="s">
        <v>901</v>
      </c>
      <c r="C14" t="s">
        <v>34</v>
      </c>
      <c r="D14" t="s">
        <v>902</v>
      </c>
      <c r="E14">
        <v>2</v>
      </c>
      <c r="F14" t="s">
        <v>81</v>
      </c>
      <c r="G14" s="90" t="str">
        <f t="shared" si="0"/>
        <v>U</v>
      </c>
      <c r="H14" s="105"/>
      <c r="I14" s="109" t="s">
        <v>35</v>
      </c>
      <c r="K14" s="69" t="s">
        <v>31</v>
      </c>
      <c r="L14" s="68">
        <v>125</v>
      </c>
      <c r="M14" s="68"/>
      <c r="N14" t="s">
        <v>2</v>
      </c>
      <c r="O14">
        <f>IFERROR(AC14,0)</f>
        <v>23</v>
      </c>
      <c r="P14">
        <f>IFERROR(AD14,0)</f>
        <v>18</v>
      </c>
      <c r="R14">
        <f t="shared" ref="R14:R15" si="2">+IF(ISERR(P14),0,P14)+IF(ISERR(O14),0,O14)</f>
        <v>41</v>
      </c>
      <c r="V14" s="13"/>
      <c r="W14" s="13"/>
      <c r="Y14" s="70" t="s">
        <v>585</v>
      </c>
      <c r="Z14" s="68">
        <v>1</v>
      </c>
      <c r="AC14" s="121">
        <f>+GETPIVOTDATA("Story Points2",$K$20,"Status","Done","Project","A","Added After",)</f>
        <v>23</v>
      </c>
      <c r="AD14" s="122">
        <f>+GETPIVOTDATA("Story Points2",$K$20,"Status","Done","Project","A","Added After","Y")</f>
        <v>18</v>
      </c>
    </row>
    <row r="15" spans="1:30" x14ac:dyDescent="0.25">
      <c r="A15">
        <v>168532</v>
      </c>
      <c r="B15" t="s">
        <v>903</v>
      </c>
      <c r="C15" t="s">
        <v>34</v>
      </c>
      <c r="D15" t="s">
        <v>904</v>
      </c>
      <c r="E15">
        <v>3</v>
      </c>
      <c r="F15" t="s">
        <v>189</v>
      </c>
      <c r="G15" s="73" t="str">
        <f t="shared" si="0"/>
        <v>U</v>
      </c>
      <c r="H15" s="105"/>
      <c r="I15" s="109" t="s">
        <v>35</v>
      </c>
      <c r="N15" t="s">
        <v>3</v>
      </c>
      <c r="O15">
        <f>IFERROR(AC15,0)</f>
        <v>41</v>
      </c>
      <c r="P15">
        <f>IFERROR(AD15,0)</f>
        <v>5</v>
      </c>
      <c r="R15">
        <f t="shared" si="2"/>
        <v>46</v>
      </c>
      <c r="V15" s="13"/>
      <c r="W15" s="13"/>
      <c r="Y15" s="71" t="s">
        <v>667</v>
      </c>
      <c r="Z15" s="68">
        <v>2</v>
      </c>
      <c r="AC15" s="121">
        <f>+GETPIVOTDATA("Story Points2",$K$20,"Status","Done","Project","U","Added After",)</f>
        <v>41</v>
      </c>
      <c r="AD15" s="122">
        <f>+GETPIVOTDATA("Story Points2",$K$20,"Status","Done","Project","U","Added After","Y")</f>
        <v>5</v>
      </c>
    </row>
    <row r="16" spans="1:30" x14ac:dyDescent="0.25">
      <c r="A16">
        <v>168803</v>
      </c>
      <c r="B16" t="s">
        <v>905</v>
      </c>
      <c r="C16" t="s">
        <v>34</v>
      </c>
      <c r="D16" t="s">
        <v>906</v>
      </c>
      <c r="E16">
        <v>3</v>
      </c>
      <c r="F16" t="s">
        <v>152</v>
      </c>
      <c r="G16" s="73" t="str">
        <f t="shared" si="0"/>
        <v>U</v>
      </c>
      <c r="H16" s="105"/>
      <c r="I16" s="109" t="s">
        <v>35</v>
      </c>
      <c r="Y16" s="69" t="s">
        <v>657</v>
      </c>
      <c r="Z16" s="68">
        <v>2</v>
      </c>
      <c r="AC16" s="121"/>
      <c r="AD16" s="122"/>
    </row>
    <row r="17" spans="1:30" ht="14.25" customHeight="1" x14ac:dyDescent="0.25">
      <c r="A17">
        <v>165954</v>
      </c>
      <c r="B17" t="s">
        <v>872</v>
      </c>
      <c r="C17" t="s">
        <v>34</v>
      </c>
      <c r="D17" t="s">
        <v>873</v>
      </c>
      <c r="E17">
        <v>3</v>
      </c>
      <c r="F17" t="s">
        <v>184</v>
      </c>
      <c r="G17" s="90" t="str">
        <f t="shared" si="0"/>
        <v>U</v>
      </c>
      <c r="H17" s="105"/>
      <c r="I17" s="109" t="s">
        <v>35</v>
      </c>
      <c r="N17" t="s">
        <v>34</v>
      </c>
      <c r="O17" t="s">
        <v>123</v>
      </c>
      <c r="P17" t="s">
        <v>124</v>
      </c>
      <c r="Q17" t="s">
        <v>126</v>
      </c>
      <c r="R17" t="s">
        <v>125</v>
      </c>
      <c r="T17" s="197" t="s">
        <v>877</v>
      </c>
      <c r="U17" s="197"/>
      <c r="V17" s="197"/>
      <c r="W17" s="197"/>
      <c r="Y17" s="69" t="s">
        <v>64</v>
      </c>
      <c r="Z17" s="68"/>
      <c r="AC17" s="121"/>
      <c r="AD17" s="122"/>
    </row>
    <row r="18" spans="1:30" x14ac:dyDescent="0.25">
      <c r="A18">
        <v>164566</v>
      </c>
      <c r="B18" t="s">
        <v>864</v>
      </c>
      <c r="C18" t="s">
        <v>32</v>
      </c>
      <c r="D18" t="s">
        <v>865</v>
      </c>
      <c r="E18">
        <v>5</v>
      </c>
      <c r="F18" t="s">
        <v>158</v>
      </c>
      <c r="G18" s="90" t="str">
        <f t="shared" si="0"/>
        <v>U</v>
      </c>
      <c r="H18" s="105"/>
      <c r="I18" s="109"/>
      <c r="N18" t="s">
        <v>2</v>
      </c>
      <c r="O18" s="64">
        <f>+R14/O10</f>
        <v>1.0512820512820513</v>
      </c>
      <c r="P18" s="64">
        <f t="shared" ref="P18:P19" si="3">+R14/R10</f>
        <v>0.61194029850746268</v>
      </c>
      <c r="Q18" s="64">
        <f>+O14/IF(ISERR(O10),1,O10)</f>
        <v>0.58974358974358976</v>
      </c>
      <c r="R18" s="64">
        <f>+P14/IF(ISERR(AC10),1,P10)</f>
        <v>0.6428571428571429</v>
      </c>
      <c r="T18" s="197"/>
      <c r="U18" s="197"/>
      <c r="V18" s="197"/>
      <c r="W18" s="197"/>
      <c r="Y18" s="71" t="s">
        <v>33</v>
      </c>
      <c r="Z18" s="68"/>
      <c r="AC18" s="121"/>
      <c r="AD18" s="122"/>
    </row>
    <row r="19" spans="1:30" x14ac:dyDescent="0.25">
      <c r="A19">
        <v>164529</v>
      </c>
      <c r="B19" t="s">
        <v>907</v>
      </c>
      <c r="C19" t="s">
        <v>34</v>
      </c>
      <c r="D19" t="s">
        <v>908</v>
      </c>
      <c r="E19">
        <v>3</v>
      </c>
      <c r="F19" t="s">
        <v>184</v>
      </c>
      <c r="G19" s="90" t="str">
        <f t="shared" si="0"/>
        <v>U</v>
      </c>
      <c r="H19" s="105"/>
      <c r="I19" s="109" t="s">
        <v>35</v>
      </c>
      <c r="M19" s="68"/>
      <c r="N19" t="s">
        <v>3</v>
      </c>
      <c r="O19" s="64">
        <f>+R15/O11</f>
        <v>0.86792452830188682</v>
      </c>
      <c r="P19" s="64">
        <f t="shared" si="3"/>
        <v>0.7931034482758621</v>
      </c>
      <c r="Q19" s="64">
        <f>+O15/IF(ISERR(O11),1,O11)</f>
        <v>0.77358490566037741</v>
      </c>
      <c r="R19" s="64">
        <f>+P15/IF(ISERR(AC11),1,P11)</f>
        <v>1</v>
      </c>
      <c r="T19" s="197"/>
      <c r="U19" s="197"/>
      <c r="V19" s="197"/>
      <c r="W19" s="197"/>
      <c r="Y19" s="70" t="s">
        <v>648</v>
      </c>
      <c r="Z19" s="68">
        <v>1</v>
      </c>
      <c r="AC19" s="121"/>
      <c r="AD19" s="122"/>
    </row>
    <row r="20" spans="1:30" x14ac:dyDescent="0.25">
      <c r="A20">
        <v>162671</v>
      </c>
      <c r="B20" t="s">
        <v>845</v>
      </c>
      <c r="C20" t="s">
        <v>135</v>
      </c>
      <c r="D20" t="s">
        <v>846</v>
      </c>
      <c r="E20">
        <v>3</v>
      </c>
      <c r="F20" t="s">
        <v>108</v>
      </c>
      <c r="G20" s="73" t="str">
        <f t="shared" si="0"/>
        <v>U</v>
      </c>
      <c r="H20" s="105"/>
      <c r="I20" s="109"/>
      <c r="K20" s="72" t="s">
        <v>396</v>
      </c>
      <c r="L20" t="s">
        <v>120</v>
      </c>
      <c r="M20" s="68"/>
      <c r="T20" s="197"/>
      <c r="U20" s="197"/>
      <c r="V20" s="197"/>
      <c r="W20" s="197"/>
      <c r="Y20" s="71" t="s">
        <v>667</v>
      </c>
      <c r="Z20" s="68">
        <v>1</v>
      </c>
      <c r="AC20" s="121"/>
      <c r="AD20" s="122"/>
    </row>
    <row r="21" spans="1:30" x14ac:dyDescent="0.25">
      <c r="A21">
        <v>159879</v>
      </c>
      <c r="B21" t="s">
        <v>790</v>
      </c>
      <c r="C21" t="s">
        <v>32</v>
      </c>
      <c r="D21" t="s">
        <v>791</v>
      </c>
      <c r="E21">
        <v>3</v>
      </c>
      <c r="F21" t="s">
        <v>189</v>
      </c>
      <c r="G21" t="str">
        <f t="shared" si="0"/>
        <v>U</v>
      </c>
      <c r="H21" s="105"/>
      <c r="I21" s="109"/>
      <c r="K21" s="69" t="s">
        <v>122</v>
      </c>
      <c r="L21" s="68">
        <v>92</v>
      </c>
      <c r="M21" s="68"/>
      <c r="N21" t="s">
        <v>49</v>
      </c>
      <c r="O21" t="s">
        <v>126</v>
      </c>
      <c r="P21" t="s">
        <v>125</v>
      </c>
      <c r="Q21" s="80" t="s">
        <v>239</v>
      </c>
      <c r="R21" t="s">
        <v>129</v>
      </c>
      <c r="T21" s="197"/>
      <c r="U21" s="197"/>
      <c r="V21" s="197"/>
      <c r="W21" s="197"/>
      <c r="Y21" s="69" t="s">
        <v>658</v>
      </c>
      <c r="Z21" s="68">
        <v>1</v>
      </c>
      <c r="AC21" s="121"/>
      <c r="AD21" s="122"/>
    </row>
    <row r="22" spans="1:30" x14ac:dyDescent="0.25">
      <c r="A22">
        <v>155449</v>
      </c>
      <c r="B22" t="s">
        <v>909</v>
      </c>
      <c r="C22" t="s">
        <v>34</v>
      </c>
      <c r="D22" t="s">
        <v>910</v>
      </c>
      <c r="E22">
        <v>1</v>
      </c>
      <c r="F22" t="s">
        <v>184</v>
      </c>
      <c r="G22" s="73" t="str">
        <f t="shared" si="0"/>
        <v>U</v>
      </c>
      <c r="H22" s="105"/>
      <c r="I22" s="109" t="s">
        <v>35</v>
      </c>
      <c r="K22" s="71" t="s">
        <v>37</v>
      </c>
      <c r="L22" s="68">
        <v>39</v>
      </c>
      <c r="M22" s="68"/>
      <c r="N22" t="s">
        <v>2</v>
      </c>
      <c r="O22">
        <f>IFERROR(AC22,0)</f>
        <v>25</v>
      </c>
      <c r="P22">
        <f>IFERROR(AD22,0)</f>
        <v>28</v>
      </c>
      <c r="Q22">
        <f>+O10-Q10-Table7222936435750647178[[#This Row],[Committed Done]]</f>
        <v>14</v>
      </c>
      <c r="R22">
        <f>+Table7222936435750647178[[#This Row],[Committed Done]]+Table7222936435750647178[[#This Row],[Added Done]]</f>
        <v>53</v>
      </c>
      <c r="T22" s="197"/>
      <c r="U22" s="197"/>
      <c r="V22" s="197"/>
      <c r="W22" s="197"/>
      <c r="Y22" s="69" t="s">
        <v>92</v>
      </c>
      <c r="Z22" s="68"/>
      <c r="AC22" s="121">
        <f>+GETPIVOTDATA("Story Points",$N$32,"Project","A","Added After",)</f>
        <v>25</v>
      </c>
      <c r="AD22" s="122">
        <f>+GETPIVOTDATA("Story Points",$N$32,"Project","A","Added After","Y")</f>
        <v>28</v>
      </c>
    </row>
    <row r="23" spans="1:30" ht="15.75" thickBot="1" x14ac:dyDescent="0.3">
      <c r="A23">
        <v>147871</v>
      </c>
      <c r="B23" s="81" t="s">
        <v>911</v>
      </c>
      <c r="C23" t="s">
        <v>33</v>
      </c>
      <c r="D23" t="s">
        <v>912</v>
      </c>
      <c r="E23">
        <v>1</v>
      </c>
      <c r="F23" t="s">
        <v>235</v>
      </c>
      <c r="G23" s="73" t="str">
        <f t="shared" si="0"/>
        <v>U</v>
      </c>
      <c r="H23" s="105"/>
      <c r="I23" s="109"/>
      <c r="K23" s="70" t="s">
        <v>32</v>
      </c>
      <c r="L23" s="68">
        <v>14</v>
      </c>
      <c r="M23" s="68"/>
      <c r="N23" t="s">
        <v>3</v>
      </c>
      <c r="O23">
        <f>IFERROR(AC23,0)</f>
        <v>41</v>
      </c>
      <c r="P23">
        <f>IFERROR(AD23,0)</f>
        <v>5</v>
      </c>
      <c r="Q23">
        <f>+O11-Q11-Table7222936435750647178[[#This Row],[Committed Done]]</f>
        <v>9</v>
      </c>
      <c r="R23">
        <f>+Table7222936435750647178[[#This Row],[Committed Done]]+Table7222936435750647178[[#This Row],[Added Done]]</f>
        <v>46</v>
      </c>
      <c r="T23" s="197"/>
      <c r="U23" s="197"/>
      <c r="V23" s="197"/>
      <c r="W23" s="197"/>
      <c r="Y23" s="71" t="s">
        <v>32</v>
      </c>
      <c r="Z23" s="68"/>
      <c r="AC23" s="123">
        <f>+GETPIVOTDATA("Story Points",$N$32,"Project","U","Added After",)</f>
        <v>41</v>
      </c>
      <c r="AD23" s="124">
        <f>+GETPIVOTDATA("Story Points",$N$32,"Project","U","Added After","Y")</f>
        <v>5</v>
      </c>
    </row>
    <row r="24" spans="1:30" x14ac:dyDescent="0.25">
      <c r="A24">
        <v>146259</v>
      </c>
      <c r="B24" t="s">
        <v>913</v>
      </c>
      <c r="C24" t="s">
        <v>34</v>
      </c>
      <c r="D24" t="s">
        <v>914</v>
      </c>
      <c r="E24">
        <v>2</v>
      </c>
      <c r="F24" t="s">
        <v>155</v>
      </c>
      <c r="G24" s="73" t="str">
        <f t="shared" si="0"/>
        <v>U</v>
      </c>
      <c r="H24" s="105" t="s">
        <v>35</v>
      </c>
      <c r="I24" s="109" t="s">
        <v>35</v>
      </c>
      <c r="K24" s="70" t="s">
        <v>33</v>
      </c>
      <c r="L24" s="68">
        <v>2</v>
      </c>
      <c r="M24" s="68"/>
      <c r="T24" s="197"/>
      <c r="U24" s="197"/>
      <c r="V24" s="197"/>
      <c r="W24" s="197"/>
      <c r="Y24" s="70" t="s">
        <v>601</v>
      </c>
      <c r="Z24" s="68">
        <v>1</v>
      </c>
    </row>
    <row r="25" spans="1:30" x14ac:dyDescent="0.25">
      <c r="A25">
        <v>132868</v>
      </c>
      <c r="B25" t="s">
        <v>915</v>
      </c>
      <c r="C25" t="s">
        <v>34</v>
      </c>
      <c r="D25" t="s">
        <v>916</v>
      </c>
      <c r="E25">
        <v>3</v>
      </c>
      <c r="F25" t="s">
        <v>189</v>
      </c>
      <c r="G25" t="str">
        <f t="shared" si="0"/>
        <v>U</v>
      </c>
      <c r="H25" s="105"/>
      <c r="I25" s="109" t="s">
        <v>35</v>
      </c>
      <c r="K25" s="70" t="s">
        <v>34</v>
      </c>
      <c r="L25" s="68">
        <v>23</v>
      </c>
      <c r="M25" s="68"/>
      <c r="N25" t="s">
        <v>49</v>
      </c>
      <c r="O25" t="s">
        <v>123</v>
      </c>
      <c r="P25" t="s">
        <v>124</v>
      </c>
      <c r="Q25" t="s">
        <v>126</v>
      </c>
      <c r="R25" t="s">
        <v>130</v>
      </c>
      <c r="T25" s="197"/>
      <c r="U25" s="197"/>
      <c r="V25" s="197"/>
      <c r="W25" s="197"/>
      <c r="Y25" s="71" t="s">
        <v>668</v>
      </c>
      <c r="Z25" s="68">
        <v>1</v>
      </c>
    </row>
    <row r="26" spans="1:30" x14ac:dyDescent="0.25">
      <c r="A26">
        <v>172962</v>
      </c>
      <c r="B26" t="s">
        <v>917</v>
      </c>
      <c r="C26" t="s">
        <v>33</v>
      </c>
      <c r="D26" t="s">
        <v>918</v>
      </c>
      <c r="E26">
        <v>2</v>
      </c>
      <c r="F26" t="s">
        <v>236</v>
      </c>
      <c r="G26" t="str">
        <f t="shared" si="0"/>
        <v>A</v>
      </c>
      <c r="H26" s="105" t="s">
        <v>35</v>
      </c>
      <c r="I26" s="109" t="s">
        <v>35</v>
      </c>
      <c r="K26" s="71" t="s">
        <v>36</v>
      </c>
      <c r="L26" s="68">
        <v>53</v>
      </c>
      <c r="N26" t="s">
        <v>2</v>
      </c>
      <c r="O26" s="64">
        <f>R22/IF(O10=0, 1,O10)</f>
        <v>1.358974358974359</v>
      </c>
      <c r="P26" s="64">
        <f>R22/IF(R10=0,1,R10)</f>
        <v>0.79104477611940294</v>
      </c>
      <c r="Q26" s="64">
        <f>O22/IF(O10=0,1,O10)</f>
        <v>0.64102564102564108</v>
      </c>
      <c r="R26" s="64">
        <f>+P22/IF(P10=0,1,P10)</f>
        <v>1</v>
      </c>
      <c r="T26" s="197"/>
      <c r="U26" s="197"/>
      <c r="V26" s="197"/>
      <c r="W26" s="197"/>
      <c r="Y26" s="69" t="s">
        <v>659</v>
      </c>
      <c r="Z26" s="68">
        <v>1</v>
      </c>
    </row>
    <row r="27" spans="1:30" x14ac:dyDescent="0.25">
      <c r="A27">
        <v>169121</v>
      </c>
      <c r="B27" t="s">
        <v>919</v>
      </c>
      <c r="C27" t="s">
        <v>34</v>
      </c>
      <c r="D27" t="s">
        <v>920</v>
      </c>
      <c r="E27">
        <v>1</v>
      </c>
      <c r="F27" t="s">
        <v>196</v>
      </c>
      <c r="G27" s="90" t="str">
        <f t="shared" si="0"/>
        <v>A</v>
      </c>
      <c r="H27" s="105"/>
      <c r="I27" s="109" t="s">
        <v>35</v>
      </c>
      <c r="K27" s="70" t="s">
        <v>32</v>
      </c>
      <c r="L27" s="68">
        <v>8</v>
      </c>
      <c r="M27" s="68"/>
      <c r="N27" t="s">
        <v>3</v>
      </c>
      <c r="O27" s="64">
        <f>R23/IF(O11=0, 1,O11)</f>
        <v>0.86792452830188682</v>
      </c>
      <c r="P27" s="64">
        <f>R23/IF(R11=0,1,R11)</f>
        <v>0.7931034482758621</v>
      </c>
      <c r="Q27" s="64">
        <f>O23/IF(O11=0,1,O11)</f>
        <v>0.77358490566037741</v>
      </c>
      <c r="R27" s="64">
        <f>+P23/IF(P11=0,1,P11)</f>
        <v>1</v>
      </c>
      <c r="T27" s="197"/>
      <c r="U27" s="197"/>
      <c r="V27" s="197"/>
      <c r="W27" s="197"/>
      <c r="Y27" s="69" t="s">
        <v>58</v>
      </c>
      <c r="Z27" s="68"/>
    </row>
    <row r="28" spans="1:30" x14ac:dyDescent="0.25">
      <c r="A28">
        <v>168937</v>
      </c>
      <c r="B28" t="s">
        <v>921</v>
      </c>
      <c r="C28" t="s">
        <v>34</v>
      </c>
      <c r="D28" t="s">
        <v>922</v>
      </c>
      <c r="E28">
        <v>3</v>
      </c>
      <c r="F28" t="s">
        <v>203</v>
      </c>
      <c r="G28" t="str">
        <f t="shared" si="0"/>
        <v>A</v>
      </c>
      <c r="I28" s="109" t="s">
        <v>35</v>
      </c>
      <c r="K28" s="70" t="s">
        <v>33</v>
      </c>
      <c r="L28" s="68">
        <v>1</v>
      </c>
      <c r="M28" s="68"/>
      <c r="T28" s="197"/>
      <c r="U28" s="197"/>
      <c r="V28" s="197"/>
      <c r="W28" s="197"/>
      <c r="Y28" s="71" t="s">
        <v>32</v>
      </c>
      <c r="Z28" s="68"/>
    </row>
    <row r="29" spans="1:30" x14ac:dyDescent="0.25">
      <c r="A29">
        <v>168924</v>
      </c>
      <c r="B29" t="s">
        <v>923</v>
      </c>
      <c r="C29" t="s">
        <v>32</v>
      </c>
      <c r="D29" t="s">
        <v>924</v>
      </c>
      <c r="E29">
        <v>2</v>
      </c>
      <c r="G29" t="str">
        <f t="shared" si="0"/>
        <v>A</v>
      </c>
      <c r="H29" s="105"/>
      <c r="I29" s="109"/>
      <c r="K29" s="70" t="s">
        <v>34</v>
      </c>
      <c r="L29" s="68">
        <v>41</v>
      </c>
      <c r="M29" s="68"/>
      <c r="T29" s="197"/>
      <c r="U29" s="197"/>
      <c r="V29" s="197"/>
      <c r="W29" s="197"/>
      <c r="Y29" s="70" t="s">
        <v>631</v>
      </c>
      <c r="Z29" s="68">
        <v>1</v>
      </c>
    </row>
    <row r="30" spans="1:30" x14ac:dyDescent="0.25">
      <c r="A30">
        <v>168923</v>
      </c>
      <c r="B30" t="s">
        <v>925</v>
      </c>
      <c r="C30" t="s">
        <v>32</v>
      </c>
      <c r="D30" t="s">
        <v>926</v>
      </c>
      <c r="E30">
        <v>3</v>
      </c>
      <c r="G30" t="str">
        <f t="shared" si="0"/>
        <v>A</v>
      </c>
      <c r="H30" s="105"/>
      <c r="I30" s="109"/>
      <c r="K30" s="70" t="s">
        <v>135</v>
      </c>
      <c r="L30" s="68">
        <v>3</v>
      </c>
      <c r="M30" s="68"/>
      <c r="N30" s="72" t="s">
        <v>144</v>
      </c>
      <c r="O30" s="160" t="s">
        <v>35</v>
      </c>
      <c r="T30" s="197"/>
      <c r="U30" s="197"/>
      <c r="V30" s="197"/>
      <c r="W30" s="197"/>
      <c r="Y30" s="71" t="s">
        <v>668</v>
      </c>
      <c r="Z30" s="68">
        <v>1</v>
      </c>
    </row>
    <row r="31" spans="1:30" x14ac:dyDescent="0.25">
      <c r="A31">
        <v>168890</v>
      </c>
      <c r="B31" t="s">
        <v>927</v>
      </c>
      <c r="C31" t="s">
        <v>34</v>
      </c>
      <c r="D31" t="s">
        <v>928</v>
      </c>
      <c r="E31">
        <v>5</v>
      </c>
      <c r="F31" t="s">
        <v>152</v>
      </c>
      <c r="G31" t="str">
        <f t="shared" si="0"/>
        <v>A</v>
      </c>
      <c r="H31" s="105"/>
      <c r="I31" s="109" t="s">
        <v>35</v>
      </c>
      <c r="K31" s="71" t="s">
        <v>735</v>
      </c>
      <c r="L31" s="68"/>
      <c r="M31" s="68"/>
      <c r="T31" s="197"/>
      <c r="U31" s="197"/>
      <c r="V31" s="197"/>
      <c r="W31" s="197"/>
      <c r="Y31" s="69" t="s">
        <v>660</v>
      </c>
      <c r="Z31" s="68">
        <v>1</v>
      </c>
    </row>
    <row r="32" spans="1:30" x14ac:dyDescent="0.25">
      <c r="A32">
        <v>168538</v>
      </c>
      <c r="B32" t="s">
        <v>929</v>
      </c>
      <c r="C32" t="s">
        <v>34</v>
      </c>
      <c r="D32" t="s">
        <v>930</v>
      </c>
      <c r="E32">
        <v>3</v>
      </c>
      <c r="F32" t="s">
        <v>152</v>
      </c>
      <c r="G32" s="73" t="str">
        <f t="shared" si="0"/>
        <v>A</v>
      </c>
      <c r="H32" s="105" t="s">
        <v>35</v>
      </c>
      <c r="I32" s="109" t="s">
        <v>35</v>
      </c>
      <c r="K32" s="70" t="s">
        <v>122</v>
      </c>
      <c r="L32" s="68"/>
      <c r="N32" s="72" t="s">
        <v>655</v>
      </c>
      <c r="O32" t="s">
        <v>50</v>
      </c>
      <c r="T32" s="197"/>
      <c r="U32" s="197"/>
      <c r="V32" s="197"/>
      <c r="W32" s="197"/>
      <c r="Y32" s="69" t="s">
        <v>235</v>
      </c>
      <c r="Z32" s="68"/>
    </row>
    <row r="33" spans="1:26" x14ac:dyDescent="0.25">
      <c r="A33">
        <v>168537</v>
      </c>
      <c r="B33" t="s">
        <v>931</v>
      </c>
      <c r="C33" t="s">
        <v>34</v>
      </c>
      <c r="D33" t="s">
        <v>932</v>
      </c>
      <c r="E33">
        <v>3</v>
      </c>
      <c r="F33" t="s">
        <v>152</v>
      </c>
      <c r="G33" t="str">
        <f t="shared" si="0"/>
        <v>A</v>
      </c>
      <c r="H33" s="105" t="s">
        <v>35</v>
      </c>
      <c r="I33" s="109" t="s">
        <v>35</v>
      </c>
      <c r="K33" s="69" t="s">
        <v>35</v>
      </c>
      <c r="L33" s="68">
        <v>33</v>
      </c>
      <c r="N33" s="69" t="s">
        <v>37</v>
      </c>
      <c r="O33" s="68"/>
      <c r="T33" s="197"/>
      <c r="U33" s="197"/>
      <c r="V33" s="197"/>
      <c r="W33" s="197"/>
      <c r="Y33" s="71" t="s">
        <v>33</v>
      </c>
      <c r="Z33" s="68"/>
    </row>
    <row r="34" spans="1:26" x14ac:dyDescent="0.25">
      <c r="A34">
        <v>168802</v>
      </c>
      <c r="B34" t="s">
        <v>933</v>
      </c>
      <c r="C34" t="s">
        <v>34</v>
      </c>
      <c r="D34" t="s">
        <v>934</v>
      </c>
      <c r="E34">
        <v>2</v>
      </c>
      <c r="F34" t="s">
        <v>152</v>
      </c>
      <c r="G34" s="73" t="str">
        <f t="shared" si="0"/>
        <v>A</v>
      </c>
      <c r="H34" s="105" t="s">
        <v>35</v>
      </c>
      <c r="I34" s="109" t="s">
        <v>35</v>
      </c>
      <c r="K34" s="71" t="s">
        <v>37</v>
      </c>
      <c r="L34" s="68">
        <v>28</v>
      </c>
      <c r="N34" s="71" t="s">
        <v>122</v>
      </c>
      <c r="O34" s="68">
        <v>25</v>
      </c>
      <c r="T34" s="197"/>
      <c r="U34" s="197"/>
      <c r="V34" s="197"/>
      <c r="W34" s="197"/>
      <c r="Y34" s="70" t="s">
        <v>581</v>
      </c>
      <c r="Z34" s="68">
        <v>1</v>
      </c>
    </row>
    <row r="35" spans="1:26" x14ac:dyDescent="0.25">
      <c r="A35">
        <v>168107</v>
      </c>
      <c r="B35" t="s">
        <v>935</v>
      </c>
      <c r="C35" t="s">
        <v>34</v>
      </c>
      <c r="D35" t="s">
        <v>936</v>
      </c>
      <c r="E35">
        <v>3</v>
      </c>
      <c r="F35" t="s">
        <v>64</v>
      </c>
      <c r="G35" t="str">
        <f t="shared" si="0"/>
        <v>A</v>
      </c>
      <c r="H35" s="105"/>
      <c r="I35" s="109" t="s">
        <v>35</v>
      </c>
      <c r="K35" s="70" t="s">
        <v>33</v>
      </c>
      <c r="L35" s="68">
        <v>10</v>
      </c>
      <c r="N35" s="71" t="s">
        <v>35</v>
      </c>
      <c r="O35" s="68">
        <v>28</v>
      </c>
      <c r="T35" s="197"/>
      <c r="U35" s="197"/>
      <c r="V35" s="197"/>
      <c r="W35" s="197"/>
      <c r="Y35" s="71" t="s">
        <v>667</v>
      </c>
      <c r="Z35" s="68">
        <v>1</v>
      </c>
    </row>
    <row r="36" spans="1:26" x14ac:dyDescent="0.25">
      <c r="A36">
        <v>166194</v>
      </c>
      <c r="B36" t="s">
        <v>937</v>
      </c>
      <c r="C36" t="s">
        <v>34</v>
      </c>
      <c r="D36" t="s">
        <v>938</v>
      </c>
      <c r="E36">
        <v>2</v>
      </c>
      <c r="F36" t="s">
        <v>152</v>
      </c>
      <c r="G36" s="90" t="str">
        <f t="shared" si="0"/>
        <v>A</v>
      </c>
      <c r="H36" s="105" t="s">
        <v>35</v>
      </c>
      <c r="I36" s="109" t="s">
        <v>35</v>
      </c>
      <c r="K36" s="70" t="s">
        <v>34</v>
      </c>
      <c r="L36" s="68">
        <v>18</v>
      </c>
      <c r="N36" s="69" t="s">
        <v>131</v>
      </c>
      <c r="O36" s="68">
        <v>53</v>
      </c>
      <c r="T36" s="197"/>
      <c r="U36" s="197"/>
      <c r="V36" s="197"/>
      <c r="W36" s="197"/>
      <c r="Y36" s="69" t="s">
        <v>661</v>
      </c>
      <c r="Z36" s="68">
        <v>1</v>
      </c>
    </row>
    <row r="37" spans="1:26" x14ac:dyDescent="0.25">
      <c r="A37">
        <v>164595</v>
      </c>
      <c r="B37" t="s">
        <v>939</v>
      </c>
      <c r="C37" t="s">
        <v>34</v>
      </c>
      <c r="D37" t="s">
        <v>940</v>
      </c>
      <c r="E37">
        <v>3</v>
      </c>
      <c r="F37" t="s">
        <v>217</v>
      </c>
      <c r="G37" s="73" t="str">
        <f t="shared" si="0"/>
        <v>A</v>
      </c>
      <c r="H37" s="105"/>
      <c r="I37" s="109" t="s">
        <v>35</v>
      </c>
      <c r="K37" s="71" t="s">
        <v>36</v>
      </c>
      <c r="L37" s="68">
        <v>5</v>
      </c>
      <c r="N37" s="69" t="s">
        <v>36</v>
      </c>
      <c r="O37" s="68"/>
      <c r="T37" s="197"/>
      <c r="U37" s="197"/>
      <c r="V37" s="197"/>
      <c r="W37" s="197"/>
      <c r="Y37" s="69" t="s">
        <v>89</v>
      </c>
      <c r="Z37" s="68"/>
    </row>
    <row r="38" spans="1:26" x14ac:dyDescent="0.25">
      <c r="A38">
        <v>164593</v>
      </c>
      <c r="B38" t="s">
        <v>941</v>
      </c>
      <c r="C38" t="s">
        <v>34</v>
      </c>
      <c r="D38" t="s">
        <v>942</v>
      </c>
      <c r="E38">
        <v>3</v>
      </c>
      <c r="F38" t="s">
        <v>217</v>
      </c>
      <c r="G38" s="73" t="str">
        <f t="shared" si="0"/>
        <v>A</v>
      </c>
      <c r="H38" s="105"/>
      <c r="I38" s="109" t="s">
        <v>35</v>
      </c>
      <c r="K38" s="70" t="s">
        <v>34</v>
      </c>
      <c r="L38" s="68">
        <v>5</v>
      </c>
      <c r="N38" s="71" t="s">
        <v>122</v>
      </c>
      <c r="O38" s="68">
        <v>41</v>
      </c>
      <c r="T38" s="197"/>
      <c r="U38" s="197"/>
      <c r="V38" s="197"/>
      <c r="W38" s="197"/>
      <c r="Y38" s="71" t="s">
        <v>33</v>
      </c>
      <c r="Z38" s="68"/>
    </row>
    <row r="39" spans="1:26" x14ac:dyDescent="0.25">
      <c r="A39">
        <v>164835</v>
      </c>
      <c r="B39" s="81" t="s">
        <v>943</v>
      </c>
      <c r="C39" t="s">
        <v>33</v>
      </c>
      <c r="D39" t="s">
        <v>944</v>
      </c>
      <c r="E39">
        <v>2</v>
      </c>
      <c r="F39" t="s">
        <v>112</v>
      </c>
      <c r="G39" s="90" t="str">
        <f t="shared" si="0"/>
        <v>A</v>
      </c>
      <c r="H39" s="105"/>
      <c r="I39" s="109" t="s">
        <v>35</v>
      </c>
      <c r="K39" s="69" t="s">
        <v>31</v>
      </c>
      <c r="L39" s="68">
        <v>125</v>
      </c>
      <c r="M39" s="68"/>
      <c r="N39" s="71" t="s">
        <v>35</v>
      </c>
      <c r="O39" s="68">
        <v>5</v>
      </c>
      <c r="T39" s="197"/>
      <c r="U39" s="197"/>
      <c r="V39" s="197"/>
      <c r="W39" s="197"/>
      <c r="Y39" s="70" t="s">
        <v>597</v>
      </c>
      <c r="Z39" s="68">
        <v>1</v>
      </c>
    </row>
    <row r="40" spans="1:26" x14ac:dyDescent="0.25">
      <c r="A40">
        <v>160417</v>
      </c>
      <c r="B40" t="s">
        <v>811</v>
      </c>
      <c r="C40" t="s">
        <v>32</v>
      </c>
      <c r="D40" t="s">
        <v>812</v>
      </c>
      <c r="E40">
        <v>3</v>
      </c>
      <c r="F40" t="s">
        <v>210</v>
      </c>
      <c r="G40" t="str">
        <f t="shared" si="0"/>
        <v>A</v>
      </c>
      <c r="H40" s="105"/>
      <c r="I40" s="109"/>
      <c r="M40" s="68"/>
      <c r="N40" s="69" t="s">
        <v>132</v>
      </c>
      <c r="O40" s="68">
        <v>46</v>
      </c>
      <c r="T40" s="197"/>
      <c r="U40" s="197"/>
      <c r="V40" s="197"/>
      <c r="W40" s="197"/>
      <c r="Y40" s="71" t="s">
        <v>667</v>
      </c>
      <c r="Z40" s="68">
        <v>1</v>
      </c>
    </row>
    <row r="41" spans="1:26" x14ac:dyDescent="0.25">
      <c r="A41">
        <v>160415</v>
      </c>
      <c r="B41" t="s">
        <v>809</v>
      </c>
      <c r="C41" t="s">
        <v>32</v>
      </c>
      <c r="D41" t="s">
        <v>810</v>
      </c>
      <c r="E41">
        <v>3</v>
      </c>
      <c r="F41" t="s">
        <v>210</v>
      </c>
      <c r="G41" s="90" t="str">
        <f t="shared" si="0"/>
        <v>A</v>
      </c>
      <c r="H41" s="105"/>
      <c r="I41" s="109"/>
      <c r="M41" s="68"/>
      <c r="N41" s="69" t="s">
        <v>31</v>
      </c>
      <c r="O41" s="68">
        <v>99</v>
      </c>
      <c r="Y41" s="69" t="s">
        <v>662</v>
      </c>
      <c r="Z41" s="68">
        <v>1</v>
      </c>
    </row>
    <row r="42" spans="1:26" x14ac:dyDescent="0.25">
      <c r="A42">
        <v>147608</v>
      </c>
      <c r="B42" t="s">
        <v>524</v>
      </c>
      <c r="C42" t="s">
        <v>32</v>
      </c>
      <c r="D42" t="s">
        <v>525</v>
      </c>
      <c r="E42">
        <v>3</v>
      </c>
      <c r="F42" t="s">
        <v>203</v>
      </c>
      <c r="G42" t="str">
        <f t="shared" si="0"/>
        <v>A</v>
      </c>
      <c r="H42" s="105"/>
      <c r="I42" s="109"/>
      <c r="M42" s="68"/>
      <c r="Y42" s="69" t="s">
        <v>81</v>
      </c>
      <c r="Z42" s="68"/>
    </row>
    <row r="43" spans="1:26" x14ac:dyDescent="0.25">
      <c r="A43">
        <v>141394</v>
      </c>
      <c r="B43" t="s">
        <v>632</v>
      </c>
      <c r="C43" t="s">
        <v>34</v>
      </c>
      <c r="D43" t="s">
        <v>633</v>
      </c>
      <c r="E43">
        <v>3</v>
      </c>
      <c r="F43" t="s">
        <v>236</v>
      </c>
      <c r="G43" t="str">
        <f t="shared" si="0"/>
        <v>A</v>
      </c>
      <c r="H43" s="105" t="s">
        <v>35</v>
      </c>
      <c r="I43" s="109" t="s">
        <v>35</v>
      </c>
      <c r="M43" s="68"/>
      <c r="Y43" s="71" t="s">
        <v>33</v>
      </c>
      <c r="Z43" s="68"/>
    </row>
    <row r="44" spans="1:26" x14ac:dyDescent="0.25">
      <c r="A44">
        <v>139793</v>
      </c>
      <c r="B44" t="s">
        <v>743</v>
      </c>
      <c r="C44" t="s">
        <v>34</v>
      </c>
      <c r="D44" t="s">
        <v>945</v>
      </c>
      <c r="E44">
        <v>5</v>
      </c>
      <c r="F44" t="s">
        <v>196</v>
      </c>
      <c r="G44" t="str">
        <f t="shared" si="0"/>
        <v>A</v>
      </c>
      <c r="H44" s="105"/>
      <c r="I44" s="109" t="s">
        <v>35</v>
      </c>
      <c r="M44" s="68"/>
      <c r="Y44" s="70" t="s">
        <v>589</v>
      </c>
      <c r="Z44" s="68">
        <v>1</v>
      </c>
    </row>
    <row r="45" spans="1:26" x14ac:dyDescent="0.25">
      <c r="A45">
        <v>136364</v>
      </c>
      <c r="B45" s="81" t="s">
        <v>394</v>
      </c>
      <c r="C45" t="s">
        <v>33</v>
      </c>
      <c r="D45" t="s">
        <v>395</v>
      </c>
      <c r="E45">
        <v>3</v>
      </c>
      <c r="F45" t="s">
        <v>58</v>
      </c>
      <c r="G45" t="str">
        <f t="shared" si="0"/>
        <v>A</v>
      </c>
      <c r="H45" s="105" t="s">
        <v>35</v>
      </c>
      <c r="I45" s="109" t="s">
        <v>35</v>
      </c>
      <c r="M45" s="68"/>
      <c r="Y45" s="71" t="s">
        <v>667</v>
      </c>
      <c r="Z45" s="68">
        <v>1</v>
      </c>
    </row>
    <row r="46" spans="1:26" x14ac:dyDescent="0.25">
      <c r="A46">
        <v>136359</v>
      </c>
      <c r="B46" s="81" t="s">
        <v>946</v>
      </c>
      <c r="C46" t="s">
        <v>33</v>
      </c>
      <c r="D46" t="s">
        <v>947</v>
      </c>
      <c r="E46">
        <v>5</v>
      </c>
      <c r="F46" t="s">
        <v>61</v>
      </c>
      <c r="G46" t="str">
        <f t="shared" si="0"/>
        <v>A</v>
      </c>
      <c r="H46" s="105" t="s">
        <v>35</v>
      </c>
      <c r="I46" s="109" t="s">
        <v>35</v>
      </c>
      <c r="M46" s="68"/>
      <c r="Y46" s="69" t="s">
        <v>663</v>
      </c>
      <c r="Z46" s="68">
        <v>1</v>
      </c>
    </row>
    <row r="47" spans="1:26" x14ac:dyDescent="0.25">
      <c r="A47">
        <v>136357</v>
      </c>
      <c r="B47" t="s">
        <v>552</v>
      </c>
      <c r="C47" t="s">
        <v>34</v>
      </c>
      <c r="D47" t="s">
        <v>948</v>
      </c>
      <c r="E47">
        <v>5</v>
      </c>
      <c r="F47" t="s">
        <v>210</v>
      </c>
      <c r="G47" s="90" t="str">
        <f t="shared" si="0"/>
        <v>A</v>
      </c>
      <c r="H47" s="105" t="s">
        <v>35</v>
      </c>
      <c r="I47" s="109" t="s">
        <v>35</v>
      </c>
      <c r="M47" s="68"/>
      <c r="Y47" s="69" t="s">
        <v>236</v>
      </c>
      <c r="Z47" s="68"/>
    </row>
    <row r="48" spans="1:26" x14ac:dyDescent="0.25">
      <c r="A48" s="73" t="str">
        <f t="shared" ref="A48:A57" si="4">MID(B48,8,3)</f>
        <v/>
      </c>
      <c r="C48"/>
      <c r="G48" t="str">
        <f t="shared" si="0"/>
        <v/>
      </c>
      <c r="H48" s="105"/>
      <c r="I48" s="109"/>
      <c r="Y48" s="71" t="s">
        <v>33</v>
      </c>
      <c r="Z48" s="68"/>
    </row>
    <row r="49" spans="1:26" x14ac:dyDescent="0.25">
      <c r="A49" s="90" t="str">
        <f t="shared" si="4"/>
        <v/>
      </c>
      <c r="C49"/>
      <c r="E49" s="13"/>
      <c r="G49" s="90" t="str">
        <f t="shared" si="0"/>
        <v/>
      </c>
      <c r="H49" s="105"/>
      <c r="I49" s="109"/>
      <c r="Y49" s="70" t="s">
        <v>533</v>
      </c>
      <c r="Z49" s="68">
        <v>1</v>
      </c>
    </row>
    <row r="50" spans="1:26" x14ac:dyDescent="0.25">
      <c r="A50" s="90" t="str">
        <f t="shared" si="4"/>
        <v/>
      </c>
      <c r="B50" s="105"/>
      <c r="C50"/>
      <c r="D50" s="105"/>
      <c r="E50" s="105"/>
      <c r="F50" s="107"/>
      <c r="G50" s="90" t="str">
        <f t="shared" si="0"/>
        <v/>
      </c>
      <c r="H50" s="105"/>
      <c r="I50" s="109"/>
      <c r="Y50" s="71" t="s">
        <v>667</v>
      </c>
      <c r="Z50" s="68">
        <v>1</v>
      </c>
    </row>
    <row r="51" spans="1:26" x14ac:dyDescent="0.25">
      <c r="A51" s="73" t="str">
        <f t="shared" si="4"/>
        <v/>
      </c>
      <c r="C51"/>
      <c r="G51" s="73" t="str">
        <f t="shared" si="0"/>
        <v/>
      </c>
      <c r="H51" s="105"/>
      <c r="I51" s="109"/>
      <c r="Y51" s="71" t="s">
        <v>32</v>
      </c>
      <c r="Z51" s="68"/>
    </row>
    <row r="52" spans="1:26" x14ac:dyDescent="0.25">
      <c r="A52" s="90" t="str">
        <f t="shared" si="4"/>
        <v/>
      </c>
      <c r="C52"/>
      <c r="G52" s="90" t="str">
        <f t="shared" si="0"/>
        <v/>
      </c>
      <c r="H52" s="105"/>
      <c r="I52" s="109"/>
      <c r="Y52" s="70" t="s">
        <v>567</v>
      </c>
      <c r="Z52" s="68">
        <v>1</v>
      </c>
    </row>
    <row r="53" spans="1:26" x14ac:dyDescent="0.25">
      <c r="A53" s="90" t="str">
        <f t="shared" si="4"/>
        <v/>
      </c>
      <c r="C53"/>
      <c r="G53" s="90" t="str">
        <f t="shared" si="0"/>
        <v/>
      </c>
      <c r="H53" s="105"/>
      <c r="I53" s="109"/>
      <c r="K53" t="s">
        <v>669</v>
      </c>
      <c r="Y53" s="70" t="s">
        <v>633</v>
      </c>
      <c r="Z53" s="68">
        <v>1</v>
      </c>
    </row>
    <row r="54" spans="1:26" x14ac:dyDescent="0.25">
      <c r="A54" s="73" t="str">
        <f t="shared" si="4"/>
        <v/>
      </c>
      <c r="C54"/>
      <c r="E54" s="13"/>
      <c r="G54" s="73" t="str">
        <f t="shared" si="0"/>
        <v/>
      </c>
      <c r="H54" s="105"/>
      <c r="I54" s="109"/>
      <c r="M54" s="68"/>
      <c r="Y54" s="71" t="s">
        <v>668</v>
      </c>
      <c r="Z54" s="68">
        <v>2</v>
      </c>
    </row>
    <row r="55" spans="1:26" x14ac:dyDescent="0.25">
      <c r="A55" s="90" t="str">
        <f t="shared" si="4"/>
        <v/>
      </c>
      <c r="C55"/>
      <c r="G55" s="90" t="str">
        <f t="shared" si="0"/>
        <v/>
      </c>
      <c r="H55" s="105"/>
      <c r="I55" s="109"/>
      <c r="M55" s="68"/>
      <c r="Y55" s="69" t="s">
        <v>664</v>
      </c>
      <c r="Z55" s="68">
        <v>3</v>
      </c>
    </row>
    <row r="56" spans="1:26" x14ac:dyDescent="0.25">
      <c r="A56" s="90" t="str">
        <f t="shared" si="4"/>
        <v/>
      </c>
      <c r="C56"/>
      <c r="G56" s="90" t="str">
        <f t="shared" si="0"/>
        <v/>
      </c>
      <c r="H56" s="105"/>
      <c r="I56" s="109"/>
      <c r="K56" s="71"/>
      <c r="L56" s="68"/>
      <c r="M56" s="68"/>
      <c r="Y56" s="69" t="s">
        <v>72</v>
      </c>
      <c r="Z56" s="68"/>
    </row>
    <row r="57" spans="1:26" x14ac:dyDescent="0.25">
      <c r="A57" s="90" t="str">
        <f t="shared" si="4"/>
        <v/>
      </c>
      <c r="C57"/>
      <c r="G57" s="90" t="str">
        <f t="shared" si="0"/>
        <v/>
      </c>
      <c r="H57" s="105"/>
      <c r="I57" s="109"/>
      <c r="K57" s="69"/>
      <c r="L57" s="68"/>
      <c r="Y57" s="71" t="s">
        <v>32</v>
      </c>
      <c r="Z57" s="68"/>
    </row>
    <row r="58" spans="1:26" x14ac:dyDescent="0.25">
      <c r="B58" s="106"/>
      <c r="D58" s="106"/>
      <c r="E58" s="106"/>
      <c r="F58" s="106"/>
      <c r="K58" s="69"/>
      <c r="L58" s="68"/>
      <c r="Y58" s="70" t="s">
        <v>599</v>
      </c>
      <c r="Z58" s="68">
        <v>1</v>
      </c>
    </row>
    <row r="59" spans="1:26" x14ac:dyDescent="0.25">
      <c r="B59" s="106"/>
      <c r="D59" s="106"/>
      <c r="E59" s="106"/>
      <c r="F59" s="106"/>
      <c r="Y59" s="70" t="s">
        <v>603</v>
      </c>
      <c r="Z59" s="68">
        <v>1</v>
      </c>
    </row>
    <row r="60" spans="1:26" x14ac:dyDescent="0.25">
      <c r="Y60" s="71" t="s">
        <v>668</v>
      </c>
      <c r="Z60" s="68">
        <v>2</v>
      </c>
    </row>
    <row r="61" spans="1:26" x14ac:dyDescent="0.25">
      <c r="Y61" s="69" t="s">
        <v>665</v>
      </c>
      <c r="Z61" s="68">
        <v>2</v>
      </c>
    </row>
    <row r="62" spans="1:26" x14ac:dyDescent="0.25">
      <c r="Y62" s="69" t="s">
        <v>31</v>
      </c>
      <c r="Z62" s="68">
        <v>16</v>
      </c>
    </row>
  </sheetData>
  <sheetProtection sort="0" autoFilter="0" pivotTables="0"/>
  <mergeCells count="2">
    <mergeCell ref="AC9:AD9"/>
    <mergeCell ref="T17:W40"/>
  </mergeCells>
  <conditionalFormatting sqref="I2:I57">
    <cfRule type="expression" dxfId="513" priority="16">
      <formula>$C2="Done"</formula>
    </cfRule>
  </conditionalFormatting>
  <conditionalFormatting sqref="C2:C41">
    <cfRule type="expression" dxfId="512" priority="14">
      <formula>C2="Blocked"</formula>
    </cfRule>
    <cfRule type="expression" dxfId="511" priority="15">
      <formula>C2="Done"</formula>
    </cfRule>
  </conditionalFormatting>
  <conditionalFormatting sqref="I2:I57">
    <cfRule type="expression" dxfId="510" priority="13" stopIfTrue="1">
      <formula>IF(C2="Done", IF(I2&lt;&gt;"Y",TRUE,FALSE),FALSE)</formula>
    </cfRule>
  </conditionalFormatting>
  <conditionalFormatting sqref="S2:S4">
    <cfRule type="expression" dxfId="509" priority="12">
      <formula>IF(S2&lt;0.8, TRUE, IF(S2&gt;1.2, TRUE, FALSE))</formula>
    </cfRule>
  </conditionalFormatting>
  <conditionalFormatting sqref="A30:I30">
    <cfRule type="expression" dxfId="508" priority="11">
      <formula>$C30="Blocked"</formula>
    </cfRule>
  </conditionalFormatting>
  <conditionalFormatting sqref="D43:D49">
    <cfRule type="expression" dxfId="507" priority="9">
      <formula>D43="Blocked"</formula>
    </cfRule>
    <cfRule type="expression" dxfId="506" priority="10">
      <formula>D43="Done"</formula>
    </cfRule>
  </conditionalFormatting>
  <conditionalFormatting sqref="C42:C52">
    <cfRule type="expression" dxfId="505" priority="7">
      <formula>C42="Blocked"</formula>
    </cfRule>
    <cfRule type="expression" dxfId="504" priority="8">
      <formula>C42="Done"</formula>
    </cfRule>
  </conditionalFormatting>
  <conditionalFormatting sqref="C53">
    <cfRule type="expression" dxfId="503" priority="5">
      <formula>C53="Blocked"</formula>
    </cfRule>
    <cfRule type="expression" dxfId="502" priority="6">
      <formula>C53="Done"</formula>
    </cfRule>
  </conditionalFormatting>
  <conditionalFormatting sqref="C54:C56">
    <cfRule type="expression" dxfId="501" priority="3">
      <formula>C54="Blocked"</formula>
    </cfRule>
    <cfRule type="expression" dxfId="500" priority="4">
      <formula>C54="Done"</formula>
    </cfRule>
  </conditionalFormatting>
  <conditionalFormatting sqref="C57">
    <cfRule type="expression" dxfId="499" priority="1">
      <formula>C57="Blocked"</formula>
    </cfRule>
    <cfRule type="expression" dxfId="498" priority="2">
      <formula>C57="Done"</formula>
    </cfRule>
  </conditionalFormatting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8" name="Button 1">
              <controlPr defaultSize="0" print="0" autoFill="0" autoPict="0" macro="[0]!ResetAndLock">
                <anchor moveWithCells="1" sizeWithCells="1">
                  <from>
                    <xdr:col>18</xdr:col>
                    <xdr:colOff>952500</xdr:colOff>
                    <xdr:row>8</xdr:row>
                    <xdr:rowOff>9525</xdr:rowOff>
                  </from>
                  <to>
                    <xdr:col>23</xdr:col>
                    <xdr:colOff>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7">
    <tablePart r:id="rId9"/>
    <tablePart r:id="rId10"/>
    <tablePart r:id="rId11"/>
    <tablePart r:id="rId12"/>
    <tablePart r:id="rId13"/>
    <tablePart r:id="rId14"/>
    <tablePart r:id="rId1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/>
  <dimension ref="A1:AD62"/>
  <sheetViews>
    <sheetView topLeftCell="A2" zoomScaleNormal="100" workbookViewId="0">
      <selection activeCell="I40" sqref="A2:I40"/>
    </sheetView>
  </sheetViews>
  <sheetFormatPr defaultRowHeight="15" x14ac:dyDescent="0.25"/>
  <cols>
    <col min="2" max="2" width="12.28515625" customWidth="1"/>
    <col min="3" max="3" width="11" style="106" customWidth="1"/>
    <col min="4" max="4" width="56.28515625" customWidth="1"/>
    <col min="5" max="5" width="8.85546875" customWidth="1"/>
    <col min="6" max="6" width="13.140625" customWidth="1"/>
    <col min="7" max="7" width="3" customWidth="1"/>
    <col min="8" max="8" width="2.28515625" style="106" customWidth="1"/>
    <col min="9" max="9" width="10.85546875" style="106" customWidth="1"/>
    <col min="10" max="10" width="4.28515625" customWidth="1"/>
    <col min="11" max="11" width="16.7109375" bestFit="1" customWidth="1"/>
    <col min="12" max="12" width="6.42578125" bestFit="1" customWidth="1"/>
    <col min="13" max="13" width="6.42578125" customWidth="1"/>
    <col min="14" max="14" width="11.28515625" customWidth="1"/>
    <col min="15" max="15" width="18.42578125" customWidth="1"/>
    <col min="16" max="16" width="19" customWidth="1"/>
    <col min="17" max="17" width="16.28515625" customWidth="1"/>
    <col min="18" max="18" width="16.5703125" customWidth="1"/>
    <col min="19" max="19" width="14.5703125" customWidth="1"/>
    <col min="20" max="20" width="18.140625" customWidth="1"/>
    <col min="21" max="21" width="1.42578125" customWidth="1"/>
    <col min="22" max="22" width="11" customWidth="1"/>
    <col min="23" max="23" width="10.85546875" customWidth="1"/>
    <col min="24" max="24" width="9.140625" customWidth="1"/>
    <col min="25" max="25" width="78.85546875" customWidth="1"/>
    <col min="26" max="26" width="14.5703125" customWidth="1"/>
    <col min="27" max="27" width="9.140625" customWidth="1"/>
    <col min="28" max="28" width="11.5703125" customWidth="1"/>
    <col min="29" max="31" width="9.140625" customWidth="1"/>
  </cols>
  <sheetData>
    <row r="1" spans="1:30" ht="30.75" customHeight="1" x14ac:dyDescent="0.25">
      <c r="A1" t="s">
        <v>231</v>
      </c>
      <c r="B1" t="s">
        <v>48</v>
      </c>
      <c r="C1" s="106" t="s">
        <v>47</v>
      </c>
      <c r="D1" t="s">
        <v>46</v>
      </c>
      <c r="E1" t="s">
        <v>38</v>
      </c>
      <c r="F1" t="s">
        <v>45</v>
      </c>
      <c r="G1" t="s">
        <v>44</v>
      </c>
      <c r="H1" s="106" t="s">
        <v>43</v>
      </c>
      <c r="I1" s="106" t="s">
        <v>144</v>
      </c>
      <c r="N1" t="s">
        <v>133</v>
      </c>
      <c r="O1" t="s">
        <v>134</v>
      </c>
      <c r="P1" t="s">
        <v>41</v>
      </c>
      <c r="Q1" t="s">
        <v>135</v>
      </c>
      <c r="R1" t="s">
        <v>136</v>
      </c>
      <c r="S1" s="86" t="s">
        <v>143</v>
      </c>
      <c r="T1" s="86" t="s">
        <v>141</v>
      </c>
      <c r="U1" s="80" t="s">
        <v>40</v>
      </c>
      <c r="V1" s="86" t="s">
        <v>142</v>
      </c>
      <c r="W1" s="86" t="s">
        <v>145</v>
      </c>
      <c r="Y1" t="s">
        <v>39</v>
      </c>
      <c r="Z1" t="s">
        <v>666</v>
      </c>
    </row>
    <row r="2" spans="1:30" x14ac:dyDescent="0.25">
      <c r="A2">
        <v>139793</v>
      </c>
      <c r="B2" t="s">
        <v>743</v>
      </c>
      <c r="C2" t="s">
        <v>33</v>
      </c>
      <c r="D2" t="s">
        <v>744</v>
      </c>
      <c r="E2">
        <v>5</v>
      </c>
      <c r="F2" t="s">
        <v>236</v>
      </c>
      <c r="G2" t="str">
        <f t="shared" ref="G2:G57" si="0">MID(B2,4,1)</f>
        <v>A</v>
      </c>
      <c r="H2" s="105"/>
      <c r="I2" s="109"/>
      <c r="K2" s="72" t="s">
        <v>119</v>
      </c>
      <c r="L2" t="s">
        <v>120</v>
      </c>
      <c r="N2" t="s">
        <v>2</v>
      </c>
      <c r="O2">
        <f>+O10-Table92431384559526673[[#This Row],[Blocked]]</f>
        <v>47</v>
      </c>
      <c r="P2">
        <f>IF(ISERR(P10),0,P10)</f>
        <v>1</v>
      </c>
      <c r="Q2">
        <f>IF(ISERR(Q10),0,Q10)</f>
        <v>0</v>
      </c>
      <c r="R2">
        <f>+IF(ISERR(R14),0,R14)</f>
        <v>35</v>
      </c>
      <c r="S2" s="88">
        <f>Table92431384559526673[[#This Row],[Completed]]/Table92431384559526673[[#This Row],[Committed]]</f>
        <v>0.74468085106382975</v>
      </c>
      <c r="T2" s="83">
        <f>Table92431384559526673[[#This Row],[Completed]]/(Table92431384559526673[[#This Row],[Added]]+Table92431384559526673[[#This Row],[Committed]])</f>
        <v>0.72916666666666663</v>
      </c>
      <c r="V2" s="84" t="str">
        <f>IF(ISERR(O14),0,O14) &amp; "  (" &amp;TEXT(IF(ISERR(O14),0,O14)/Table92431384559526673[[#This Row],[Committed]],"#%") &amp; ")"</f>
        <v>34  (72%)</v>
      </c>
      <c r="W2" s="85" t="str">
        <f>+IF(ISERR(P14),0,P14) &amp; " (" &amp; TEXT(R18, "#%") &amp; ")"</f>
        <v>1 (100%)</v>
      </c>
      <c r="Y2" s="69" t="s">
        <v>61</v>
      </c>
      <c r="Z2" s="68"/>
    </row>
    <row r="3" spans="1:30" x14ac:dyDescent="0.25">
      <c r="A3">
        <v>152339</v>
      </c>
      <c r="B3" t="s">
        <v>622</v>
      </c>
      <c r="C3" t="s">
        <v>34</v>
      </c>
      <c r="D3" t="s">
        <v>623</v>
      </c>
      <c r="E3">
        <v>2</v>
      </c>
      <c r="F3" t="s">
        <v>236</v>
      </c>
      <c r="G3" t="str">
        <f t="shared" si="0"/>
        <v>A</v>
      </c>
      <c r="H3" s="105"/>
      <c r="I3" s="109" t="s">
        <v>35</v>
      </c>
      <c r="K3" s="69" t="s">
        <v>37</v>
      </c>
      <c r="L3" s="68">
        <v>48</v>
      </c>
      <c r="N3" t="s">
        <v>3</v>
      </c>
      <c r="O3">
        <f>+O11-Table92431384559526673[[#This Row],[Blocked]]</f>
        <v>49</v>
      </c>
      <c r="P3">
        <f>IF(ISERR(P11),0,P11)</f>
        <v>8</v>
      </c>
      <c r="Q3">
        <f>IF(ISERR(Q11),0,Q11)</f>
        <v>3</v>
      </c>
      <c r="R3">
        <f>+IF(ISERR(R15),0,R15)</f>
        <v>38</v>
      </c>
      <c r="S3" s="88">
        <f>Table92431384559526673[[#This Row],[Completed]]/Table92431384559526673[[#This Row],[Committed]]</f>
        <v>0.77551020408163263</v>
      </c>
      <c r="T3" s="83">
        <f>Table92431384559526673[[#This Row],[Completed]]/(Table92431384559526673[[#This Row],[Added]]+Table92431384559526673[[#This Row],[Committed]])</f>
        <v>0.66666666666666663</v>
      </c>
      <c r="V3" s="84" t="str">
        <f>IF(ISERR(O15),0,O15) &amp; "  (" &amp;TEXT(IF(ISERR(O15),0,O15)/Table92431384559526673[[#This Row],[Committed]],"#%") &amp; ")"</f>
        <v>33  (67%)</v>
      </c>
      <c r="W3" s="85" t="str">
        <f>+IF(ISERR(P15),0,P15) &amp; " (" &amp; TEXT(R19, "#%") &amp; ")"</f>
        <v>5 (63%)</v>
      </c>
      <c r="Y3" s="71" t="s">
        <v>33</v>
      </c>
      <c r="Z3" s="68"/>
    </row>
    <row r="4" spans="1:30" x14ac:dyDescent="0.25">
      <c r="A4">
        <v>160415</v>
      </c>
      <c r="B4" t="s">
        <v>809</v>
      </c>
      <c r="C4" t="s">
        <v>32</v>
      </c>
      <c r="D4" t="s">
        <v>810</v>
      </c>
      <c r="E4">
        <v>3</v>
      </c>
      <c r="F4" t="s">
        <v>58</v>
      </c>
      <c r="G4" t="str">
        <f t="shared" si="0"/>
        <v>A</v>
      </c>
      <c r="H4" s="105"/>
      <c r="I4" s="109"/>
      <c r="K4" s="71" t="s">
        <v>32</v>
      </c>
      <c r="L4" s="68">
        <v>6</v>
      </c>
      <c r="N4" t="s">
        <v>303</v>
      </c>
      <c r="O4" s="68">
        <f>SUM(O2:O3)</f>
        <v>96</v>
      </c>
      <c r="P4">
        <f>SUM(P2:P3)</f>
        <v>9</v>
      </c>
      <c r="Q4" s="68">
        <f>SUM(Q2:Q3)</f>
        <v>3</v>
      </c>
      <c r="R4" s="68">
        <f>SUM(R2:R3)</f>
        <v>73</v>
      </c>
      <c r="S4" s="88">
        <f>Table92431384559526673[[#This Row],[Completed]]/Table92431384559526673[[#This Row],[Committed]]</f>
        <v>0.76041666666666663</v>
      </c>
      <c r="T4" s="83">
        <f>Table92431384559526673[[#This Row],[Completed]]/(Table92431384559526673[[#This Row],[Added]]+Table92431384559526673[[#This Row],[Committed]])</f>
        <v>0.69523809523809521</v>
      </c>
      <c r="V4" s="108" t="str">
        <f>IF(ISERR(SUM(O14:O15)),0,SUM(O14:O15)) &amp;"  ("&amp;TEXT(SUM(O14:O15)/O4,"#%") &amp;")"</f>
        <v>67  (70%)</v>
      </c>
      <c r="W4" s="85" t="str">
        <f>R4-SUM(O14:O15)&amp;" ("&amp;TEXT((R4-SUM(O14:O15))/IF(P4=0,1,P4),"#%")&amp;")"</f>
        <v>6 (67%)</v>
      </c>
      <c r="Y4" s="70" t="s">
        <v>625</v>
      </c>
      <c r="Z4" s="68">
        <v>1</v>
      </c>
    </row>
    <row r="5" spans="1:30" x14ac:dyDescent="0.25">
      <c r="A5">
        <v>160417</v>
      </c>
      <c r="B5" t="s">
        <v>811</v>
      </c>
      <c r="C5" t="s">
        <v>32</v>
      </c>
      <c r="D5" t="s">
        <v>812</v>
      </c>
      <c r="E5">
        <v>3</v>
      </c>
      <c r="F5" t="s">
        <v>58</v>
      </c>
      <c r="G5" t="str">
        <f t="shared" si="0"/>
        <v>A</v>
      </c>
      <c r="H5" s="105"/>
      <c r="I5" s="109"/>
      <c r="K5" s="71" t="s">
        <v>33</v>
      </c>
      <c r="L5" s="68">
        <v>7</v>
      </c>
      <c r="O5" t="s">
        <v>140</v>
      </c>
      <c r="S5" t="s">
        <v>220</v>
      </c>
      <c r="Y5" s="71" t="s">
        <v>667</v>
      </c>
      <c r="Z5" s="68">
        <v>1</v>
      </c>
    </row>
    <row r="6" spans="1:30" x14ac:dyDescent="0.25">
      <c r="A6">
        <v>162905</v>
      </c>
      <c r="B6" t="s">
        <v>813</v>
      </c>
      <c r="C6" t="s">
        <v>34</v>
      </c>
      <c r="D6" t="s">
        <v>814</v>
      </c>
      <c r="E6">
        <v>3</v>
      </c>
      <c r="F6" t="s">
        <v>64</v>
      </c>
      <c r="G6" t="str">
        <f t="shared" si="0"/>
        <v>A</v>
      </c>
      <c r="H6" s="105"/>
      <c r="I6" s="109" t="s">
        <v>35</v>
      </c>
      <c r="K6" s="71" t="s">
        <v>34</v>
      </c>
      <c r="L6" s="68">
        <v>35</v>
      </c>
      <c r="Y6" s="71" t="s">
        <v>32</v>
      </c>
      <c r="Z6" s="68"/>
    </row>
    <row r="7" spans="1:30" x14ac:dyDescent="0.25">
      <c r="A7">
        <v>164228</v>
      </c>
      <c r="B7" t="s">
        <v>770</v>
      </c>
      <c r="C7" t="s">
        <v>34</v>
      </c>
      <c r="D7" t="s">
        <v>771</v>
      </c>
      <c r="E7">
        <v>2</v>
      </c>
      <c r="F7" t="s">
        <v>112</v>
      </c>
      <c r="G7" t="str">
        <f t="shared" si="0"/>
        <v>A</v>
      </c>
      <c r="H7" s="105"/>
      <c r="I7" s="109" t="s">
        <v>35</v>
      </c>
      <c r="K7" s="69" t="s">
        <v>36</v>
      </c>
      <c r="L7" s="68">
        <v>60</v>
      </c>
      <c r="Y7" s="70" t="s">
        <v>525</v>
      </c>
      <c r="Z7" s="68">
        <v>1</v>
      </c>
    </row>
    <row r="8" spans="1:30" ht="15.75" thickBot="1" x14ac:dyDescent="0.3">
      <c r="A8">
        <v>164229</v>
      </c>
      <c r="B8" t="s">
        <v>772</v>
      </c>
      <c r="C8" t="s">
        <v>34</v>
      </c>
      <c r="D8" t="s">
        <v>773</v>
      </c>
      <c r="E8">
        <v>2</v>
      </c>
      <c r="F8" t="s">
        <v>58</v>
      </c>
      <c r="G8" t="str">
        <f t="shared" si="0"/>
        <v>A</v>
      </c>
      <c r="H8" s="105"/>
      <c r="I8" s="109" t="s">
        <v>35</v>
      </c>
      <c r="K8" s="71" t="s">
        <v>32</v>
      </c>
      <c r="L8" s="68">
        <v>11</v>
      </c>
      <c r="M8" s="68"/>
      <c r="N8" t="s">
        <v>139</v>
      </c>
      <c r="R8" t="s">
        <v>138</v>
      </c>
      <c r="Y8" s="70" t="s">
        <v>623</v>
      </c>
      <c r="Z8" s="68">
        <v>1</v>
      </c>
    </row>
    <row r="9" spans="1:30" ht="15.75" thickBot="1" x14ac:dyDescent="0.3">
      <c r="A9">
        <v>164232</v>
      </c>
      <c r="B9" t="s">
        <v>815</v>
      </c>
      <c r="C9" t="s">
        <v>34</v>
      </c>
      <c r="D9" t="s">
        <v>816</v>
      </c>
      <c r="E9">
        <v>1</v>
      </c>
      <c r="F9" t="s">
        <v>58</v>
      </c>
      <c r="G9" t="str">
        <f t="shared" si="0"/>
        <v>A</v>
      </c>
      <c r="H9" s="105"/>
      <c r="I9" s="109" t="s">
        <v>35</v>
      </c>
      <c r="K9" s="71" t="s">
        <v>33</v>
      </c>
      <c r="L9" s="68">
        <v>8</v>
      </c>
      <c r="M9" s="68"/>
      <c r="N9" t="s">
        <v>133</v>
      </c>
      <c r="O9" t="s">
        <v>42</v>
      </c>
      <c r="P9" t="s">
        <v>41</v>
      </c>
      <c r="Q9" s="82" t="s">
        <v>135</v>
      </c>
      <c r="R9" t="s">
        <v>128</v>
      </c>
      <c r="Y9" s="71" t="s">
        <v>668</v>
      </c>
      <c r="Z9" s="68">
        <v>2</v>
      </c>
      <c r="AC9" s="195" t="s">
        <v>634</v>
      </c>
      <c r="AD9" s="196"/>
    </row>
    <row r="10" spans="1:30" ht="15.75" thickTop="1" x14ac:dyDescent="0.25">
      <c r="A10">
        <v>164755</v>
      </c>
      <c r="B10" t="s">
        <v>817</v>
      </c>
      <c r="C10" t="s">
        <v>34</v>
      </c>
      <c r="D10" t="s">
        <v>818</v>
      </c>
      <c r="E10">
        <v>3</v>
      </c>
      <c r="F10" t="s">
        <v>72</v>
      </c>
      <c r="G10" t="str">
        <f t="shared" si="0"/>
        <v>A</v>
      </c>
      <c r="H10" s="105"/>
      <c r="I10" s="109" t="s">
        <v>35</v>
      </c>
      <c r="K10" s="71" t="s">
        <v>34</v>
      </c>
      <c r="L10" s="68">
        <v>38</v>
      </c>
      <c r="M10" s="68"/>
      <c r="N10" t="s">
        <v>2</v>
      </c>
      <c r="O10">
        <f>+GETPIVOTDATA("Story Points2",$K$20,"Project","A","Added After",)</f>
        <v>47</v>
      </c>
      <c r="P10">
        <f>IFERROR(AC10,0)</f>
        <v>1</v>
      </c>
      <c r="Q10" s="81">
        <f>IFERROR(AD10,0)</f>
        <v>0</v>
      </c>
      <c r="R10">
        <f t="shared" ref="R10:R11" si="1">+IF(ISERR(P10),0,P10)+IF(ISERR(O10),0,O10)</f>
        <v>48</v>
      </c>
      <c r="V10" s="13"/>
      <c r="W10" s="13"/>
      <c r="Y10" s="69" t="s">
        <v>656</v>
      </c>
      <c r="Z10" s="68">
        <v>3</v>
      </c>
      <c r="AC10" s="121">
        <f>+GETPIVOTDATA("Story Points2",$K$20,"Project","A","Added After","Y")</f>
        <v>1</v>
      </c>
      <c r="AD10" s="122" t="e">
        <f>GETPIVOTDATA("Story Points2",$K$2,"Status","Blocked","Project","A")</f>
        <v>#REF!</v>
      </c>
    </row>
    <row r="11" spans="1:30" x14ac:dyDescent="0.25">
      <c r="A11">
        <v>164756</v>
      </c>
      <c r="B11" t="s">
        <v>819</v>
      </c>
      <c r="C11" t="s">
        <v>34</v>
      </c>
      <c r="D11" t="s">
        <v>820</v>
      </c>
      <c r="E11">
        <v>3</v>
      </c>
      <c r="F11" t="s">
        <v>72</v>
      </c>
      <c r="G11" t="str">
        <f t="shared" si="0"/>
        <v>A</v>
      </c>
      <c r="H11" s="105"/>
      <c r="I11" s="109" t="s">
        <v>35</v>
      </c>
      <c r="K11" s="71" t="s">
        <v>135</v>
      </c>
      <c r="L11" s="68">
        <v>3</v>
      </c>
      <c r="M11" s="68"/>
      <c r="N11" t="s">
        <v>3</v>
      </c>
      <c r="O11">
        <f>+GETPIVOTDATA("Story Points2",$K$20,"Project","U","Added After",)</f>
        <v>52</v>
      </c>
      <c r="P11">
        <f>IFERROR(AC11,0)</f>
        <v>8</v>
      </c>
      <c r="Q11" s="81">
        <f>IFERROR(AD11,0)</f>
        <v>3</v>
      </c>
      <c r="R11">
        <f t="shared" si="1"/>
        <v>60</v>
      </c>
      <c r="V11" s="13"/>
      <c r="W11" s="13"/>
      <c r="Y11" s="69" t="s">
        <v>112</v>
      </c>
      <c r="Z11" s="68"/>
      <c r="AC11" s="121">
        <f>+GETPIVOTDATA("Story Points2",$K$20,"Project","U","Added After","Y")</f>
        <v>8</v>
      </c>
      <c r="AD11" s="122">
        <f>GETPIVOTDATA("Story Points2",$K$2,"Status","Blocked","Project","U")</f>
        <v>3</v>
      </c>
    </row>
    <row r="12" spans="1:30" x14ac:dyDescent="0.25">
      <c r="A12">
        <v>164819</v>
      </c>
      <c r="B12" t="s">
        <v>821</v>
      </c>
      <c r="C12" t="s">
        <v>34</v>
      </c>
      <c r="D12" t="s">
        <v>822</v>
      </c>
      <c r="E12">
        <v>1</v>
      </c>
      <c r="F12" t="s">
        <v>236</v>
      </c>
      <c r="G12" t="str">
        <f t="shared" si="0"/>
        <v>A</v>
      </c>
      <c r="H12" s="105"/>
      <c r="I12" s="109" t="s">
        <v>35</v>
      </c>
      <c r="K12" s="69" t="s">
        <v>735</v>
      </c>
      <c r="L12" s="68"/>
      <c r="M12" s="68"/>
      <c r="V12" s="13"/>
      <c r="W12" s="13"/>
      <c r="Y12" s="71" t="s">
        <v>33</v>
      </c>
      <c r="Z12" s="68"/>
      <c r="AC12" s="121"/>
      <c r="AD12" s="122"/>
    </row>
    <row r="13" spans="1:30" x14ac:dyDescent="0.25">
      <c r="A13">
        <v>164824</v>
      </c>
      <c r="B13" t="s">
        <v>823</v>
      </c>
      <c r="C13" t="s">
        <v>34</v>
      </c>
      <c r="D13" t="s">
        <v>824</v>
      </c>
      <c r="E13">
        <v>2</v>
      </c>
      <c r="F13" t="s">
        <v>72</v>
      </c>
      <c r="G13" t="str">
        <f t="shared" si="0"/>
        <v>A</v>
      </c>
      <c r="H13" s="105"/>
      <c r="I13" s="109" t="s">
        <v>35</v>
      </c>
      <c r="K13" s="71" t="s">
        <v>122</v>
      </c>
      <c r="L13" s="68"/>
      <c r="M13" s="68"/>
      <c r="N13" t="s">
        <v>34</v>
      </c>
      <c r="O13" t="s">
        <v>126</v>
      </c>
      <c r="P13" t="s">
        <v>125</v>
      </c>
      <c r="Q13" s="80" t="s">
        <v>40</v>
      </c>
      <c r="R13" t="s">
        <v>127</v>
      </c>
      <c r="V13" s="13"/>
      <c r="W13" s="13"/>
      <c r="Y13" s="70" t="s">
        <v>579</v>
      </c>
      <c r="Z13" s="68">
        <v>1</v>
      </c>
      <c r="AC13" s="121"/>
      <c r="AD13" s="122"/>
    </row>
    <row r="14" spans="1:30" x14ac:dyDescent="0.25">
      <c r="A14">
        <v>164571</v>
      </c>
      <c r="B14" t="s">
        <v>825</v>
      </c>
      <c r="C14" t="s">
        <v>34</v>
      </c>
      <c r="D14" t="s">
        <v>826</v>
      </c>
      <c r="E14">
        <v>2</v>
      </c>
      <c r="F14" t="s">
        <v>61</v>
      </c>
      <c r="G14" s="90" t="str">
        <f t="shared" si="0"/>
        <v>A</v>
      </c>
      <c r="H14" s="105"/>
      <c r="I14" s="109" t="s">
        <v>35</v>
      </c>
      <c r="K14" s="69" t="s">
        <v>31</v>
      </c>
      <c r="L14" s="68">
        <v>108</v>
      </c>
      <c r="M14" s="68"/>
      <c r="N14" t="s">
        <v>2</v>
      </c>
      <c r="O14">
        <f>IFERROR(AC14,0)</f>
        <v>34</v>
      </c>
      <c r="P14">
        <f>IFERROR(AD14,0)</f>
        <v>1</v>
      </c>
      <c r="R14">
        <f t="shared" ref="R14:R15" si="2">+IF(ISERR(P14),0,P14)+IF(ISERR(O14),0,O14)</f>
        <v>35</v>
      </c>
      <c r="V14" s="13"/>
      <c r="W14" s="13"/>
      <c r="Y14" s="70" t="s">
        <v>585</v>
      </c>
      <c r="Z14" s="68">
        <v>1</v>
      </c>
      <c r="AC14" s="121">
        <f>+GETPIVOTDATA("Story Points2",$K$20,"Status","Done","Project","A","Added After",)</f>
        <v>34</v>
      </c>
      <c r="AD14" s="122">
        <f>+GETPIVOTDATA("Story Points2",$K$20,"Status","Done","Project","A","Added After","Y")</f>
        <v>1</v>
      </c>
    </row>
    <row r="15" spans="1:30" x14ac:dyDescent="0.25">
      <c r="A15">
        <v>164572</v>
      </c>
      <c r="B15" t="s">
        <v>827</v>
      </c>
      <c r="C15" t="s">
        <v>34</v>
      </c>
      <c r="D15" t="s">
        <v>828</v>
      </c>
      <c r="E15">
        <v>2</v>
      </c>
      <c r="F15" t="s">
        <v>64</v>
      </c>
      <c r="G15" s="73" t="str">
        <f t="shared" si="0"/>
        <v>A</v>
      </c>
      <c r="H15" s="105"/>
      <c r="I15" s="109" t="s">
        <v>35</v>
      </c>
      <c r="N15" t="s">
        <v>3</v>
      </c>
      <c r="O15">
        <f>IFERROR(AC15,0)</f>
        <v>33</v>
      </c>
      <c r="P15">
        <f>IFERROR(AD15,0)</f>
        <v>5</v>
      </c>
      <c r="R15">
        <f t="shared" si="2"/>
        <v>38</v>
      </c>
      <c r="V15" s="13"/>
      <c r="W15" s="13"/>
      <c r="Y15" s="71" t="s">
        <v>667</v>
      </c>
      <c r="Z15" s="68">
        <v>2</v>
      </c>
      <c r="AC15" s="121">
        <f>+GETPIVOTDATA("Story Points2",$K$20,"Status","Done","Project","U","Added After",)</f>
        <v>33</v>
      </c>
      <c r="AD15" s="122">
        <f>+GETPIVOTDATA("Story Points2",$K$20,"Status","Done","Project","U","Added After","Y")</f>
        <v>5</v>
      </c>
    </row>
    <row r="16" spans="1:30" x14ac:dyDescent="0.25">
      <c r="A16">
        <v>164574</v>
      </c>
      <c r="B16" t="s">
        <v>829</v>
      </c>
      <c r="C16" t="s">
        <v>34</v>
      </c>
      <c r="D16" t="s">
        <v>830</v>
      </c>
      <c r="E16">
        <v>5</v>
      </c>
      <c r="F16" t="s">
        <v>64</v>
      </c>
      <c r="G16" s="73" t="str">
        <f t="shared" si="0"/>
        <v>A</v>
      </c>
      <c r="H16" s="105"/>
      <c r="I16" s="109" t="s">
        <v>35</v>
      </c>
      <c r="Y16" s="69" t="s">
        <v>657</v>
      </c>
      <c r="Z16" s="68">
        <v>2</v>
      </c>
      <c r="AC16" s="121"/>
      <c r="AD16" s="122"/>
    </row>
    <row r="17" spans="1:30" ht="14.25" customHeight="1" x14ac:dyDescent="0.25">
      <c r="A17">
        <v>164575</v>
      </c>
      <c r="B17" t="s">
        <v>831</v>
      </c>
      <c r="C17" t="s">
        <v>34</v>
      </c>
      <c r="D17" t="s">
        <v>832</v>
      </c>
      <c r="E17">
        <v>3</v>
      </c>
      <c r="F17" t="s">
        <v>61</v>
      </c>
      <c r="G17" s="90" t="str">
        <f t="shared" si="0"/>
        <v>A</v>
      </c>
      <c r="H17" s="105"/>
      <c r="I17" s="109" t="s">
        <v>35</v>
      </c>
      <c r="N17" t="s">
        <v>34</v>
      </c>
      <c r="O17" t="s">
        <v>123</v>
      </c>
      <c r="P17" t="s">
        <v>124</v>
      </c>
      <c r="Q17" t="s">
        <v>126</v>
      </c>
      <c r="R17" t="s">
        <v>125</v>
      </c>
      <c r="T17" s="197" t="s">
        <v>877</v>
      </c>
      <c r="U17" s="197"/>
      <c r="V17" s="197"/>
      <c r="W17" s="197"/>
      <c r="Y17" s="69" t="s">
        <v>64</v>
      </c>
      <c r="Z17" s="68"/>
      <c r="AC17" s="121"/>
      <c r="AD17" s="122"/>
    </row>
    <row r="18" spans="1:30" x14ac:dyDescent="0.25">
      <c r="A18">
        <v>164581</v>
      </c>
      <c r="B18" t="s">
        <v>833</v>
      </c>
      <c r="C18" t="s">
        <v>33</v>
      </c>
      <c r="D18" t="s">
        <v>834</v>
      </c>
      <c r="E18">
        <v>2</v>
      </c>
      <c r="F18" t="s">
        <v>61</v>
      </c>
      <c r="G18" s="90" t="str">
        <f t="shared" si="0"/>
        <v>A</v>
      </c>
      <c r="H18" s="105"/>
      <c r="I18" s="109"/>
      <c r="N18" t="s">
        <v>2</v>
      </c>
      <c r="O18" s="64">
        <f>+R14/O10</f>
        <v>0.74468085106382975</v>
      </c>
      <c r="P18" s="64">
        <f t="shared" ref="P18:P19" si="3">+R14/R10</f>
        <v>0.72916666666666663</v>
      </c>
      <c r="Q18" s="64">
        <f>+O14/IF(ISERR(O10),1,O10)</f>
        <v>0.72340425531914898</v>
      </c>
      <c r="R18" s="64">
        <f>+P14/IF(ISERR(AC10),1,P10)</f>
        <v>1</v>
      </c>
      <c r="T18" s="197"/>
      <c r="U18" s="197"/>
      <c r="V18" s="197"/>
      <c r="W18" s="197"/>
      <c r="Y18" s="71" t="s">
        <v>33</v>
      </c>
      <c r="Z18" s="68"/>
      <c r="AC18" s="121"/>
      <c r="AD18" s="122"/>
    </row>
    <row r="19" spans="1:30" x14ac:dyDescent="0.25">
      <c r="A19">
        <v>164825</v>
      </c>
      <c r="B19" t="s">
        <v>835</v>
      </c>
      <c r="C19" t="s">
        <v>34</v>
      </c>
      <c r="D19" t="s">
        <v>836</v>
      </c>
      <c r="E19">
        <v>1</v>
      </c>
      <c r="F19" t="s">
        <v>236</v>
      </c>
      <c r="G19" s="90" t="str">
        <f t="shared" si="0"/>
        <v>A</v>
      </c>
      <c r="H19" s="105"/>
      <c r="I19" s="109" t="s">
        <v>35</v>
      </c>
      <c r="M19" s="68"/>
      <c r="N19" t="s">
        <v>3</v>
      </c>
      <c r="O19" s="64">
        <f>+R15/O11</f>
        <v>0.73076923076923073</v>
      </c>
      <c r="P19" s="64">
        <f t="shared" si="3"/>
        <v>0.6333333333333333</v>
      </c>
      <c r="Q19" s="64">
        <f>+O15/IF(ISERR(O11),1,O11)</f>
        <v>0.63461538461538458</v>
      </c>
      <c r="R19" s="64">
        <f>+P15/IF(ISERR(AC11),1,P11)</f>
        <v>0.625</v>
      </c>
      <c r="T19" s="197"/>
      <c r="U19" s="197"/>
      <c r="V19" s="197"/>
      <c r="W19" s="197"/>
      <c r="Y19" s="70" t="s">
        <v>648</v>
      </c>
      <c r="Z19" s="68">
        <v>1</v>
      </c>
      <c r="AC19" s="121"/>
      <c r="AD19" s="122"/>
    </row>
    <row r="20" spans="1:30" x14ac:dyDescent="0.25">
      <c r="A20">
        <v>164582</v>
      </c>
      <c r="B20" t="s">
        <v>837</v>
      </c>
      <c r="C20" t="s">
        <v>34</v>
      </c>
      <c r="D20" t="s">
        <v>838</v>
      </c>
      <c r="E20">
        <v>2</v>
      </c>
      <c r="F20" t="s">
        <v>61</v>
      </c>
      <c r="G20" s="73" t="str">
        <f t="shared" si="0"/>
        <v>A</v>
      </c>
      <c r="H20" s="105"/>
      <c r="I20" s="109" t="s">
        <v>35</v>
      </c>
      <c r="K20" s="72" t="s">
        <v>396</v>
      </c>
      <c r="L20" t="s">
        <v>120</v>
      </c>
      <c r="M20" s="68"/>
      <c r="T20" s="197"/>
      <c r="U20" s="197"/>
      <c r="V20" s="197"/>
      <c r="W20" s="197"/>
      <c r="Y20" s="71" t="s">
        <v>667</v>
      </c>
      <c r="Z20" s="68">
        <v>1</v>
      </c>
      <c r="AC20" s="121"/>
      <c r="AD20" s="122"/>
    </row>
    <row r="21" spans="1:30" x14ac:dyDescent="0.25">
      <c r="A21">
        <v>165648</v>
      </c>
      <c r="B21" t="s">
        <v>839</v>
      </c>
      <c r="C21" t="s">
        <v>34</v>
      </c>
      <c r="D21" t="s">
        <v>840</v>
      </c>
      <c r="E21">
        <v>1</v>
      </c>
      <c r="F21" t="s">
        <v>236</v>
      </c>
      <c r="G21" t="str">
        <f t="shared" si="0"/>
        <v>A</v>
      </c>
      <c r="H21" s="105" t="s">
        <v>35</v>
      </c>
      <c r="I21" s="109" t="s">
        <v>35</v>
      </c>
      <c r="K21" s="69" t="s">
        <v>122</v>
      </c>
      <c r="L21" s="68">
        <v>99</v>
      </c>
      <c r="M21" s="68"/>
      <c r="N21" t="s">
        <v>49</v>
      </c>
      <c r="O21" t="s">
        <v>126</v>
      </c>
      <c r="P21" t="s">
        <v>125</v>
      </c>
      <c r="Q21" s="80" t="s">
        <v>239</v>
      </c>
      <c r="R21" t="s">
        <v>129</v>
      </c>
      <c r="T21" s="197"/>
      <c r="U21" s="197"/>
      <c r="V21" s="197"/>
      <c r="W21" s="197"/>
      <c r="Y21" s="69" t="s">
        <v>658</v>
      </c>
      <c r="Z21" s="68">
        <v>1</v>
      </c>
      <c r="AC21" s="121"/>
      <c r="AD21" s="122"/>
    </row>
    <row r="22" spans="1:30" x14ac:dyDescent="0.25">
      <c r="A22">
        <v>164324</v>
      </c>
      <c r="B22" t="s">
        <v>849</v>
      </c>
      <c r="C22" t="s">
        <v>34</v>
      </c>
      <c r="D22" t="s">
        <v>850</v>
      </c>
      <c r="E22">
        <v>2</v>
      </c>
      <c r="F22" t="s">
        <v>112</v>
      </c>
      <c r="G22" s="73" t="str">
        <f t="shared" ref="G22:G40" si="4">MID(B22,4,1)</f>
        <v>U</v>
      </c>
      <c r="H22" s="105"/>
      <c r="I22" s="109" t="s">
        <v>35</v>
      </c>
      <c r="K22" s="71" t="s">
        <v>37</v>
      </c>
      <c r="L22" s="68">
        <v>47</v>
      </c>
      <c r="M22" s="68"/>
      <c r="N22" t="s">
        <v>2</v>
      </c>
      <c r="O22">
        <f>IFERROR(AC22,0)</f>
        <v>34</v>
      </c>
      <c r="P22">
        <f>IFERROR(AD22,0)</f>
        <v>1</v>
      </c>
      <c r="Q22">
        <f>+O10-Q10-Table72229364357506471[[#This Row],[Committed Done]]</f>
        <v>13</v>
      </c>
      <c r="R22">
        <f>+Table72229364357506471[[#This Row],[Committed Done]]+Table72229364357506471[[#This Row],[Added Done]]</f>
        <v>35</v>
      </c>
      <c r="T22" s="197"/>
      <c r="U22" s="197"/>
      <c r="V22" s="197"/>
      <c r="W22" s="197"/>
      <c r="Y22" s="69" t="s">
        <v>92</v>
      </c>
      <c r="Z22" s="68"/>
      <c r="AC22" s="121">
        <f>+GETPIVOTDATA("Story Points",$N$32,"Project","A","Added After",)</f>
        <v>34</v>
      </c>
      <c r="AD22" s="122">
        <f>+GETPIVOTDATA("Story Points",$N$32,"Project","A","Added After","Y")</f>
        <v>1</v>
      </c>
    </row>
    <row r="23" spans="1:30" ht="15.75" thickBot="1" x14ac:dyDescent="0.3">
      <c r="A23">
        <v>164325</v>
      </c>
      <c r="B23" t="s">
        <v>851</v>
      </c>
      <c r="C23" t="s">
        <v>34</v>
      </c>
      <c r="D23" t="s">
        <v>852</v>
      </c>
      <c r="E23">
        <v>3</v>
      </c>
      <c r="F23" t="s">
        <v>112</v>
      </c>
      <c r="G23" s="73" t="str">
        <f t="shared" si="4"/>
        <v>U</v>
      </c>
      <c r="H23" s="105"/>
      <c r="I23" s="109" t="s">
        <v>35</v>
      </c>
      <c r="K23" s="70" t="s">
        <v>32</v>
      </c>
      <c r="L23" s="68">
        <v>6</v>
      </c>
      <c r="M23" s="68"/>
      <c r="N23" t="s">
        <v>3</v>
      </c>
      <c r="O23">
        <f>IFERROR(AC23,0)</f>
        <v>33</v>
      </c>
      <c r="P23">
        <f>IFERROR(AD23,0)</f>
        <v>5</v>
      </c>
      <c r="Q23">
        <f>+O11-Q11-Table72229364357506471[[#This Row],[Committed Done]]</f>
        <v>16</v>
      </c>
      <c r="R23">
        <f>+Table72229364357506471[[#This Row],[Committed Done]]+Table72229364357506471[[#This Row],[Added Done]]</f>
        <v>38</v>
      </c>
      <c r="T23" s="197"/>
      <c r="U23" s="197"/>
      <c r="V23" s="197"/>
      <c r="W23" s="197"/>
      <c r="Y23" s="71" t="s">
        <v>32</v>
      </c>
      <c r="Z23" s="68"/>
      <c r="AC23" s="123">
        <f>+GETPIVOTDATA("Story Points",$N$32,"Project","U","Added After",)</f>
        <v>33</v>
      </c>
      <c r="AD23" s="124">
        <f>+GETPIVOTDATA("Story Points",$N$32,"Project","U","Added After","Y")</f>
        <v>5</v>
      </c>
    </row>
    <row r="24" spans="1:30" x14ac:dyDescent="0.25">
      <c r="A24">
        <v>164326</v>
      </c>
      <c r="B24" t="s">
        <v>853</v>
      </c>
      <c r="C24" t="s">
        <v>33</v>
      </c>
      <c r="D24" t="s">
        <v>854</v>
      </c>
      <c r="E24">
        <v>5</v>
      </c>
      <c r="F24" t="s">
        <v>112</v>
      </c>
      <c r="G24" s="73" t="str">
        <f t="shared" si="4"/>
        <v>U</v>
      </c>
      <c r="H24" s="105"/>
      <c r="I24" s="109"/>
      <c r="K24" s="70" t="s">
        <v>33</v>
      </c>
      <c r="L24" s="68">
        <v>7</v>
      </c>
      <c r="M24" s="68"/>
      <c r="T24" s="197"/>
      <c r="U24" s="197"/>
      <c r="V24" s="197"/>
      <c r="W24" s="197"/>
      <c r="Y24" s="70" t="s">
        <v>601</v>
      </c>
      <c r="Z24" s="68">
        <v>1</v>
      </c>
    </row>
    <row r="25" spans="1:30" x14ac:dyDescent="0.25">
      <c r="A25">
        <v>164327</v>
      </c>
      <c r="B25" t="s">
        <v>855</v>
      </c>
      <c r="C25" t="s">
        <v>34</v>
      </c>
      <c r="D25" t="s">
        <v>856</v>
      </c>
      <c r="E25">
        <v>3</v>
      </c>
      <c r="F25" t="s">
        <v>112</v>
      </c>
      <c r="G25" t="str">
        <f t="shared" si="4"/>
        <v>U</v>
      </c>
      <c r="H25" s="105"/>
      <c r="I25" s="109" t="s">
        <v>35</v>
      </c>
      <c r="K25" s="70" t="s">
        <v>34</v>
      </c>
      <c r="L25" s="68">
        <v>34</v>
      </c>
      <c r="M25" s="68"/>
      <c r="N25" t="s">
        <v>49</v>
      </c>
      <c r="O25" t="s">
        <v>123</v>
      </c>
      <c r="P25" t="s">
        <v>124</v>
      </c>
      <c r="Q25" t="s">
        <v>126</v>
      </c>
      <c r="R25" t="s">
        <v>130</v>
      </c>
      <c r="T25" s="197"/>
      <c r="U25" s="197"/>
      <c r="V25" s="197"/>
      <c r="W25" s="197"/>
      <c r="Y25" s="71" t="s">
        <v>668</v>
      </c>
      <c r="Z25" s="68">
        <v>1</v>
      </c>
    </row>
    <row r="26" spans="1:30" x14ac:dyDescent="0.25">
      <c r="A26">
        <v>164331</v>
      </c>
      <c r="B26" t="s">
        <v>857</v>
      </c>
      <c r="C26" t="s">
        <v>34</v>
      </c>
      <c r="D26" t="s">
        <v>858</v>
      </c>
      <c r="E26">
        <v>3</v>
      </c>
      <c r="F26" t="s">
        <v>112</v>
      </c>
      <c r="G26" t="str">
        <f t="shared" si="4"/>
        <v>U</v>
      </c>
      <c r="H26" s="105"/>
      <c r="I26" s="109" t="s">
        <v>35</v>
      </c>
      <c r="K26" s="71" t="s">
        <v>36</v>
      </c>
      <c r="L26" s="68">
        <v>52</v>
      </c>
      <c r="N26" t="s">
        <v>2</v>
      </c>
      <c r="O26" s="64">
        <f>R22/IF(O10=0, 1,O10)</f>
        <v>0.74468085106382975</v>
      </c>
      <c r="P26" s="64">
        <f>R22/IF(R10=0,1,R10)</f>
        <v>0.72916666666666663</v>
      </c>
      <c r="Q26" s="64">
        <f>O22/IF(O10=0,1,O10)</f>
        <v>0.72340425531914898</v>
      </c>
      <c r="R26" s="64">
        <f>+P22/IF(P10=0,1,P10)</f>
        <v>1</v>
      </c>
      <c r="T26" s="197"/>
      <c r="U26" s="197"/>
      <c r="V26" s="197"/>
      <c r="W26" s="197"/>
      <c r="Y26" s="69" t="s">
        <v>659</v>
      </c>
      <c r="Z26" s="68">
        <v>1</v>
      </c>
    </row>
    <row r="27" spans="1:30" x14ac:dyDescent="0.25">
      <c r="A27">
        <v>164565</v>
      </c>
      <c r="B27" t="s">
        <v>863</v>
      </c>
      <c r="C27" t="s">
        <v>34</v>
      </c>
      <c r="D27" t="s">
        <v>693</v>
      </c>
      <c r="E27">
        <v>3</v>
      </c>
      <c r="F27" t="s">
        <v>84</v>
      </c>
      <c r="G27" s="90" t="str">
        <f t="shared" si="4"/>
        <v>U</v>
      </c>
      <c r="H27" s="105"/>
      <c r="I27" s="109" t="s">
        <v>35</v>
      </c>
      <c r="K27" s="70" t="s">
        <v>32</v>
      </c>
      <c r="L27" s="68">
        <v>11</v>
      </c>
      <c r="M27" s="68"/>
      <c r="N27" t="s">
        <v>3</v>
      </c>
      <c r="O27" s="64">
        <f>R23/IF(O11=0, 1,O11)</f>
        <v>0.73076923076923073</v>
      </c>
      <c r="P27" s="64">
        <f>R23/IF(R11=0,1,R11)</f>
        <v>0.6333333333333333</v>
      </c>
      <c r="Q27" s="64">
        <f>O23/IF(O11=0,1,O11)</f>
        <v>0.63461538461538458</v>
      </c>
      <c r="R27" s="64">
        <f>+P23/IF(P11=0,1,P11)</f>
        <v>0.625</v>
      </c>
      <c r="T27" s="197"/>
      <c r="U27" s="197"/>
      <c r="V27" s="197"/>
      <c r="W27" s="197"/>
      <c r="Y27" s="69" t="s">
        <v>58</v>
      </c>
      <c r="Z27" s="68"/>
    </row>
    <row r="28" spans="1:30" x14ac:dyDescent="0.25">
      <c r="A28">
        <v>164566</v>
      </c>
      <c r="B28" t="s">
        <v>864</v>
      </c>
      <c r="C28" t="s">
        <v>32</v>
      </c>
      <c r="D28" t="s">
        <v>865</v>
      </c>
      <c r="E28">
        <v>5</v>
      </c>
      <c r="F28" t="s">
        <v>84</v>
      </c>
      <c r="G28" t="str">
        <f t="shared" si="4"/>
        <v>U</v>
      </c>
      <c r="I28" s="109"/>
      <c r="K28" s="70" t="s">
        <v>33</v>
      </c>
      <c r="L28" s="68">
        <v>5</v>
      </c>
      <c r="M28" s="68"/>
      <c r="T28" s="197"/>
      <c r="U28" s="197"/>
      <c r="V28" s="197"/>
      <c r="W28" s="197"/>
      <c r="Y28" s="71" t="s">
        <v>32</v>
      </c>
      <c r="Z28" s="68"/>
    </row>
    <row r="29" spans="1:30" x14ac:dyDescent="0.25">
      <c r="A29">
        <v>164588</v>
      </c>
      <c r="B29" t="s">
        <v>868</v>
      </c>
      <c r="C29" t="s">
        <v>34</v>
      </c>
      <c r="D29" t="s">
        <v>869</v>
      </c>
      <c r="E29">
        <v>5</v>
      </c>
      <c r="F29" t="s">
        <v>84</v>
      </c>
      <c r="G29" t="str">
        <f t="shared" si="4"/>
        <v>U</v>
      </c>
      <c r="H29" s="105"/>
      <c r="I29" s="109" t="s">
        <v>35</v>
      </c>
      <c r="K29" s="70" t="s">
        <v>34</v>
      </c>
      <c r="L29" s="68">
        <v>33</v>
      </c>
      <c r="M29" s="68"/>
      <c r="T29" s="197"/>
      <c r="U29" s="197"/>
      <c r="V29" s="197"/>
      <c r="W29" s="197"/>
      <c r="Y29" s="70" t="s">
        <v>631</v>
      </c>
      <c r="Z29" s="68">
        <v>1</v>
      </c>
    </row>
    <row r="30" spans="1:30" x14ac:dyDescent="0.25">
      <c r="A30">
        <v>164590</v>
      </c>
      <c r="B30" t="s">
        <v>870</v>
      </c>
      <c r="C30" t="s">
        <v>34</v>
      </c>
      <c r="D30" t="s">
        <v>871</v>
      </c>
      <c r="E30">
        <v>3</v>
      </c>
      <c r="F30" t="s">
        <v>92</v>
      </c>
      <c r="G30" t="str">
        <f t="shared" si="4"/>
        <v>U</v>
      </c>
      <c r="H30" s="105"/>
      <c r="I30" s="109" t="s">
        <v>35</v>
      </c>
      <c r="K30" s="70" t="s">
        <v>135</v>
      </c>
      <c r="L30" s="68">
        <v>3</v>
      </c>
      <c r="M30" s="68"/>
      <c r="N30" s="72" t="s">
        <v>144</v>
      </c>
      <c r="O30" s="160" t="s">
        <v>35</v>
      </c>
      <c r="T30" s="197"/>
      <c r="U30" s="197"/>
      <c r="V30" s="197"/>
      <c r="W30" s="197"/>
      <c r="Y30" s="71" t="s">
        <v>668</v>
      </c>
      <c r="Z30" s="68">
        <v>1</v>
      </c>
    </row>
    <row r="31" spans="1:30" x14ac:dyDescent="0.25">
      <c r="A31">
        <v>133448</v>
      </c>
      <c r="B31" t="s">
        <v>841</v>
      </c>
      <c r="C31" t="s">
        <v>34</v>
      </c>
      <c r="D31" t="s">
        <v>842</v>
      </c>
      <c r="E31">
        <v>2</v>
      </c>
      <c r="F31" t="s">
        <v>235</v>
      </c>
      <c r="G31" t="str">
        <f t="shared" si="4"/>
        <v>U</v>
      </c>
      <c r="H31" s="105" t="s">
        <v>35</v>
      </c>
      <c r="I31" s="109" t="s">
        <v>35</v>
      </c>
      <c r="K31" s="71" t="s">
        <v>735</v>
      </c>
      <c r="L31" s="68"/>
      <c r="M31" s="68"/>
      <c r="T31" s="197"/>
      <c r="U31" s="197"/>
      <c r="V31" s="197"/>
      <c r="W31" s="197"/>
      <c r="Y31" s="69" t="s">
        <v>660</v>
      </c>
      <c r="Z31" s="68">
        <v>1</v>
      </c>
    </row>
    <row r="32" spans="1:30" x14ac:dyDescent="0.25">
      <c r="A32">
        <v>162671</v>
      </c>
      <c r="B32" t="s">
        <v>845</v>
      </c>
      <c r="C32" t="s">
        <v>32</v>
      </c>
      <c r="D32" t="s">
        <v>846</v>
      </c>
      <c r="E32">
        <v>3</v>
      </c>
      <c r="F32" t="s">
        <v>235</v>
      </c>
      <c r="G32" s="73" t="str">
        <f t="shared" si="4"/>
        <v>U</v>
      </c>
      <c r="H32" s="105"/>
      <c r="I32" s="109"/>
      <c r="K32" s="70" t="s">
        <v>122</v>
      </c>
      <c r="L32" s="68"/>
      <c r="N32" s="72" t="s">
        <v>655</v>
      </c>
      <c r="O32" t="s">
        <v>50</v>
      </c>
      <c r="T32" s="197"/>
      <c r="U32" s="197"/>
      <c r="V32" s="197"/>
      <c r="W32" s="197"/>
      <c r="Y32" s="69" t="s">
        <v>235</v>
      </c>
      <c r="Z32" s="68"/>
    </row>
    <row r="33" spans="1:26" x14ac:dyDescent="0.25">
      <c r="A33">
        <v>164616</v>
      </c>
      <c r="B33" t="s">
        <v>861</v>
      </c>
      <c r="C33" t="s">
        <v>34</v>
      </c>
      <c r="D33" t="s">
        <v>862</v>
      </c>
      <c r="E33">
        <v>2</v>
      </c>
      <c r="F33" t="s">
        <v>235</v>
      </c>
      <c r="G33" t="str">
        <f t="shared" si="4"/>
        <v>U</v>
      </c>
      <c r="H33" s="105"/>
      <c r="I33" s="109" t="s">
        <v>35</v>
      </c>
      <c r="K33" s="69" t="s">
        <v>35</v>
      </c>
      <c r="L33" s="68">
        <v>9</v>
      </c>
      <c r="N33" s="69" t="s">
        <v>37</v>
      </c>
      <c r="O33" s="68"/>
      <c r="T33" s="197"/>
      <c r="U33" s="197"/>
      <c r="V33" s="197"/>
      <c r="W33" s="197"/>
      <c r="Y33" s="71" t="s">
        <v>33</v>
      </c>
      <c r="Z33" s="68"/>
    </row>
    <row r="34" spans="1:26" x14ac:dyDescent="0.25">
      <c r="A34">
        <v>159879</v>
      </c>
      <c r="B34" t="s">
        <v>790</v>
      </c>
      <c r="C34" t="s">
        <v>32</v>
      </c>
      <c r="D34" t="s">
        <v>791</v>
      </c>
      <c r="E34">
        <v>3</v>
      </c>
      <c r="F34" t="s">
        <v>89</v>
      </c>
      <c r="G34" s="73" t="str">
        <f t="shared" si="4"/>
        <v>U</v>
      </c>
      <c r="H34" s="105"/>
      <c r="I34" s="109"/>
      <c r="K34" s="71" t="s">
        <v>37</v>
      </c>
      <c r="L34" s="68">
        <v>1</v>
      </c>
      <c r="N34" s="71" t="s">
        <v>122</v>
      </c>
      <c r="O34" s="68">
        <v>34</v>
      </c>
      <c r="T34" s="197"/>
      <c r="U34" s="197"/>
      <c r="V34" s="197"/>
      <c r="W34" s="197"/>
      <c r="Y34" s="70" t="s">
        <v>581</v>
      </c>
      <c r="Z34" s="68">
        <v>1</v>
      </c>
    </row>
    <row r="35" spans="1:26" x14ac:dyDescent="0.25">
      <c r="A35">
        <v>164528</v>
      </c>
      <c r="B35" t="s">
        <v>859</v>
      </c>
      <c r="C35" t="s">
        <v>34</v>
      </c>
      <c r="D35" t="s">
        <v>860</v>
      </c>
      <c r="E35">
        <v>3</v>
      </c>
      <c r="F35" t="s">
        <v>89</v>
      </c>
      <c r="G35" t="str">
        <f t="shared" si="4"/>
        <v>U</v>
      </c>
      <c r="H35" s="105"/>
      <c r="I35" s="109" t="s">
        <v>35</v>
      </c>
      <c r="K35" s="70" t="s">
        <v>34</v>
      </c>
      <c r="L35" s="68">
        <v>1</v>
      </c>
      <c r="N35" s="71" t="s">
        <v>35</v>
      </c>
      <c r="O35" s="68">
        <v>1</v>
      </c>
      <c r="T35" s="197"/>
      <c r="U35" s="197"/>
      <c r="V35" s="197"/>
      <c r="W35" s="197"/>
      <c r="Y35" s="71" t="s">
        <v>667</v>
      </c>
      <c r="Z35" s="68">
        <v>1</v>
      </c>
    </row>
    <row r="36" spans="1:26" x14ac:dyDescent="0.25">
      <c r="A36">
        <v>164754</v>
      </c>
      <c r="B36" t="s">
        <v>866</v>
      </c>
      <c r="C36" t="s">
        <v>34</v>
      </c>
      <c r="D36" t="s">
        <v>867</v>
      </c>
      <c r="E36">
        <v>3</v>
      </c>
      <c r="F36" t="s">
        <v>89</v>
      </c>
      <c r="G36" s="90" t="str">
        <f t="shared" si="4"/>
        <v>U</v>
      </c>
      <c r="H36" s="105"/>
      <c r="I36" s="109" t="s">
        <v>35</v>
      </c>
      <c r="K36" s="71" t="s">
        <v>36</v>
      </c>
      <c r="L36" s="68">
        <v>8</v>
      </c>
      <c r="N36" s="69" t="s">
        <v>131</v>
      </c>
      <c r="O36" s="68">
        <v>35</v>
      </c>
      <c r="T36" s="197"/>
      <c r="U36" s="197"/>
      <c r="V36" s="197"/>
      <c r="W36" s="197"/>
      <c r="Y36" s="69" t="s">
        <v>661</v>
      </c>
      <c r="Z36" s="68">
        <v>1</v>
      </c>
    </row>
    <row r="37" spans="1:26" x14ac:dyDescent="0.25">
      <c r="A37">
        <v>161981</v>
      </c>
      <c r="B37" t="s">
        <v>843</v>
      </c>
      <c r="C37" t="s">
        <v>135</v>
      </c>
      <c r="D37" t="s">
        <v>844</v>
      </c>
      <c r="E37">
        <v>3</v>
      </c>
      <c r="F37" t="s">
        <v>81</v>
      </c>
      <c r="G37" s="73" t="str">
        <f t="shared" si="4"/>
        <v>U</v>
      </c>
      <c r="H37" s="105"/>
      <c r="I37" s="109"/>
      <c r="K37" s="70" t="s">
        <v>33</v>
      </c>
      <c r="L37" s="68">
        <v>3</v>
      </c>
      <c r="N37" s="69" t="s">
        <v>36</v>
      </c>
      <c r="O37" s="68"/>
      <c r="T37" s="197"/>
      <c r="U37" s="197"/>
      <c r="V37" s="197"/>
      <c r="W37" s="197"/>
      <c r="Y37" s="69" t="s">
        <v>89</v>
      </c>
      <c r="Z37" s="68"/>
    </row>
    <row r="38" spans="1:26" x14ac:dyDescent="0.25">
      <c r="A38">
        <v>163513</v>
      </c>
      <c r="B38" t="s">
        <v>847</v>
      </c>
      <c r="C38" t="s">
        <v>34</v>
      </c>
      <c r="D38" t="s">
        <v>848</v>
      </c>
      <c r="E38">
        <v>3</v>
      </c>
      <c r="F38" t="s">
        <v>81</v>
      </c>
      <c r="G38" s="73" t="str">
        <f t="shared" si="4"/>
        <v>U</v>
      </c>
      <c r="H38" s="105"/>
      <c r="I38" s="109" t="s">
        <v>35</v>
      </c>
      <c r="K38" s="70" t="s">
        <v>34</v>
      </c>
      <c r="L38" s="68">
        <v>5</v>
      </c>
      <c r="N38" s="71" t="s">
        <v>122</v>
      </c>
      <c r="O38" s="68">
        <v>33</v>
      </c>
      <c r="T38" s="197"/>
      <c r="U38" s="197"/>
      <c r="V38" s="197"/>
      <c r="W38" s="197"/>
      <c r="Y38" s="71" t="s">
        <v>33</v>
      </c>
      <c r="Z38" s="68"/>
    </row>
    <row r="39" spans="1:26" x14ac:dyDescent="0.25">
      <c r="A39">
        <v>165954</v>
      </c>
      <c r="B39" t="s">
        <v>872</v>
      </c>
      <c r="C39" t="s">
        <v>33</v>
      </c>
      <c r="D39" t="s">
        <v>873</v>
      </c>
      <c r="E39">
        <v>3</v>
      </c>
      <c r="F39" t="s">
        <v>81</v>
      </c>
      <c r="G39" s="90" t="str">
        <f t="shared" si="4"/>
        <v>U</v>
      </c>
      <c r="H39" s="105" t="s">
        <v>35</v>
      </c>
      <c r="I39" s="109"/>
      <c r="K39" s="69" t="s">
        <v>31</v>
      </c>
      <c r="L39" s="68">
        <v>108</v>
      </c>
      <c r="M39" s="68"/>
      <c r="N39" s="71" t="s">
        <v>35</v>
      </c>
      <c r="O39" s="68">
        <v>5</v>
      </c>
      <c r="T39" s="197"/>
      <c r="U39" s="197"/>
      <c r="V39" s="197"/>
      <c r="W39" s="197"/>
      <c r="Y39" s="70" t="s">
        <v>597</v>
      </c>
      <c r="Z39" s="68">
        <v>1</v>
      </c>
    </row>
    <row r="40" spans="1:26" x14ac:dyDescent="0.25">
      <c r="A40">
        <v>166192</v>
      </c>
      <c r="B40" t="s">
        <v>874</v>
      </c>
      <c r="C40" t="s">
        <v>34</v>
      </c>
      <c r="D40" t="s">
        <v>875</v>
      </c>
      <c r="E40">
        <v>3</v>
      </c>
      <c r="F40" t="s">
        <v>72</v>
      </c>
      <c r="G40" t="str">
        <f t="shared" si="4"/>
        <v>U</v>
      </c>
      <c r="H40" s="105" t="s">
        <v>35</v>
      </c>
      <c r="I40" s="109" t="s">
        <v>35</v>
      </c>
      <c r="M40" s="68"/>
      <c r="N40" s="69" t="s">
        <v>132</v>
      </c>
      <c r="O40" s="68">
        <v>38</v>
      </c>
      <c r="T40" s="197"/>
      <c r="U40" s="197"/>
      <c r="V40" s="197"/>
      <c r="W40" s="197"/>
      <c r="Y40" s="71" t="s">
        <v>667</v>
      </c>
      <c r="Z40" s="68">
        <v>1</v>
      </c>
    </row>
    <row r="41" spans="1:26" hidden="1" x14ac:dyDescent="0.25">
      <c r="C41"/>
      <c r="G41" s="90" t="str">
        <f t="shared" si="0"/>
        <v/>
      </c>
      <c r="H41" s="105"/>
      <c r="I41" s="109"/>
      <c r="M41" s="68"/>
      <c r="N41" s="69" t="s">
        <v>31</v>
      </c>
      <c r="O41" s="68">
        <v>73</v>
      </c>
      <c r="Y41" s="69" t="s">
        <v>662</v>
      </c>
      <c r="Z41" s="68">
        <v>1</v>
      </c>
    </row>
    <row r="42" spans="1:26" hidden="1" x14ac:dyDescent="0.25">
      <c r="C42"/>
      <c r="G42" t="str">
        <f t="shared" si="0"/>
        <v/>
      </c>
      <c r="H42" s="105"/>
      <c r="I42" s="109"/>
      <c r="M42" s="68"/>
      <c r="Y42" s="69" t="s">
        <v>81</v>
      </c>
      <c r="Z42" s="68"/>
    </row>
    <row r="43" spans="1:26" hidden="1" x14ac:dyDescent="0.25">
      <c r="C43"/>
      <c r="G43" t="str">
        <f t="shared" si="0"/>
        <v/>
      </c>
      <c r="H43" s="105"/>
      <c r="I43" s="109"/>
      <c r="M43" s="68"/>
      <c r="Y43" s="71" t="s">
        <v>33</v>
      </c>
      <c r="Z43" s="68"/>
    </row>
    <row r="44" spans="1:26" hidden="1" x14ac:dyDescent="0.25">
      <c r="C44"/>
      <c r="G44" t="str">
        <f t="shared" si="0"/>
        <v/>
      </c>
      <c r="H44" s="105"/>
      <c r="I44" s="109"/>
      <c r="M44" s="68"/>
      <c r="Y44" s="70" t="s">
        <v>589</v>
      </c>
      <c r="Z44" s="68">
        <v>1</v>
      </c>
    </row>
    <row r="45" spans="1:26" hidden="1" x14ac:dyDescent="0.25">
      <c r="C45"/>
      <c r="G45" t="str">
        <f t="shared" si="0"/>
        <v/>
      </c>
      <c r="H45" s="105"/>
      <c r="I45" s="109"/>
      <c r="M45" s="68"/>
      <c r="Y45" s="71" t="s">
        <v>667</v>
      </c>
      <c r="Z45" s="68">
        <v>1</v>
      </c>
    </row>
    <row r="46" spans="1:26" hidden="1" x14ac:dyDescent="0.25">
      <c r="C46"/>
      <c r="G46" t="str">
        <f t="shared" si="0"/>
        <v/>
      </c>
      <c r="H46" s="105"/>
      <c r="I46" s="109"/>
      <c r="M46" s="68"/>
      <c r="Y46" s="69" t="s">
        <v>663</v>
      </c>
      <c r="Z46" s="68">
        <v>1</v>
      </c>
    </row>
    <row r="47" spans="1:26" hidden="1" x14ac:dyDescent="0.25">
      <c r="A47" s="90" t="str">
        <f t="shared" ref="A47:A57" si="5">MID(B47,8,3)</f>
        <v/>
      </c>
      <c r="C47"/>
      <c r="G47" s="90" t="str">
        <f t="shared" si="0"/>
        <v/>
      </c>
      <c r="H47" s="105"/>
      <c r="I47" s="109"/>
      <c r="M47" s="68"/>
      <c r="Y47" s="69" t="s">
        <v>236</v>
      </c>
      <c r="Z47" s="68"/>
    </row>
    <row r="48" spans="1:26" hidden="1" x14ac:dyDescent="0.25">
      <c r="A48" s="73" t="str">
        <f t="shared" si="5"/>
        <v/>
      </c>
      <c r="C48"/>
      <c r="G48" t="str">
        <f t="shared" si="0"/>
        <v/>
      </c>
      <c r="H48" s="105"/>
      <c r="I48" s="109"/>
      <c r="Y48" s="71" t="s">
        <v>33</v>
      </c>
      <c r="Z48" s="68"/>
    </row>
    <row r="49" spans="1:26" hidden="1" x14ac:dyDescent="0.25">
      <c r="A49" s="90" t="str">
        <f t="shared" si="5"/>
        <v/>
      </c>
      <c r="C49"/>
      <c r="E49" s="13"/>
      <c r="G49" s="90" t="str">
        <f t="shared" si="0"/>
        <v/>
      </c>
      <c r="H49" s="105"/>
      <c r="I49" s="109"/>
      <c r="Y49" s="70" t="s">
        <v>533</v>
      </c>
      <c r="Z49" s="68">
        <v>1</v>
      </c>
    </row>
    <row r="50" spans="1:26" hidden="1" x14ac:dyDescent="0.25">
      <c r="A50" s="90" t="str">
        <f t="shared" si="5"/>
        <v/>
      </c>
      <c r="B50" s="105"/>
      <c r="C50"/>
      <c r="D50" s="105"/>
      <c r="E50" s="105"/>
      <c r="F50" s="107"/>
      <c r="G50" s="90" t="str">
        <f t="shared" si="0"/>
        <v/>
      </c>
      <c r="H50" s="105"/>
      <c r="I50" s="109"/>
      <c r="Y50" s="71" t="s">
        <v>667</v>
      </c>
      <c r="Z50" s="68">
        <v>1</v>
      </c>
    </row>
    <row r="51" spans="1:26" hidden="1" x14ac:dyDescent="0.25">
      <c r="A51" s="73" t="str">
        <f t="shared" si="5"/>
        <v/>
      </c>
      <c r="C51"/>
      <c r="G51" s="73" t="str">
        <f t="shared" si="0"/>
        <v/>
      </c>
      <c r="H51" s="105"/>
      <c r="I51" s="109"/>
      <c r="Y51" s="71" t="s">
        <v>32</v>
      </c>
      <c r="Z51" s="68"/>
    </row>
    <row r="52" spans="1:26" hidden="1" x14ac:dyDescent="0.25">
      <c r="A52" s="90" t="str">
        <f t="shared" si="5"/>
        <v/>
      </c>
      <c r="C52"/>
      <c r="G52" s="90" t="str">
        <f t="shared" si="0"/>
        <v/>
      </c>
      <c r="H52" s="105"/>
      <c r="I52" s="109"/>
      <c r="Y52" s="70" t="s">
        <v>567</v>
      </c>
      <c r="Z52" s="68">
        <v>1</v>
      </c>
    </row>
    <row r="53" spans="1:26" hidden="1" x14ac:dyDescent="0.25">
      <c r="A53" s="90" t="str">
        <f t="shared" si="5"/>
        <v/>
      </c>
      <c r="C53"/>
      <c r="G53" s="90" t="str">
        <f t="shared" si="0"/>
        <v/>
      </c>
      <c r="H53" s="105"/>
      <c r="I53" s="109"/>
      <c r="K53" t="s">
        <v>669</v>
      </c>
      <c r="Y53" s="70" t="s">
        <v>633</v>
      </c>
      <c r="Z53" s="68">
        <v>1</v>
      </c>
    </row>
    <row r="54" spans="1:26" hidden="1" x14ac:dyDescent="0.25">
      <c r="A54" s="73" t="str">
        <f t="shared" si="5"/>
        <v/>
      </c>
      <c r="C54"/>
      <c r="E54" s="13"/>
      <c r="G54" s="73" t="str">
        <f t="shared" si="0"/>
        <v/>
      </c>
      <c r="H54" s="105"/>
      <c r="I54" s="109"/>
      <c r="M54" s="68"/>
      <c r="Y54" s="71" t="s">
        <v>668</v>
      </c>
      <c r="Z54" s="68">
        <v>2</v>
      </c>
    </row>
    <row r="55" spans="1:26" hidden="1" x14ac:dyDescent="0.25">
      <c r="A55" s="90" t="str">
        <f t="shared" si="5"/>
        <v/>
      </c>
      <c r="C55"/>
      <c r="G55" s="90" t="str">
        <f t="shared" si="0"/>
        <v/>
      </c>
      <c r="H55" s="105"/>
      <c r="I55" s="109"/>
      <c r="M55" s="68"/>
      <c r="Y55" s="69" t="s">
        <v>664</v>
      </c>
      <c r="Z55" s="68">
        <v>3</v>
      </c>
    </row>
    <row r="56" spans="1:26" hidden="1" x14ac:dyDescent="0.25">
      <c r="A56" s="90" t="str">
        <f t="shared" si="5"/>
        <v/>
      </c>
      <c r="C56"/>
      <c r="G56" s="90" t="str">
        <f t="shared" si="0"/>
        <v/>
      </c>
      <c r="H56" s="105"/>
      <c r="I56" s="109"/>
      <c r="K56" s="71"/>
      <c r="L56" s="68"/>
      <c r="M56" s="68"/>
      <c r="Y56" s="69" t="s">
        <v>72</v>
      </c>
      <c r="Z56" s="68"/>
    </row>
    <row r="57" spans="1:26" hidden="1" x14ac:dyDescent="0.25">
      <c r="A57" s="90" t="str">
        <f t="shared" si="5"/>
        <v/>
      </c>
      <c r="C57"/>
      <c r="G57" s="90" t="str">
        <f t="shared" si="0"/>
        <v/>
      </c>
      <c r="H57" s="105"/>
      <c r="I57" s="109"/>
      <c r="K57" s="69"/>
      <c r="L57" s="68"/>
      <c r="Y57" s="71" t="s">
        <v>32</v>
      </c>
      <c r="Z57" s="68"/>
    </row>
    <row r="58" spans="1:26" x14ac:dyDescent="0.25">
      <c r="B58" s="106"/>
      <c r="D58" s="106"/>
      <c r="E58" s="106"/>
      <c r="F58" s="106"/>
      <c r="K58" s="69"/>
      <c r="L58" s="68"/>
      <c r="Y58" s="70" t="s">
        <v>599</v>
      </c>
      <c r="Z58" s="68">
        <v>1</v>
      </c>
    </row>
    <row r="59" spans="1:26" x14ac:dyDescent="0.25">
      <c r="B59" s="106"/>
      <c r="D59" s="106"/>
      <c r="E59" s="106"/>
      <c r="F59" s="106"/>
      <c r="Y59" s="70" t="s">
        <v>603</v>
      </c>
      <c r="Z59" s="68">
        <v>1</v>
      </c>
    </row>
    <row r="60" spans="1:26" x14ac:dyDescent="0.25">
      <c r="Y60" s="71" t="s">
        <v>668</v>
      </c>
      <c r="Z60" s="68">
        <v>2</v>
      </c>
    </row>
    <row r="61" spans="1:26" x14ac:dyDescent="0.25">
      <c r="Y61" s="69" t="s">
        <v>665</v>
      </c>
      <c r="Z61" s="68">
        <v>2</v>
      </c>
    </row>
    <row r="62" spans="1:26" x14ac:dyDescent="0.25">
      <c r="Y62" s="69" t="s">
        <v>31</v>
      </c>
      <c r="Z62" s="68">
        <v>16</v>
      </c>
    </row>
  </sheetData>
  <sheetProtection sort="0" autoFilter="0" pivotTables="0"/>
  <mergeCells count="2">
    <mergeCell ref="AC9:AD9"/>
    <mergeCell ref="T17:W40"/>
  </mergeCells>
  <conditionalFormatting sqref="I2:I57">
    <cfRule type="expression" dxfId="464" priority="16">
      <formula>$C2="Done"</formula>
    </cfRule>
  </conditionalFormatting>
  <conditionalFormatting sqref="C2:C41">
    <cfRule type="expression" dxfId="463" priority="14">
      <formula>C2="Blocked"</formula>
    </cfRule>
    <cfRule type="expression" dxfId="462" priority="15">
      <formula>C2="Done"</formula>
    </cfRule>
  </conditionalFormatting>
  <conditionalFormatting sqref="I2:I57">
    <cfRule type="expression" dxfId="461" priority="13" stopIfTrue="1">
      <formula>IF(C2="Done", IF(I2&lt;&gt;"Y",TRUE,FALSE),FALSE)</formula>
    </cfRule>
  </conditionalFormatting>
  <conditionalFormatting sqref="S2:S4">
    <cfRule type="expression" dxfId="460" priority="12">
      <formula>IF(S2&lt;0.8, TRUE, IF(S2&gt;1.2, TRUE, FALSE))</formula>
    </cfRule>
  </conditionalFormatting>
  <conditionalFormatting sqref="A30:I30">
    <cfRule type="expression" dxfId="459" priority="11">
      <formula>$C30="Blocked"</formula>
    </cfRule>
  </conditionalFormatting>
  <conditionalFormatting sqref="D43:D49">
    <cfRule type="expression" dxfId="458" priority="9">
      <formula>D43="Blocked"</formula>
    </cfRule>
    <cfRule type="expression" dxfId="457" priority="10">
      <formula>D43="Done"</formula>
    </cfRule>
  </conditionalFormatting>
  <conditionalFormatting sqref="C42:C52">
    <cfRule type="expression" dxfId="456" priority="7">
      <formula>C42="Blocked"</formula>
    </cfRule>
    <cfRule type="expression" dxfId="455" priority="8">
      <formula>C42="Done"</formula>
    </cfRule>
  </conditionalFormatting>
  <conditionalFormatting sqref="C53">
    <cfRule type="expression" dxfId="454" priority="5">
      <formula>C53="Blocked"</formula>
    </cfRule>
    <cfRule type="expression" dxfId="453" priority="6">
      <formula>C53="Done"</formula>
    </cfRule>
  </conditionalFormatting>
  <conditionalFormatting sqref="C54:C56">
    <cfRule type="expression" dxfId="452" priority="3">
      <formula>C54="Blocked"</formula>
    </cfRule>
    <cfRule type="expression" dxfId="451" priority="4">
      <formula>C54="Done"</formula>
    </cfRule>
  </conditionalFormatting>
  <conditionalFormatting sqref="C57">
    <cfRule type="expression" dxfId="450" priority="1">
      <formula>C57="Blocked"</formula>
    </cfRule>
    <cfRule type="expression" dxfId="449" priority="2">
      <formula>C57="Done"</formula>
    </cfRule>
  </conditionalFormatting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8" name="Button 1">
              <controlPr defaultSize="0" print="0" autoFill="0" autoPict="0" macro="[0]!ResetAndLock">
                <anchor moveWithCells="1" sizeWithCells="1">
                  <from>
                    <xdr:col>18</xdr:col>
                    <xdr:colOff>952500</xdr:colOff>
                    <xdr:row>8</xdr:row>
                    <xdr:rowOff>9525</xdr:rowOff>
                  </from>
                  <to>
                    <xdr:col>23</xdr:col>
                    <xdr:colOff>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7">
    <tablePart r:id="rId9"/>
    <tablePart r:id="rId10"/>
    <tablePart r:id="rId11"/>
    <tablePart r:id="rId12"/>
    <tablePart r:id="rId13"/>
    <tablePart r:id="rId14"/>
    <tablePart r:id="rId1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/>
  <dimension ref="A1:AD62"/>
  <sheetViews>
    <sheetView topLeftCell="F1" zoomScale="101" zoomScaleNormal="110" workbookViewId="0">
      <selection activeCell="N30" sqref="N30"/>
    </sheetView>
  </sheetViews>
  <sheetFormatPr defaultRowHeight="15" x14ac:dyDescent="0.25"/>
  <cols>
    <col min="2" max="2" width="12.28515625" customWidth="1"/>
    <col min="3" max="3" width="11" style="106" customWidth="1"/>
    <col min="4" max="4" width="77.5703125" bestFit="1" customWidth="1"/>
    <col min="5" max="5" width="8.85546875" customWidth="1"/>
    <col min="6" max="6" width="13.140625" customWidth="1"/>
    <col min="7" max="7" width="9.5703125" customWidth="1"/>
    <col min="8" max="8" width="11.5703125" style="106" customWidth="1"/>
    <col min="9" max="9" width="10.85546875" style="106" customWidth="1"/>
    <col min="10" max="10" width="4.28515625" customWidth="1"/>
    <col min="11" max="11" width="16.7109375" bestFit="1" customWidth="1"/>
    <col min="12" max="13" width="6.42578125" customWidth="1"/>
    <col min="14" max="14" width="11.28515625" customWidth="1"/>
    <col min="15" max="15" width="18.42578125" customWidth="1"/>
    <col min="16" max="16" width="19" customWidth="1"/>
    <col min="17" max="17" width="16.28515625" customWidth="1"/>
    <col min="18" max="18" width="16.5703125" customWidth="1"/>
    <col min="19" max="19" width="14.5703125" customWidth="1"/>
    <col min="20" max="20" width="18.140625" customWidth="1"/>
    <col min="21" max="21" width="1.42578125" customWidth="1"/>
    <col min="22" max="22" width="11" customWidth="1"/>
    <col min="23" max="23" width="10.85546875" customWidth="1"/>
    <col min="24" max="24" width="9.140625" customWidth="1"/>
    <col min="25" max="25" width="78.85546875" customWidth="1"/>
    <col min="26" max="26" width="14.5703125" customWidth="1"/>
    <col min="27" max="27" width="9.140625" customWidth="1"/>
    <col min="28" max="28" width="11.5703125" customWidth="1"/>
    <col min="29" max="31" width="9.140625" customWidth="1"/>
  </cols>
  <sheetData>
    <row r="1" spans="1:30" ht="30.75" customHeight="1" x14ac:dyDescent="0.25">
      <c r="A1" t="s">
        <v>231</v>
      </c>
      <c r="B1" t="s">
        <v>48</v>
      </c>
      <c r="C1" s="106" t="s">
        <v>47</v>
      </c>
      <c r="D1" t="s">
        <v>46</v>
      </c>
      <c r="E1" t="s">
        <v>38</v>
      </c>
      <c r="F1" t="s">
        <v>45</v>
      </c>
      <c r="G1" t="s">
        <v>44</v>
      </c>
      <c r="H1" s="106" t="s">
        <v>43</v>
      </c>
      <c r="I1" s="106" t="s">
        <v>144</v>
      </c>
      <c r="N1" t="s">
        <v>133</v>
      </c>
      <c r="O1" t="s">
        <v>134</v>
      </c>
      <c r="P1" t="s">
        <v>41</v>
      </c>
      <c r="Q1" t="s">
        <v>135</v>
      </c>
      <c r="R1" t="s">
        <v>136</v>
      </c>
      <c r="S1" s="86" t="s">
        <v>143</v>
      </c>
      <c r="T1" s="86" t="s">
        <v>141</v>
      </c>
      <c r="U1" s="80" t="s">
        <v>40</v>
      </c>
      <c r="V1" s="86" t="s">
        <v>142</v>
      </c>
      <c r="W1" s="86" t="s">
        <v>145</v>
      </c>
      <c r="Y1" t="s">
        <v>39</v>
      </c>
      <c r="Z1" t="s">
        <v>666</v>
      </c>
    </row>
    <row r="2" spans="1:30" x14ac:dyDescent="0.25">
      <c r="A2">
        <v>120591</v>
      </c>
      <c r="B2" t="s">
        <v>532</v>
      </c>
      <c r="C2" t="s">
        <v>34</v>
      </c>
      <c r="D2" t="s">
        <v>533</v>
      </c>
      <c r="E2">
        <v>5</v>
      </c>
      <c r="F2" t="s">
        <v>236</v>
      </c>
      <c r="G2" t="str">
        <f t="shared" ref="G2:G33" si="0">MID(B2,4,1)</f>
        <v>A</v>
      </c>
      <c r="H2" s="105"/>
      <c r="I2" s="109" t="s">
        <v>35</v>
      </c>
      <c r="K2" s="72" t="s">
        <v>119</v>
      </c>
      <c r="L2" t="s">
        <v>120</v>
      </c>
      <c r="N2" t="s">
        <v>2</v>
      </c>
      <c r="O2">
        <f>+O10-Table924313845595266[[#This Row],[Blocked]]</f>
        <v>54</v>
      </c>
      <c r="P2">
        <f>IF(ISERR(P10),0,P10)</f>
        <v>4</v>
      </c>
      <c r="Q2">
        <f>IF(ISERR(Q10),0,Q10)</f>
        <v>3</v>
      </c>
      <c r="R2">
        <f>+IF(ISERR(R14),0,R14)</f>
        <v>44</v>
      </c>
      <c r="S2" s="88">
        <f>Table924313845595266[[#This Row],[Completed]]/Table924313845595266[[#This Row],[Committed]]</f>
        <v>0.81481481481481477</v>
      </c>
      <c r="T2" s="83">
        <f>Table924313845595266[[#This Row],[Completed]]/(Table924313845595266[[#This Row],[Added]]+Table924313845595266[[#This Row],[Committed]])</f>
        <v>0.75862068965517238</v>
      </c>
      <c r="V2" s="84" t="str">
        <f>IF(ISERR(O14),0,O14) &amp; "  (" &amp;TEXT(IF(ISERR(O14),0,O14)/Table924313845595266[[#This Row],[Committed]],"#%") &amp; ")"</f>
        <v>40  (74%)</v>
      </c>
      <c r="W2" s="85" t="str">
        <f>+IF(ISERR(P14),0,P14) &amp; " (" &amp; TEXT(R18, "#%") &amp; ")"</f>
        <v>4 (100%)</v>
      </c>
      <c r="Y2" s="69" t="s">
        <v>61</v>
      </c>
      <c r="Z2" s="68"/>
    </row>
    <row r="3" spans="1:30" x14ac:dyDescent="0.25">
      <c r="A3">
        <v>122880</v>
      </c>
      <c r="B3" t="s">
        <v>739</v>
      </c>
      <c r="C3" t="s">
        <v>33</v>
      </c>
      <c r="D3" t="s">
        <v>740</v>
      </c>
      <c r="E3">
        <v>5</v>
      </c>
      <c r="F3" t="s">
        <v>236</v>
      </c>
      <c r="G3" t="str">
        <f t="shared" si="0"/>
        <v>A</v>
      </c>
      <c r="H3" s="105"/>
      <c r="I3" s="109"/>
      <c r="K3" s="69" t="s">
        <v>37</v>
      </c>
      <c r="L3" s="68">
        <v>61</v>
      </c>
      <c r="N3" t="s">
        <v>3</v>
      </c>
      <c r="O3">
        <f>+O11-Table924313845595266[[#This Row],[Blocked]]</f>
        <v>49</v>
      </c>
      <c r="P3">
        <f>IF(ISERR(P11),0,P11)</f>
        <v>3</v>
      </c>
      <c r="Q3">
        <f>IF(ISERR(Q11),0,Q11)</f>
        <v>0</v>
      </c>
      <c r="R3">
        <f>+IF(ISERR(R15),0,R15)</f>
        <v>41</v>
      </c>
      <c r="S3" s="88">
        <f>Table924313845595266[[#This Row],[Completed]]/Table924313845595266[[#This Row],[Committed]]</f>
        <v>0.83673469387755106</v>
      </c>
      <c r="T3" s="83">
        <f>Table924313845595266[[#This Row],[Completed]]/(Table924313845595266[[#This Row],[Added]]+Table924313845595266[[#This Row],[Committed]])</f>
        <v>0.78846153846153844</v>
      </c>
      <c r="V3" s="84" t="str">
        <f>IF(ISERR(O15),0,O15) &amp; "  (" &amp;TEXT(IF(ISERR(O15),0,O15)/Table924313845595266[[#This Row],[Committed]],"#%") &amp; ")"</f>
        <v>38  (78%)</v>
      </c>
      <c r="W3" s="85" t="str">
        <f>+IF(ISERR(P15),0,P15) &amp; " (" &amp; TEXT(R19, "#%") &amp; ")"</f>
        <v>3 (100%)</v>
      </c>
      <c r="Y3" s="71" t="s">
        <v>33</v>
      </c>
      <c r="Z3" s="68"/>
    </row>
    <row r="4" spans="1:30" x14ac:dyDescent="0.25">
      <c r="A4">
        <v>132794</v>
      </c>
      <c r="B4" t="s">
        <v>741</v>
      </c>
      <c r="C4" t="s">
        <v>34</v>
      </c>
      <c r="D4" t="s">
        <v>742</v>
      </c>
      <c r="E4">
        <v>3</v>
      </c>
      <c r="F4" t="s">
        <v>64</v>
      </c>
      <c r="G4" t="str">
        <f t="shared" si="0"/>
        <v>A</v>
      </c>
      <c r="H4" s="105"/>
      <c r="I4" s="109" t="s">
        <v>35</v>
      </c>
      <c r="K4" s="71" t="s">
        <v>32</v>
      </c>
      <c r="L4" s="68">
        <v>7</v>
      </c>
      <c r="N4" t="s">
        <v>303</v>
      </c>
      <c r="O4" s="68">
        <f>SUM(O2:O3)</f>
        <v>103</v>
      </c>
      <c r="P4">
        <f>SUM(P2:P3)</f>
        <v>7</v>
      </c>
      <c r="Q4" s="68">
        <f>SUM(Q2:Q3)</f>
        <v>3</v>
      </c>
      <c r="R4" s="68">
        <f>SUM(R2:R3)</f>
        <v>85</v>
      </c>
      <c r="S4" s="88">
        <f>Table924313845595266[[#This Row],[Completed]]/Table924313845595266[[#This Row],[Committed]]</f>
        <v>0.82524271844660191</v>
      </c>
      <c r="T4" s="83">
        <f>Table924313845595266[[#This Row],[Completed]]/(Table924313845595266[[#This Row],[Added]]+Table924313845595266[[#This Row],[Committed]])</f>
        <v>0.77272727272727271</v>
      </c>
      <c r="V4" s="108" t="str">
        <f>IF(ISERR(SUM(O14:O15)),0,SUM(O14:O15)) &amp;"  ("&amp;TEXT(SUM(O14:O15)/O4,"#%") &amp;")"</f>
        <v>78  (76%)</v>
      </c>
      <c r="W4" s="85" t="str">
        <f>R4-SUM(O14:O15)&amp;" ("&amp;TEXT((R4-SUM(O14:O15))/IF(P4=0,1,P4),"#%")&amp;")"</f>
        <v>7 (100%)</v>
      </c>
      <c r="Y4" s="70" t="s">
        <v>625</v>
      </c>
      <c r="Z4" s="68">
        <v>1</v>
      </c>
    </row>
    <row r="5" spans="1:30" x14ac:dyDescent="0.25">
      <c r="A5">
        <v>139793</v>
      </c>
      <c r="B5" t="s">
        <v>743</v>
      </c>
      <c r="C5" t="s">
        <v>32</v>
      </c>
      <c r="D5" t="s">
        <v>744</v>
      </c>
      <c r="E5">
        <v>5</v>
      </c>
      <c r="F5" t="s">
        <v>236</v>
      </c>
      <c r="G5" t="str">
        <f t="shared" si="0"/>
        <v>A</v>
      </c>
      <c r="H5" s="105"/>
      <c r="I5" s="109"/>
      <c r="K5" s="71" t="s">
        <v>33</v>
      </c>
      <c r="L5" s="68">
        <v>7</v>
      </c>
      <c r="O5" t="s">
        <v>140</v>
      </c>
      <c r="S5" t="s">
        <v>220</v>
      </c>
      <c r="Y5" s="71" t="s">
        <v>667</v>
      </c>
      <c r="Z5" s="68">
        <v>1</v>
      </c>
    </row>
    <row r="6" spans="1:30" x14ac:dyDescent="0.25">
      <c r="A6">
        <v>141394</v>
      </c>
      <c r="B6" t="s">
        <v>632</v>
      </c>
      <c r="C6" t="s">
        <v>135</v>
      </c>
      <c r="D6" t="s">
        <v>633</v>
      </c>
      <c r="E6">
        <v>3</v>
      </c>
      <c r="F6" t="s">
        <v>236</v>
      </c>
      <c r="G6" t="str">
        <f t="shared" si="0"/>
        <v>A</v>
      </c>
      <c r="H6" s="105"/>
      <c r="I6" s="109"/>
      <c r="K6" s="71" t="s">
        <v>34</v>
      </c>
      <c r="L6" s="68">
        <v>44</v>
      </c>
      <c r="Y6" s="71" t="s">
        <v>32</v>
      </c>
      <c r="Z6" s="68"/>
    </row>
    <row r="7" spans="1:30" x14ac:dyDescent="0.25">
      <c r="A7">
        <v>151326</v>
      </c>
      <c r="B7" t="s">
        <v>630</v>
      </c>
      <c r="C7" t="s">
        <v>34</v>
      </c>
      <c r="D7" t="s">
        <v>631</v>
      </c>
      <c r="E7">
        <v>2</v>
      </c>
      <c r="F7" t="s">
        <v>236</v>
      </c>
      <c r="G7" t="str">
        <f t="shared" si="0"/>
        <v>A</v>
      </c>
      <c r="H7" s="105"/>
      <c r="I7" s="109" t="s">
        <v>35</v>
      </c>
      <c r="K7" s="71" t="s">
        <v>135</v>
      </c>
      <c r="L7" s="68">
        <v>3</v>
      </c>
      <c r="Y7" s="70" t="s">
        <v>525</v>
      </c>
      <c r="Z7" s="68">
        <v>1</v>
      </c>
    </row>
    <row r="8" spans="1:30" ht="15.75" thickBot="1" x14ac:dyDescent="0.3">
      <c r="A8">
        <v>156006</v>
      </c>
      <c r="B8" t="s">
        <v>720</v>
      </c>
      <c r="C8" t="s">
        <v>34</v>
      </c>
      <c r="D8" t="s">
        <v>721</v>
      </c>
      <c r="E8">
        <v>3</v>
      </c>
      <c r="F8" t="s">
        <v>236</v>
      </c>
      <c r="G8" t="str">
        <f t="shared" si="0"/>
        <v>A</v>
      </c>
      <c r="H8" s="105"/>
      <c r="I8" s="109" t="s">
        <v>35</v>
      </c>
      <c r="K8" s="69" t="s">
        <v>36</v>
      </c>
      <c r="L8" s="68">
        <v>52</v>
      </c>
      <c r="M8" s="68"/>
      <c r="N8" t="s">
        <v>139</v>
      </c>
      <c r="R8" t="s">
        <v>138</v>
      </c>
      <c r="Y8" s="70" t="s">
        <v>623</v>
      </c>
      <c r="Z8" s="68">
        <v>1</v>
      </c>
    </row>
    <row r="9" spans="1:30" ht="15.75" thickBot="1" x14ac:dyDescent="0.3">
      <c r="A9">
        <v>155862</v>
      </c>
      <c r="B9" t="s">
        <v>737</v>
      </c>
      <c r="C9" t="s">
        <v>34</v>
      </c>
      <c r="D9" t="s">
        <v>745</v>
      </c>
      <c r="E9">
        <v>2</v>
      </c>
      <c r="F9" t="s">
        <v>236</v>
      </c>
      <c r="G9" t="str">
        <f t="shared" si="0"/>
        <v>A</v>
      </c>
      <c r="H9" s="105"/>
      <c r="I9" s="109" t="s">
        <v>35</v>
      </c>
      <c r="K9" s="71" t="s">
        <v>32</v>
      </c>
      <c r="L9" s="68">
        <v>3</v>
      </c>
      <c r="M9" s="68"/>
      <c r="N9" t="s">
        <v>133</v>
      </c>
      <c r="O9" t="s">
        <v>42</v>
      </c>
      <c r="P9" t="s">
        <v>41</v>
      </c>
      <c r="Q9" s="82" t="s">
        <v>135</v>
      </c>
      <c r="R9" t="s">
        <v>128</v>
      </c>
      <c r="Y9" s="71" t="s">
        <v>668</v>
      </c>
      <c r="Z9" s="68">
        <v>2</v>
      </c>
      <c r="AC9" s="195" t="s">
        <v>634</v>
      </c>
      <c r="AD9" s="196"/>
    </row>
    <row r="10" spans="1:30" ht="15.75" thickTop="1" x14ac:dyDescent="0.25">
      <c r="A10">
        <v>155861</v>
      </c>
      <c r="B10" t="s">
        <v>738</v>
      </c>
      <c r="C10" t="s">
        <v>34</v>
      </c>
      <c r="D10" t="s">
        <v>746</v>
      </c>
      <c r="E10">
        <v>2</v>
      </c>
      <c r="F10" t="s">
        <v>236</v>
      </c>
      <c r="G10" t="str">
        <f t="shared" si="0"/>
        <v>A</v>
      </c>
      <c r="H10" s="105"/>
      <c r="I10" s="109" t="s">
        <v>35</v>
      </c>
      <c r="K10" s="71" t="s">
        <v>33</v>
      </c>
      <c r="L10" s="68">
        <v>8</v>
      </c>
      <c r="M10" s="68"/>
      <c r="N10" t="s">
        <v>2</v>
      </c>
      <c r="O10">
        <f>+GETPIVOTDATA("Story Points2",$K$20,"Project","A","Added After",)</f>
        <v>57</v>
      </c>
      <c r="P10">
        <f>IFERROR(AC10,0)</f>
        <v>4</v>
      </c>
      <c r="Q10" s="81">
        <f>IFERROR(AD10,0)</f>
        <v>3</v>
      </c>
      <c r="R10">
        <f t="shared" ref="R10:R11" si="1">+IF(ISERR(P10),0,P10)+IF(ISERR(O10),0,O10)</f>
        <v>61</v>
      </c>
      <c r="V10" s="13"/>
      <c r="W10" s="13"/>
      <c r="Y10" s="69" t="s">
        <v>656</v>
      </c>
      <c r="Z10" s="68">
        <v>3</v>
      </c>
      <c r="AC10" s="121">
        <f>+GETPIVOTDATA("Story Points2",$K$20,"Project","A","Added After","Y")</f>
        <v>4</v>
      </c>
      <c r="AD10" s="122">
        <f>GETPIVOTDATA("Story Points2",$K$2,"Status","Blocked","Project","A")</f>
        <v>3</v>
      </c>
    </row>
    <row r="11" spans="1:30" x14ac:dyDescent="0.25">
      <c r="A11">
        <v>160056</v>
      </c>
      <c r="B11" t="s">
        <v>747</v>
      </c>
      <c r="C11" t="s">
        <v>34</v>
      </c>
      <c r="D11" t="s">
        <v>748</v>
      </c>
      <c r="E11">
        <v>1</v>
      </c>
      <c r="F11" t="s">
        <v>236</v>
      </c>
      <c r="G11" t="str">
        <f t="shared" si="0"/>
        <v>A</v>
      </c>
      <c r="H11" s="105"/>
      <c r="I11" s="109" t="s">
        <v>35</v>
      </c>
      <c r="K11" s="71" t="s">
        <v>34</v>
      </c>
      <c r="L11" s="68">
        <v>41</v>
      </c>
      <c r="M11" s="68"/>
      <c r="N11" t="s">
        <v>3</v>
      </c>
      <c r="O11">
        <f>+GETPIVOTDATA("Story Points2",$K$20,"Project","U","Added After",)</f>
        <v>49</v>
      </c>
      <c r="P11">
        <f>IFERROR(AC11,0)</f>
        <v>3</v>
      </c>
      <c r="Q11" s="81">
        <f>IFERROR(AD11,0)</f>
        <v>0</v>
      </c>
      <c r="R11">
        <f t="shared" si="1"/>
        <v>52</v>
      </c>
      <c r="V11" s="13"/>
      <c r="W11" s="13"/>
      <c r="Y11" s="69" t="s">
        <v>112</v>
      </c>
      <c r="Z11" s="68"/>
      <c r="AC11" s="121">
        <f>+GETPIVOTDATA("Story Points2",$K$20,"Project","U","Added After","Y")</f>
        <v>3</v>
      </c>
      <c r="AD11" s="122" t="e">
        <f>GETPIVOTDATA("Story Points2",$K$2,"Status","Blocked","Project","U")</f>
        <v>#REF!</v>
      </c>
    </row>
    <row r="12" spans="1:30" x14ac:dyDescent="0.25">
      <c r="A12">
        <v>159941</v>
      </c>
      <c r="B12" t="s">
        <v>749</v>
      </c>
      <c r="C12" t="s">
        <v>34</v>
      </c>
      <c r="D12" t="s">
        <v>750</v>
      </c>
      <c r="E12">
        <v>5</v>
      </c>
      <c r="F12" t="s">
        <v>61</v>
      </c>
      <c r="G12" t="str">
        <f t="shared" si="0"/>
        <v>A</v>
      </c>
      <c r="H12" s="105"/>
      <c r="I12" s="109" t="s">
        <v>35</v>
      </c>
      <c r="K12" s="69" t="s">
        <v>735</v>
      </c>
      <c r="L12" s="68"/>
      <c r="M12" s="68"/>
      <c r="V12" s="13"/>
      <c r="W12" s="13"/>
      <c r="Y12" s="71" t="s">
        <v>33</v>
      </c>
      <c r="Z12" s="68"/>
      <c r="AC12" s="121"/>
      <c r="AD12" s="122"/>
    </row>
    <row r="13" spans="1:30" x14ac:dyDescent="0.25">
      <c r="A13">
        <v>152518</v>
      </c>
      <c r="B13" t="s">
        <v>751</v>
      </c>
      <c r="C13" t="s">
        <v>34</v>
      </c>
      <c r="D13" t="s">
        <v>567</v>
      </c>
      <c r="E13">
        <v>2</v>
      </c>
      <c r="F13" t="s">
        <v>236</v>
      </c>
      <c r="G13" t="str">
        <f t="shared" si="0"/>
        <v>A</v>
      </c>
      <c r="H13" s="105"/>
      <c r="I13" s="109" t="s">
        <v>35</v>
      </c>
      <c r="K13" s="71" t="s">
        <v>122</v>
      </c>
      <c r="L13" s="68"/>
      <c r="M13" s="68"/>
      <c r="N13" t="s">
        <v>34</v>
      </c>
      <c r="O13" t="s">
        <v>126</v>
      </c>
      <c r="P13" t="s">
        <v>125</v>
      </c>
      <c r="Q13" s="80" t="s">
        <v>40</v>
      </c>
      <c r="R13" t="s">
        <v>127</v>
      </c>
      <c r="V13" s="13"/>
      <c r="W13" s="13"/>
      <c r="Y13" s="70" t="s">
        <v>579</v>
      </c>
      <c r="Z13" s="68">
        <v>1</v>
      </c>
      <c r="AC13" s="121"/>
      <c r="AD13" s="122"/>
    </row>
    <row r="14" spans="1:30" x14ac:dyDescent="0.25">
      <c r="A14">
        <v>160405</v>
      </c>
      <c r="B14" t="s">
        <v>752</v>
      </c>
      <c r="C14" t="s">
        <v>34</v>
      </c>
      <c r="D14" t="s">
        <v>753</v>
      </c>
      <c r="E14">
        <v>3</v>
      </c>
      <c r="F14" t="s">
        <v>72</v>
      </c>
      <c r="G14" s="90" t="str">
        <f t="shared" si="0"/>
        <v>A</v>
      </c>
      <c r="H14" s="105"/>
      <c r="I14" s="109" t="s">
        <v>35</v>
      </c>
      <c r="K14" s="69" t="s">
        <v>31</v>
      </c>
      <c r="L14" s="68">
        <v>113</v>
      </c>
      <c r="M14" s="68"/>
      <c r="N14" t="s">
        <v>2</v>
      </c>
      <c r="O14">
        <f>IFERROR(AC14,0)</f>
        <v>40</v>
      </c>
      <c r="P14">
        <f>IFERROR(AD14,0)</f>
        <v>4</v>
      </c>
      <c r="R14">
        <f t="shared" ref="R14:R15" si="2">+IF(ISERR(P14),0,P14)+IF(ISERR(O14),0,O14)</f>
        <v>44</v>
      </c>
      <c r="V14" s="13"/>
      <c r="W14" s="13"/>
      <c r="Y14" s="70" t="s">
        <v>585</v>
      </c>
      <c r="Z14" s="68">
        <v>1</v>
      </c>
      <c r="AC14" s="121">
        <f>+GETPIVOTDATA("Story Points2",$K$20,"Status","Done","Project","A","Added After",)</f>
        <v>40</v>
      </c>
      <c r="AD14" s="122">
        <f>+GETPIVOTDATA("Story Points2",$K$20,"Status","Done","Project","A","Added After","Y")</f>
        <v>4</v>
      </c>
    </row>
    <row r="15" spans="1:30" x14ac:dyDescent="0.25">
      <c r="A15">
        <v>160407</v>
      </c>
      <c r="B15" t="s">
        <v>754</v>
      </c>
      <c r="C15" t="s">
        <v>34</v>
      </c>
      <c r="D15" t="s">
        <v>755</v>
      </c>
      <c r="E15">
        <v>3</v>
      </c>
      <c r="F15" t="s">
        <v>72</v>
      </c>
      <c r="G15" s="73" t="str">
        <f t="shared" si="0"/>
        <v>A</v>
      </c>
      <c r="H15" s="105"/>
      <c r="I15" s="109" t="s">
        <v>35</v>
      </c>
      <c r="N15" t="s">
        <v>3</v>
      </c>
      <c r="O15">
        <f>IFERROR(AC15,0)</f>
        <v>38</v>
      </c>
      <c r="P15">
        <f>IFERROR(AD15,0)</f>
        <v>3</v>
      </c>
      <c r="R15">
        <f t="shared" si="2"/>
        <v>41</v>
      </c>
      <c r="V15" s="13"/>
      <c r="W15" s="13"/>
      <c r="Y15" s="71" t="s">
        <v>667</v>
      </c>
      <c r="Z15" s="68">
        <v>2</v>
      </c>
      <c r="AC15" s="121">
        <f>+GETPIVOTDATA("Story Points2",$K$20,"Status","Done","Project","U","Added After",)</f>
        <v>38</v>
      </c>
      <c r="AD15" s="122">
        <f>+GETPIVOTDATA("Story Points2",$K$20,"Status","Done","Project","U","Added After","Y")</f>
        <v>3</v>
      </c>
    </row>
    <row r="16" spans="1:30" x14ac:dyDescent="0.25">
      <c r="A16">
        <v>160410</v>
      </c>
      <c r="B16" t="s">
        <v>756</v>
      </c>
      <c r="C16" t="s">
        <v>34</v>
      </c>
      <c r="D16" t="s">
        <v>757</v>
      </c>
      <c r="E16">
        <v>3</v>
      </c>
      <c r="F16" t="s">
        <v>72</v>
      </c>
      <c r="G16" s="73" t="str">
        <f t="shared" si="0"/>
        <v>A</v>
      </c>
      <c r="H16" s="105"/>
      <c r="I16" s="109" t="s">
        <v>35</v>
      </c>
      <c r="Y16" s="69" t="s">
        <v>657</v>
      </c>
      <c r="Z16" s="68">
        <v>2</v>
      </c>
      <c r="AC16" s="121"/>
      <c r="AD16" s="122"/>
    </row>
    <row r="17" spans="1:30" x14ac:dyDescent="0.25">
      <c r="A17">
        <v>160435</v>
      </c>
      <c r="B17" t="s">
        <v>758</v>
      </c>
      <c r="C17" t="s">
        <v>34</v>
      </c>
      <c r="D17" t="s">
        <v>759</v>
      </c>
      <c r="E17">
        <v>3</v>
      </c>
      <c r="F17" t="s">
        <v>58</v>
      </c>
      <c r="G17" s="90" t="str">
        <f t="shared" si="0"/>
        <v>A</v>
      </c>
      <c r="H17" s="105"/>
      <c r="I17" s="109" t="s">
        <v>35</v>
      </c>
      <c r="N17" t="s">
        <v>34</v>
      </c>
      <c r="O17" t="s">
        <v>123</v>
      </c>
      <c r="P17" t="s">
        <v>124</v>
      </c>
      <c r="Q17" t="s">
        <v>126</v>
      </c>
      <c r="R17" t="s">
        <v>125</v>
      </c>
      <c r="Y17" s="69" t="s">
        <v>64</v>
      </c>
      <c r="Z17" s="68"/>
      <c r="AC17" s="121"/>
      <c r="AD17" s="122"/>
    </row>
    <row r="18" spans="1:30" x14ac:dyDescent="0.25">
      <c r="A18">
        <v>160436</v>
      </c>
      <c r="B18" t="s">
        <v>760</v>
      </c>
      <c r="C18" t="s">
        <v>34</v>
      </c>
      <c r="D18" t="s">
        <v>761</v>
      </c>
      <c r="E18">
        <v>3</v>
      </c>
      <c r="F18" t="s">
        <v>58</v>
      </c>
      <c r="G18" s="90" t="str">
        <f t="shared" si="0"/>
        <v>A</v>
      </c>
      <c r="H18" s="105"/>
      <c r="I18" s="109" t="s">
        <v>35</v>
      </c>
      <c r="N18" t="s">
        <v>2</v>
      </c>
      <c r="O18" s="64">
        <f>+R14/O10</f>
        <v>0.77192982456140347</v>
      </c>
      <c r="P18" s="64">
        <f t="shared" ref="P18:P19" si="3">+R14/R10</f>
        <v>0.72131147540983609</v>
      </c>
      <c r="Q18" s="64">
        <f>+O14/IF(ISERR(O10),1,O10)</f>
        <v>0.70175438596491224</v>
      </c>
      <c r="R18" s="64">
        <f>+P14/IF(ISERR(AC10),1,P10)</f>
        <v>1</v>
      </c>
      <c r="Y18" s="71" t="s">
        <v>33</v>
      </c>
      <c r="Z18" s="68"/>
      <c r="AC18" s="121"/>
      <c r="AD18" s="122"/>
    </row>
    <row r="19" spans="1:30" x14ac:dyDescent="0.25">
      <c r="A19">
        <v>161214</v>
      </c>
      <c r="B19" t="s">
        <v>762</v>
      </c>
      <c r="C19" t="s">
        <v>34</v>
      </c>
      <c r="D19" t="s">
        <v>763</v>
      </c>
      <c r="E19">
        <v>1</v>
      </c>
      <c r="F19" t="s">
        <v>236</v>
      </c>
      <c r="G19" s="90" t="str">
        <f t="shared" si="0"/>
        <v>A</v>
      </c>
      <c r="H19" s="105" t="s">
        <v>35</v>
      </c>
      <c r="I19" s="109" t="s">
        <v>35</v>
      </c>
      <c r="M19" s="68"/>
      <c r="N19" t="s">
        <v>3</v>
      </c>
      <c r="O19" s="64">
        <f>+R15/O11</f>
        <v>0.83673469387755106</v>
      </c>
      <c r="P19" s="64">
        <f t="shared" si="3"/>
        <v>0.78846153846153844</v>
      </c>
      <c r="Q19" s="64">
        <f>+O15/IF(ISERR(O11),1,O11)</f>
        <v>0.77551020408163263</v>
      </c>
      <c r="R19" s="64">
        <f>+P15/IF(ISERR(AC11),1,P11)</f>
        <v>1</v>
      </c>
      <c r="Y19" s="70" t="s">
        <v>648</v>
      </c>
      <c r="Z19" s="68">
        <v>1</v>
      </c>
      <c r="AC19" s="121"/>
      <c r="AD19" s="122"/>
    </row>
    <row r="20" spans="1:30" x14ac:dyDescent="0.25">
      <c r="A20">
        <v>161215</v>
      </c>
      <c r="B20" t="s">
        <v>764</v>
      </c>
      <c r="C20" t="s">
        <v>34</v>
      </c>
      <c r="D20" t="s">
        <v>765</v>
      </c>
      <c r="E20">
        <v>1</v>
      </c>
      <c r="F20" t="s">
        <v>236</v>
      </c>
      <c r="G20" s="73" t="str">
        <f t="shared" si="0"/>
        <v>A</v>
      </c>
      <c r="H20" s="105" t="s">
        <v>35</v>
      </c>
      <c r="I20" s="109" t="s">
        <v>35</v>
      </c>
      <c r="K20" s="72" t="s">
        <v>396</v>
      </c>
      <c r="L20" t="s">
        <v>120</v>
      </c>
      <c r="M20" s="68"/>
      <c r="Y20" s="71" t="s">
        <v>667</v>
      </c>
      <c r="Z20" s="68">
        <v>1</v>
      </c>
      <c r="AC20" s="121"/>
      <c r="AD20" s="122"/>
    </row>
    <row r="21" spans="1:30" x14ac:dyDescent="0.25">
      <c r="A21">
        <v>162153</v>
      </c>
      <c r="B21" t="s">
        <v>766</v>
      </c>
      <c r="C21" t="s">
        <v>34</v>
      </c>
      <c r="D21" t="s">
        <v>767</v>
      </c>
      <c r="E21">
        <v>1</v>
      </c>
      <c r="F21" t="s">
        <v>72</v>
      </c>
      <c r="G21" t="str">
        <f t="shared" si="0"/>
        <v>A</v>
      </c>
      <c r="H21" s="105" t="s">
        <v>35</v>
      </c>
      <c r="I21" s="109" t="s">
        <v>35</v>
      </c>
      <c r="K21" s="69" t="s">
        <v>122</v>
      </c>
      <c r="L21" s="68">
        <v>106</v>
      </c>
      <c r="M21" s="68"/>
      <c r="N21" t="s">
        <v>49</v>
      </c>
      <c r="O21" t="s">
        <v>126</v>
      </c>
      <c r="P21" t="s">
        <v>125</v>
      </c>
      <c r="Q21" s="80" t="s">
        <v>239</v>
      </c>
      <c r="R21" t="s">
        <v>129</v>
      </c>
      <c r="Y21" s="69" t="s">
        <v>658</v>
      </c>
      <c r="Z21" s="68">
        <v>1</v>
      </c>
      <c r="AC21" s="121"/>
      <c r="AD21" s="122"/>
    </row>
    <row r="22" spans="1:30" x14ac:dyDescent="0.25">
      <c r="A22">
        <v>162632</v>
      </c>
      <c r="B22" t="s">
        <v>768</v>
      </c>
      <c r="C22" t="s">
        <v>34</v>
      </c>
      <c r="D22" t="s">
        <v>769</v>
      </c>
      <c r="E22">
        <v>1</v>
      </c>
      <c r="F22" t="s">
        <v>236</v>
      </c>
      <c r="G22" t="str">
        <f t="shared" si="0"/>
        <v>A</v>
      </c>
      <c r="H22" s="105" t="s">
        <v>35</v>
      </c>
      <c r="I22" s="109" t="s">
        <v>35</v>
      </c>
      <c r="K22" s="71" t="s">
        <v>37</v>
      </c>
      <c r="L22" s="68">
        <v>57</v>
      </c>
      <c r="M22" s="68"/>
      <c r="N22" t="s">
        <v>2</v>
      </c>
      <c r="O22">
        <f>IFERROR(AC22,0)</f>
        <v>40</v>
      </c>
      <c r="P22">
        <f>IFERROR(AD22,0)</f>
        <v>4</v>
      </c>
      <c r="Q22">
        <f>+O10-Q10-Table722293643575064[[#This Row],[Committed Done]]</f>
        <v>14</v>
      </c>
      <c r="R22">
        <f>+Table722293643575064[[#This Row],[Committed Done]]+Table722293643575064[[#This Row],[Added Done]]</f>
        <v>44</v>
      </c>
      <c r="Y22" s="69" t="s">
        <v>92</v>
      </c>
      <c r="Z22" s="68"/>
      <c r="AC22" s="121">
        <f>+GETPIVOTDATA("Story Points",$N$32,"Project","A","Added After",)</f>
        <v>40</v>
      </c>
      <c r="AD22" s="122">
        <f>+GETPIVOTDATA("Story Points",$N$32,"Project","A","Added After","Y")</f>
        <v>4</v>
      </c>
    </row>
    <row r="23" spans="1:30" ht="15.75" thickBot="1" x14ac:dyDescent="0.3">
      <c r="A23">
        <v>164228</v>
      </c>
      <c r="B23" t="s">
        <v>770</v>
      </c>
      <c r="C23" t="s">
        <v>32</v>
      </c>
      <c r="D23" t="s">
        <v>771</v>
      </c>
      <c r="E23">
        <v>2</v>
      </c>
      <c r="F23" t="s">
        <v>236</v>
      </c>
      <c r="G23" s="73" t="str">
        <f t="shared" si="0"/>
        <v>A</v>
      </c>
      <c r="H23" s="105"/>
      <c r="I23" s="109"/>
      <c r="K23" s="70" t="s">
        <v>32</v>
      </c>
      <c r="L23" s="68">
        <v>7</v>
      </c>
      <c r="M23" s="68"/>
      <c r="N23" t="s">
        <v>3</v>
      </c>
      <c r="O23">
        <f>IFERROR(AC23,0)</f>
        <v>38</v>
      </c>
      <c r="P23">
        <f>IFERROR(AD23,0)</f>
        <v>3</v>
      </c>
      <c r="Q23">
        <f>+O11-Q11-Table722293643575064[[#This Row],[Committed Done]]</f>
        <v>11</v>
      </c>
      <c r="R23">
        <f>+Table722293643575064[[#This Row],[Committed Done]]+Table722293643575064[[#This Row],[Added Done]]</f>
        <v>41</v>
      </c>
      <c r="Y23" s="71" t="s">
        <v>32</v>
      </c>
      <c r="Z23" s="68"/>
      <c r="AC23" s="123">
        <f>+GETPIVOTDATA("Story Points",$N$32,"Project","U","Added After",)</f>
        <v>38</v>
      </c>
      <c r="AD23" s="124">
        <f>+GETPIVOTDATA("Story Points",$N$32,"Project","U","Added After","Y")</f>
        <v>3</v>
      </c>
    </row>
    <row r="24" spans="1:30" x14ac:dyDescent="0.25">
      <c r="A24">
        <v>164229</v>
      </c>
      <c r="B24" t="s">
        <v>772</v>
      </c>
      <c r="C24" t="s">
        <v>33</v>
      </c>
      <c r="D24" t="s">
        <v>773</v>
      </c>
      <c r="E24">
        <v>2</v>
      </c>
      <c r="F24" t="s">
        <v>236</v>
      </c>
      <c r="G24" s="73" t="str">
        <f t="shared" si="0"/>
        <v>A</v>
      </c>
      <c r="H24" s="105"/>
      <c r="I24" s="109"/>
      <c r="K24" s="70" t="s">
        <v>33</v>
      </c>
      <c r="L24" s="68">
        <v>7</v>
      </c>
      <c r="M24" s="68"/>
      <c r="Y24" s="70" t="s">
        <v>601</v>
      </c>
      <c r="Z24" s="68">
        <v>1</v>
      </c>
    </row>
    <row r="25" spans="1:30" x14ac:dyDescent="0.25">
      <c r="A25">
        <v>117764</v>
      </c>
      <c r="B25" t="s">
        <v>774</v>
      </c>
      <c r="C25" t="s">
        <v>34</v>
      </c>
      <c r="D25" t="s">
        <v>775</v>
      </c>
      <c r="E25">
        <v>3</v>
      </c>
      <c r="F25" t="s">
        <v>112</v>
      </c>
      <c r="G25" s="73" t="str">
        <f t="shared" si="0"/>
        <v>U</v>
      </c>
      <c r="H25" s="105"/>
      <c r="I25" s="109" t="s">
        <v>35</v>
      </c>
      <c r="K25" s="70" t="s">
        <v>34</v>
      </c>
      <c r="L25" s="68">
        <v>40</v>
      </c>
      <c r="M25" s="68"/>
      <c r="N25" t="s">
        <v>49</v>
      </c>
      <c r="O25" t="s">
        <v>123</v>
      </c>
      <c r="P25" t="s">
        <v>124</v>
      </c>
      <c r="Q25" t="s">
        <v>126</v>
      </c>
      <c r="R25" t="s">
        <v>130</v>
      </c>
      <c r="Y25" s="71" t="s">
        <v>668</v>
      </c>
      <c r="Z25" s="68">
        <v>1</v>
      </c>
    </row>
    <row r="26" spans="1:30" x14ac:dyDescent="0.25">
      <c r="A26">
        <v>139970</v>
      </c>
      <c r="B26" t="s">
        <v>337</v>
      </c>
      <c r="C26" t="s">
        <v>34</v>
      </c>
      <c r="D26" t="s">
        <v>338</v>
      </c>
      <c r="E26">
        <v>3</v>
      </c>
      <c r="F26" t="s">
        <v>112</v>
      </c>
      <c r="G26" s="73" t="str">
        <f t="shared" si="0"/>
        <v>U</v>
      </c>
      <c r="H26" s="105"/>
      <c r="I26" s="109" t="s">
        <v>35</v>
      </c>
      <c r="K26" s="70" t="s">
        <v>135</v>
      </c>
      <c r="L26" s="68">
        <v>3</v>
      </c>
      <c r="N26" t="s">
        <v>2</v>
      </c>
      <c r="O26" s="64">
        <f>R22/IF(O10=0, 1,O10)</f>
        <v>0.77192982456140347</v>
      </c>
      <c r="P26" s="64">
        <f>R22/IF(R10=0,1,R10)</f>
        <v>0.72131147540983609</v>
      </c>
      <c r="Q26" s="64">
        <f>O22/IF(O10=0,1,O10)</f>
        <v>0.70175438596491224</v>
      </c>
      <c r="R26" s="64">
        <f>+P22/IF(P10=0,1,P10)</f>
        <v>1</v>
      </c>
      <c r="Y26" s="69" t="s">
        <v>659</v>
      </c>
      <c r="Z26" s="68">
        <v>1</v>
      </c>
    </row>
    <row r="27" spans="1:30" x14ac:dyDescent="0.25">
      <c r="A27">
        <v>146625</v>
      </c>
      <c r="B27" t="s">
        <v>776</v>
      </c>
      <c r="C27" t="s">
        <v>34</v>
      </c>
      <c r="D27" t="s">
        <v>777</v>
      </c>
      <c r="E27">
        <v>1</v>
      </c>
      <c r="F27" t="s">
        <v>235</v>
      </c>
      <c r="G27" s="73" t="str">
        <f t="shared" si="0"/>
        <v>U</v>
      </c>
      <c r="H27" s="105"/>
      <c r="I27" s="109" t="s">
        <v>35</v>
      </c>
      <c r="K27" s="71" t="s">
        <v>36</v>
      </c>
      <c r="L27" s="68">
        <v>49</v>
      </c>
      <c r="M27" s="68"/>
      <c r="N27" t="s">
        <v>3</v>
      </c>
      <c r="O27" s="64">
        <f>R23/IF(O11=0, 1,O11)</f>
        <v>0.83673469387755106</v>
      </c>
      <c r="P27" s="64">
        <f>R23/IF(R11=0,1,R11)</f>
        <v>0.78846153846153844</v>
      </c>
      <c r="Q27" s="64">
        <f>O23/IF(O11=0,1,O11)</f>
        <v>0.77551020408163263</v>
      </c>
      <c r="R27" s="64">
        <f>+P23/IF(P11=0,1,P11)</f>
        <v>1</v>
      </c>
      <c r="Y27" s="69" t="s">
        <v>58</v>
      </c>
      <c r="Z27" s="68"/>
    </row>
    <row r="28" spans="1:30" x14ac:dyDescent="0.25">
      <c r="A28">
        <v>152284</v>
      </c>
      <c r="B28" t="s">
        <v>584</v>
      </c>
      <c r="C28" t="s">
        <v>34</v>
      </c>
      <c r="D28" t="s">
        <v>585</v>
      </c>
      <c r="E28">
        <v>2</v>
      </c>
      <c r="F28" t="s">
        <v>112</v>
      </c>
      <c r="G28" s="73" t="str">
        <f t="shared" si="0"/>
        <v>U</v>
      </c>
      <c r="H28" s="105"/>
      <c r="I28" s="109" t="s">
        <v>35</v>
      </c>
      <c r="K28" s="70" t="s">
        <v>32</v>
      </c>
      <c r="L28" s="68">
        <v>3</v>
      </c>
      <c r="M28" s="68"/>
      <c r="Y28" s="71" t="s">
        <v>32</v>
      </c>
      <c r="Z28" s="68"/>
    </row>
    <row r="29" spans="1:30" x14ac:dyDescent="0.25">
      <c r="A29">
        <v>152289</v>
      </c>
      <c r="B29" t="s">
        <v>578</v>
      </c>
      <c r="C29" t="s">
        <v>34</v>
      </c>
      <c r="D29" t="s">
        <v>579</v>
      </c>
      <c r="E29">
        <v>2</v>
      </c>
      <c r="F29" t="s">
        <v>112</v>
      </c>
      <c r="G29" s="73" t="str">
        <f t="shared" si="0"/>
        <v>U</v>
      </c>
      <c r="H29" s="105"/>
      <c r="I29" s="109" t="s">
        <v>35</v>
      </c>
      <c r="K29" s="70" t="s">
        <v>33</v>
      </c>
      <c r="L29" s="68">
        <v>8</v>
      </c>
      <c r="M29" s="68"/>
      <c r="Y29" s="70" t="s">
        <v>631</v>
      </c>
      <c r="Z29" s="68">
        <v>1</v>
      </c>
    </row>
    <row r="30" spans="1:30" x14ac:dyDescent="0.25">
      <c r="A30">
        <v>154099</v>
      </c>
      <c r="B30" t="s">
        <v>704</v>
      </c>
      <c r="C30" t="s">
        <v>34</v>
      </c>
      <c r="D30" t="s">
        <v>705</v>
      </c>
      <c r="E30">
        <v>1</v>
      </c>
      <c r="F30" t="s">
        <v>81</v>
      </c>
      <c r="G30" t="str">
        <f t="shared" si="0"/>
        <v>U</v>
      </c>
      <c r="H30" s="105"/>
      <c r="I30" s="109" t="s">
        <v>35</v>
      </c>
      <c r="K30" s="70" t="s">
        <v>34</v>
      </c>
      <c r="L30" s="68">
        <v>38</v>
      </c>
      <c r="M30" s="68"/>
      <c r="N30" s="72" t="s">
        <v>144</v>
      </c>
      <c r="O30" s="160" t="s">
        <v>35</v>
      </c>
      <c r="Y30" s="71" t="s">
        <v>668</v>
      </c>
      <c r="Z30" s="68">
        <v>1</v>
      </c>
    </row>
    <row r="31" spans="1:30" x14ac:dyDescent="0.25">
      <c r="A31">
        <v>153271</v>
      </c>
      <c r="B31" t="s">
        <v>700</v>
      </c>
      <c r="C31" t="s">
        <v>34</v>
      </c>
      <c r="D31" t="s">
        <v>701</v>
      </c>
      <c r="E31">
        <v>3</v>
      </c>
      <c r="F31" t="s">
        <v>805</v>
      </c>
      <c r="G31" t="str">
        <f t="shared" si="0"/>
        <v>U</v>
      </c>
      <c r="H31" s="105"/>
      <c r="I31" s="109" t="s">
        <v>35</v>
      </c>
      <c r="K31" s="71" t="s">
        <v>735</v>
      </c>
      <c r="L31" s="68"/>
      <c r="M31" s="68"/>
      <c r="Y31" s="69" t="s">
        <v>660</v>
      </c>
      <c r="Z31" s="68">
        <v>1</v>
      </c>
    </row>
    <row r="32" spans="1:30" x14ac:dyDescent="0.25">
      <c r="A32">
        <v>159695</v>
      </c>
      <c r="B32" t="s">
        <v>778</v>
      </c>
      <c r="C32" t="s">
        <v>34</v>
      </c>
      <c r="D32" t="s">
        <v>779</v>
      </c>
      <c r="E32">
        <v>3</v>
      </c>
      <c r="F32" t="s">
        <v>92</v>
      </c>
      <c r="G32" t="str">
        <f t="shared" si="0"/>
        <v>U</v>
      </c>
      <c r="H32" s="105"/>
      <c r="I32" s="109" t="s">
        <v>35</v>
      </c>
      <c r="K32" s="70" t="s">
        <v>122</v>
      </c>
      <c r="L32" s="68"/>
      <c r="N32" s="72" t="s">
        <v>655</v>
      </c>
      <c r="O32" t="s">
        <v>50</v>
      </c>
      <c r="Y32" s="69" t="s">
        <v>235</v>
      </c>
      <c r="Z32" s="68"/>
    </row>
    <row r="33" spans="1:26" x14ac:dyDescent="0.25">
      <c r="A33">
        <v>159870</v>
      </c>
      <c r="B33" t="s">
        <v>780</v>
      </c>
      <c r="C33" t="s">
        <v>33</v>
      </c>
      <c r="D33" t="s">
        <v>781</v>
      </c>
      <c r="E33">
        <v>3</v>
      </c>
      <c r="F33" t="s">
        <v>92</v>
      </c>
      <c r="G33" t="str">
        <f t="shared" si="0"/>
        <v>U</v>
      </c>
      <c r="H33" s="105"/>
      <c r="I33" s="109"/>
      <c r="K33" s="69" t="s">
        <v>35</v>
      </c>
      <c r="L33" s="68">
        <v>7</v>
      </c>
      <c r="N33" s="69" t="s">
        <v>37</v>
      </c>
      <c r="O33" s="68"/>
      <c r="Y33" s="71" t="s">
        <v>33</v>
      </c>
      <c r="Z33" s="68"/>
    </row>
    <row r="34" spans="1:26" x14ac:dyDescent="0.25">
      <c r="A34">
        <v>159871</v>
      </c>
      <c r="B34" t="s">
        <v>782</v>
      </c>
      <c r="C34" t="s">
        <v>34</v>
      </c>
      <c r="D34" t="s">
        <v>783</v>
      </c>
      <c r="E34">
        <v>2</v>
      </c>
      <c r="F34" t="s">
        <v>235</v>
      </c>
      <c r="G34" s="90" t="str">
        <f t="shared" ref="G34:G57" si="4">MID(B34,4,1)</f>
        <v>U</v>
      </c>
      <c r="H34" s="105"/>
      <c r="I34" s="109" t="s">
        <v>35</v>
      </c>
      <c r="K34" s="71" t="s">
        <v>37</v>
      </c>
      <c r="L34" s="68">
        <v>4</v>
      </c>
      <c r="N34" s="71" t="s">
        <v>122</v>
      </c>
      <c r="O34" s="68">
        <v>40</v>
      </c>
      <c r="Y34" s="70" t="s">
        <v>581</v>
      </c>
      <c r="Z34" s="68">
        <v>1</v>
      </c>
    </row>
    <row r="35" spans="1:26" x14ac:dyDescent="0.25">
      <c r="A35">
        <v>159872</v>
      </c>
      <c r="B35" t="s">
        <v>784</v>
      </c>
      <c r="C35" t="s">
        <v>34</v>
      </c>
      <c r="D35" t="s">
        <v>785</v>
      </c>
      <c r="E35">
        <v>1</v>
      </c>
      <c r="F35" t="s">
        <v>235</v>
      </c>
      <c r="G35" t="str">
        <f t="shared" si="4"/>
        <v>U</v>
      </c>
      <c r="I35" s="109" t="s">
        <v>35</v>
      </c>
      <c r="K35" s="70" t="s">
        <v>34</v>
      </c>
      <c r="L35" s="68">
        <v>4</v>
      </c>
      <c r="N35" s="71" t="s">
        <v>35</v>
      </c>
      <c r="O35" s="68">
        <v>4</v>
      </c>
      <c r="Y35" s="71" t="s">
        <v>667</v>
      </c>
      <c r="Z35" s="68">
        <v>1</v>
      </c>
    </row>
    <row r="36" spans="1:26" x14ac:dyDescent="0.25">
      <c r="A36">
        <v>159874</v>
      </c>
      <c r="B36" t="s">
        <v>786</v>
      </c>
      <c r="C36" t="s">
        <v>34</v>
      </c>
      <c r="D36" t="s">
        <v>787</v>
      </c>
      <c r="E36">
        <v>5</v>
      </c>
      <c r="F36" t="s">
        <v>235</v>
      </c>
      <c r="G36" s="90" t="str">
        <f t="shared" si="4"/>
        <v>U</v>
      </c>
      <c r="H36" s="105"/>
      <c r="I36" s="109" t="s">
        <v>35</v>
      </c>
      <c r="K36" s="71" t="s">
        <v>36</v>
      </c>
      <c r="L36" s="68">
        <v>3</v>
      </c>
      <c r="N36" s="69" t="s">
        <v>131</v>
      </c>
      <c r="O36" s="68">
        <v>44</v>
      </c>
      <c r="Y36" s="69" t="s">
        <v>661</v>
      </c>
      <c r="Z36" s="68">
        <v>1</v>
      </c>
    </row>
    <row r="37" spans="1:26" x14ac:dyDescent="0.25">
      <c r="A37">
        <v>159875</v>
      </c>
      <c r="B37" t="s">
        <v>788</v>
      </c>
      <c r="C37" t="s">
        <v>33</v>
      </c>
      <c r="D37" t="s">
        <v>789</v>
      </c>
      <c r="E37">
        <v>3</v>
      </c>
      <c r="F37" t="s">
        <v>89</v>
      </c>
      <c r="G37" t="str">
        <f t="shared" si="4"/>
        <v>U</v>
      </c>
      <c r="H37" s="105"/>
      <c r="I37" s="109"/>
      <c r="K37" s="70" t="s">
        <v>34</v>
      </c>
      <c r="L37" s="68">
        <v>3</v>
      </c>
      <c r="N37" s="69" t="s">
        <v>36</v>
      </c>
      <c r="O37" s="68"/>
      <c r="Y37" s="69" t="s">
        <v>89</v>
      </c>
      <c r="Z37" s="68"/>
    </row>
    <row r="38" spans="1:26" x14ac:dyDescent="0.25">
      <c r="A38">
        <v>159879</v>
      </c>
      <c r="B38" t="s">
        <v>790</v>
      </c>
      <c r="C38" t="s">
        <v>32</v>
      </c>
      <c r="D38" t="s">
        <v>791</v>
      </c>
      <c r="E38">
        <v>3</v>
      </c>
      <c r="F38" t="s">
        <v>89</v>
      </c>
      <c r="G38" t="str">
        <f t="shared" si="4"/>
        <v>U</v>
      </c>
      <c r="H38" s="105"/>
      <c r="I38" s="109"/>
      <c r="K38" s="69" t="s">
        <v>31</v>
      </c>
      <c r="L38" s="68">
        <v>113</v>
      </c>
      <c r="N38" s="71" t="s">
        <v>122</v>
      </c>
      <c r="O38" s="68">
        <v>38</v>
      </c>
      <c r="Y38" s="71" t="s">
        <v>33</v>
      </c>
      <c r="Z38" s="68"/>
    </row>
    <row r="39" spans="1:26" x14ac:dyDescent="0.25">
      <c r="A39">
        <v>159881</v>
      </c>
      <c r="B39" t="s">
        <v>792</v>
      </c>
      <c r="C39" t="s">
        <v>34</v>
      </c>
      <c r="D39" t="s">
        <v>793</v>
      </c>
      <c r="E39">
        <v>1</v>
      </c>
      <c r="F39" t="s">
        <v>81</v>
      </c>
      <c r="G39" s="90" t="str">
        <f t="shared" si="4"/>
        <v>U</v>
      </c>
      <c r="H39" s="105"/>
      <c r="I39" s="109" t="s">
        <v>35</v>
      </c>
      <c r="M39" s="68"/>
      <c r="N39" s="71" t="s">
        <v>35</v>
      </c>
      <c r="O39" s="68">
        <v>3</v>
      </c>
      <c r="Y39" s="70" t="s">
        <v>597</v>
      </c>
      <c r="Z39" s="68">
        <v>1</v>
      </c>
    </row>
    <row r="40" spans="1:26" x14ac:dyDescent="0.25">
      <c r="A40">
        <v>160129</v>
      </c>
      <c r="B40" t="s">
        <v>794</v>
      </c>
      <c r="C40" t="s">
        <v>34</v>
      </c>
      <c r="D40" t="s">
        <v>693</v>
      </c>
      <c r="E40">
        <v>2</v>
      </c>
      <c r="F40" t="s">
        <v>84</v>
      </c>
      <c r="G40" t="str">
        <f t="shared" si="4"/>
        <v>U</v>
      </c>
      <c r="H40" s="105"/>
      <c r="I40" s="109" t="s">
        <v>35</v>
      </c>
      <c r="M40" s="68"/>
      <c r="N40" s="69" t="s">
        <v>132</v>
      </c>
      <c r="O40" s="68">
        <v>41</v>
      </c>
      <c r="Y40" s="71" t="s">
        <v>667</v>
      </c>
      <c r="Z40" s="68">
        <v>1</v>
      </c>
    </row>
    <row r="41" spans="1:26" x14ac:dyDescent="0.25">
      <c r="A41">
        <v>160130</v>
      </c>
      <c r="B41" t="s">
        <v>795</v>
      </c>
      <c r="C41" t="s">
        <v>34</v>
      </c>
      <c r="D41" t="s">
        <v>796</v>
      </c>
      <c r="E41">
        <v>2</v>
      </c>
      <c r="F41" t="s">
        <v>84</v>
      </c>
      <c r="G41" s="90" t="str">
        <f t="shared" si="4"/>
        <v>U</v>
      </c>
      <c r="H41" s="105"/>
      <c r="I41" s="109" t="s">
        <v>35</v>
      </c>
      <c r="M41" s="68"/>
      <c r="N41" s="69" t="s">
        <v>31</v>
      </c>
      <c r="O41" s="68">
        <v>85</v>
      </c>
      <c r="Y41" s="69" t="s">
        <v>662</v>
      </c>
      <c r="Z41" s="68">
        <v>1</v>
      </c>
    </row>
    <row r="42" spans="1:26" x14ac:dyDescent="0.25">
      <c r="A42">
        <v>160132</v>
      </c>
      <c r="B42" t="s">
        <v>797</v>
      </c>
      <c r="C42" t="s">
        <v>33</v>
      </c>
      <c r="D42" t="s">
        <v>798</v>
      </c>
      <c r="E42">
        <v>2</v>
      </c>
      <c r="F42" t="s">
        <v>84</v>
      </c>
      <c r="G42" t="str">
        <f t="shared" si="4"/>
        <v>U</v>
      </c>
      <c r="H42" s="105"/>
      <c r="I42" s="109"/>
      <c r="M42" s="68"/>
      <c r="Y42" s="69" t="s">
        <v>81</v>
      </c>
      <c r="Z42" s="68"/>
    </row>
    <row r="43" spans="1:26" x14ac:dyDescent="0.25">
      <c r="A43">
        <v>160096</v>
      </c>
      <c r="B43" t="s">
        <v>799</v>
      </c>
      <c r="C43" t="s">
        <v>34</v>
      </c>
      <c r="D43" t="s">
        <v>689</v>
      </c>
      <c r="E43">
        <v>3</v>
      </c>
      <c r="F43" t="s">
        <v>112</v>
      </c>
      <c r="G43" t="str">
        <f t="shared" si="4"/>
        <v>U</v>
      </c>
      <c r="H43" s="105"/>
      <c r="I43" s="109" t="s">
        <v>35</v>
      </c>
      <c r="M43" s="68"/>
      <c r="Y43" s="71" t="s">
        <v>33</v>
      </c>
      <c r="Z43" s="68"/>
    </row>
    <row r="44" spans="1:26" x14ac:dyDescent="0.25">
      <c r="A44">
        <v>160412</v>
      </c>
      <c r="B44" t="s">
        <v>800</v>
      </c>
      <c r="C44" t="s">
        <v>34</v>
      </c>
      <c r="D44" t="s">
        <v>687</v>
      </c>
      <c r="E44">
        <v>3</v>
      </c>
      <c r="F44" t="s">
        <v>112</v>
      </c>
      <c r="G44" t="str">
        <f t="shared" si="4"/>
        <v>U</v>
      </c>
      <c r="H44" s="105"/>
      <c r="I44" s="109" t="s">
        <v>35</v>
      </c>
      <c r="M44" s="68"/>
      <c r="Y44" s="70" t="s">
        <v>589</v>
      </c>
      <c r="Z44" s="68">
        <v>1</v>
      </c>
    </row>
    <row r="45" spans="1:26" x14ac:dyDescent="0.25">
      <c r="A45">
        <v>161064</v>
      </c>
      <c r="B45" t="s">
        <v>801</v>
      </c>
      <c r="C45" t="s">
        <v>34</v>
      </c>
      <c r="D45" t="s">
        <v>802</v>
      </c>
      <c r="E45">
        <v>3</v>
      </c>
      <c r="F45" t="s">
        <v>81</v>
      </c>
      <c r="G45" t="str">
        <f t="shared" si="4"/>
        <v>U</v>
      </c>
      <c r="H45" s="105" t="s">
        <v>35</v>
      </c>
      <c r="I45" s="109" t="s">
        <v>35</v>
      </c>
      <c r="M45" s="68"/>
      <c r="Y45" s="71" t="s">
        <v>667</v>
      </c>
      <c r="Z45" s="68">
        <v>1</v>
      </c>
    </row>
    <row r="46" spans="1:26" x14ac:dyDescent="0.25">
      <c r="A46">
        <v>162681</v>
      </c>
      <c r="B46" t="s">
        <v>803</v>
      </c>
      <c r="C46" t="s">
        <v>34</v>
      </c>
      <c r="D46" t="s">
        <v>804</v>
      </c>
      <c r="E46">
        <v>1</v>
      </c>
      <c r="F46" t="s">
        <v>235</v>
      </c>
      <c r="G46" t="str">
        <f t="shared" si="4"/>
        <v>U</v>
      </c>
      <c r="H46" s="105"/>
      <c r="I46" s="109" t="s">
        <v>35</v>
      </c>
      <c r="M46" s="68"/>
      <c r="Y46" s="69" t="s">
        <v>663</v>
      </c>
      <c r="Z46" s="68">
        <v>1</v>
      </c>
    </row>
    <row r="47" spans="1:26" x14ac:dyDescent="0.25">
      <c r="A47" s="90" t="str">
        <f t="shared" ref="A47:A57" si="5">MID(B47,8,3)</f>
        <v/>
      </c>
      <c r="C47"/>
      <c r="G47" s="90" t="str">
        <f t="shared" si="4"/>
        <v/>
      </c>
      <c r="H47" s="105"/>
      <c r="I47" s="109"/>
      <c r="M47" s="68"/>
      <c r="Y47" s="69" t="s">
        <v>236</v>
      </c>
      <c r="Z47" s="68"/>
    </row>
    <row r="48" spans="1:26" x14ac:dyDescent="0.25">
      <c r="A48" s="73" t="str">
        <f t="shared" si="5"/>
        <v/>
      </c>
      <c r="C48"/>
      <c r="G48" t="str">
        <f t="shared" si="4"/>
        <v/>
      </c>
      <c r="H48" s="105"/>
      <c r="I48" s="109"/>
      <c r="Y48" s="71" t="s">
        <v>33</v>
      </c>
      <c r="Z48" s="68"/>
    </row>
    <row r="49" spans="1:26" x14ac:dyDescent="0.25">
      <c r="A49" s="90" t="str">
        <f t="shared" si="5"/>
        <v/>
      </c>
      <c r="C49"/>
      <c r="E49" s="13"/>
      <c r="G49" s="90" t="str">
        <f t="shared" si="4"/>
        <v/>
      </c>
      <c r="H49" s="105"/>
      <c r="I49" s="109"/>
      <c r="Y49" s="70" t="s">
        <v>533</v>
      </c>
      <c r="Z49" s="68">
        <v>1</v>
      </c>
    </row>
    <row r="50" spans="1:26" x14ac:dyDescent="0.25">
      <c r="A50" s="90" t="str">
        <f t="shared" si="5"/>
        <v/>
      </c>
      <c r="B50" s="105"/>
      <c r="C50"/>
      <c r="D50" s="105"/>
      <c r="E50" s="105"/>
      <c r="F50" s="107"/>
      <c r="G50" s="90" t="str">
        <f t="shared" si="4"/>
        <v/>
      </c>
      <c r="H50" s="105"/>
      <c r="I50" s="109"/>
      <c r="Y50" s="71" t="s">
        <v>667</v>
      </c>
      <c r="Z50" s="68">
        <v>1</v>
      </c>
    </row>
    <row r="51" spans="1:26" x14ac:dyDescent="0.25">
      <c r="A51" s="73" t="str">
        <f t="shared" si="5"/>
        <v/>
      </c>
      <c r="C51"/>
      <c r="G51" s="73" t="str">
        <f t="shared" si="4"/>
        <v/>
      </c>
      <c r="H51" s="105"/>
      <c r="I51" s="109"/>
      <c r="Y51" s="71" t="s">
        <v>32</v>
      </c>
      <c r="Z51" s="68"/>
    </row>
    <row r="52" spans="1:26" x14ac:dyDescent="0.25">
      <c r="A52" s="90" t="str">
        <f t="shared" si="5"/>
        <v/>
      </c>
      <c r="C52"/>
      <c r="G52" s="90" t="str">
        <f t="shared" si="4"/>
        <v/>
      </c>
      <c r="H52" s="105"/>
      <c r="I52" s="109"/>
      <c r="Y52" s="70" t="s">
        <v>567</v>
      </c>
      <c r="Z52" s="68">
        <v>1</v>
      </c>
    </row>
    <row r="53" spans="1:26" x14ac:dyDescent="0.25">
      <c r="A53" s="90" t="str">
        <f t="shared" si="5"/>
        <v/>
      </c>
      <c r="C53"/>
      <c r="G53" s="90" t="str">
        <f t="shared" si="4"/>
        <v/>
      </c>
      <c r="H53" s="105"/>
      <c r="I53" s="109"/>
      <c r="K53" t="s">
        <v>669</v>
      </c>
      <c r="Y53" s="70" t="s">
        <v>633</v>
      </c>
      <c r="Z53" s="68">
        <v>1</v>
      </c>
    </row>
    <row r="54" spans="1:26" x14ac:dyDescent="0.25">
      <c r="A54" s="73" t="str">
        <f t="shared" si="5"/>
        <v/>
      </c>
      <c r="C54"/>
      <c r="E54" s="13"/>
      <c r="G54" s="73" t="str">
        <f t="shared" si="4"/>
        <v/>
      </c>
      <c r="H54" s="105"/>
      <c r="I54" s="109"/>
      <c r="M54" s="68"/>
      <c r="Y54" s="71" t="s">
        <v>668</v>
      </c>
      <c r="Z54" s="68">
        <v>2</v>
      </c>
    </row>
    <row r="55" spans="1:26" x14ac:dyDescent="0.25">
      <c r="A55" s="90" t="str">
        <f t="shared" si="5"/>
        <v/>
      </c>
      <c r="C55"/>
      <c r="G55" s="90" t="str">
        <f t="shared" si="4"/>
        <v/>
      </c>
      <c r="H55" s="105"/>
      <c r="I55" s="109"/>
      <c r="M55" s="68"/>
      <c r="Y55" s="69" t="s">
        <v>664</v>
      </c>
      <c r="Z55" s="68">
        <v>3</v>
      </c>
    </row>
    <row r="56" spans="1:26" x14ac:dyDescent="0.25">
      <c r="A56" s="90" t="str">
        <f t="shared" si="5"/>
        <v/>
      </c>
      <c r="C56"/>
      <c r="G56" s="90" t="str">
        <f t="shared" si="4"/>
        <v/>
      </c>
      <c r="H56" s="105"/>
      <c r="I56" s="109"/>
      <c r="K56" s="71"/>
      <c r="L56" s="68"/>
      <c r="M56" s="68"/>
      <c r="Y56" s="69" t="s">
        <v>72</v>
      </c>
      <c r="Z56" s="68"/>
    </row>
    <row r="57" spans="1:26" x14ac:dyDescent="0.25">
      <c r="A57" s="90" t="str">
        <f t="shared" si="5"/>
        <v/>
      </c>
      <c r="C57"/>
      <c r="G57" s="90" t="str">
        <f t="shared" si="4"/>
        <v/>
      </c>
      <c r="H57" s="105"/>
      <c r="I57" s="109"/>
      <c r="K57" s="69"/>
      <c r="L57" s="68"/>
      <c r="Y57" s="71" t="s">
        <v>32</v>
      </c>
      <c r="Z57" s="68"/>
    </row>
    <row r="58" spans="1:26" x14ac:dyDescent="0.25">
      <c r="B58" s="106"/>
      <c r="D58" s="106"/>
      <c r="E58" s="106"/>
      <c r="F58" s="106"/>
      <c r="K58" s="69"/>
      <c r="L58" s="68"/>
      <c r="Y58" s="70" t="s">
        <v>599</v>
      </c>
      <c r="Z58" s="68">
        <v>1</v>
      </c>
    </row>
    <row r="59" spans="1:26" x14ac:dyDescent="0.25">
      <c r="B59" s="106"/>
      <c r="D59" s="106"/>
      <c r="E59" s="106"/>
      <c r="F59" s="106"/>
      <c r="Y59" s="70" t="s">
        <v>603</v>
      </c>
      <c r="Z59" s="68">
        <v>1</v>
      </c>
    </row>
    <row r="60" spans="1:26" x14ac:dyDescent="0.25">
      <c r="Y60" s="71" t="s">
        <v>668</v>
      </c>
      <c r="Z60" s="68">
        <v>2</v>
      </c>
    </row>
    <row r="61" spans="1:26" x14ac:dyDescent="0.25">
      <c r="Y61" s="69" t="s">
        <v>665</v>
      </c>
      <c r="Z61" s="68">
        <v>2</v>
      </c>
    </row>
    <row r="62" spans="1:26" x14ac:dyDescent="0.25">
      <c r="Y62" s="69" t="s">
        <v>31</v>
      </c>
      <c r="Z62" s="68">
        <v>16</v>
      </c>
    </row>
  </sheetData>
  <sheetProtection sort="0" autoFilter="0" pivotTables="0"/>
  <mergeCells count="1">
    <mergeCell ref="AC9:AD9"/>
  </mergeCells>
  <conditionalFormatting sqref="I2:I57">
    <cfRule type="expression" dxfId="415" priority="16">
      <formula>$C2="Done"</formula>
    </cfRule>
  </conditionalFormatting>
  <conditionalFormatting sqref="C2:C41">
    <cfRule type="expression" dxfId="414" priority="14">
      <formula>C2="Blocked"</formula>
    </cfRule>
    <cfRule type="expression" dxfId="413" priority="15">
      <formula>C2="Done"</formula>
    </cfRule>
  </conditionalFormatting>
  <conditionalFormatting sqref="I2:I57">
    <cfRule type="expression" dxfId="412" priority="13" stopIfTrue="1">
      <formula>IF(C2="Done", IF(I2&lt;&gt;"Y",TRUE,FALSE),FALSE)</formula>
    </cfRule>
  </conditionalFormatting>
  <conditionalFormatting sqref="S2:S4">
    <cfRule type="expression" dxfId="411" priority="12">
      <formula>IF(S2&lt;0.8, TRUE, IF(S2&gt;1.2, TRUE, FALSE))</formula>
    </cfRule>
  </conditionalFormatting>
  <conditionalFormatting sqref="A30:I30">
    <cfRule type="expression" dxfId="410" priority="11">
      <formula>$C30="Blocked"</formula>
    </cfRule>
  </conditionalFormatting>
  <conditionalFormatting sqref="D43:D49">
    <cfRule type="expression" dxfId="409" priority="9">
      <formula>D43="Blocked"</formula>
    </cfRule>
    <cfRule type="expression" dxfId="408" priority="10">
      <formula>D43="Done"</formula>
    </cfRule>
  </conditionalFormatting>
  <conditionalFormatting sqref="C42:C52">
    <cfRule type="expression" dxfId="407" priority="7">
      <formula>C42="Blocked"</formula>
    </cfRule>
    <cfRule type="expression" dxfId="406" priority="8">
      <formula>C42="Done"</formula>
    </cfRule>
  </conditionalFormatting>
  <conditionalFormatting sqref="C53">
    <cfRule type="expression" dxfId="405" priority="5">
      <formula>C53="Blocked"</formula>
    </cfRule>
    <cfRule type="expression" dxfId="404" priority="6">
      <formula>C53="Done"</formula>
    </cfRule>
  </conditionalFormatting>
  <conditionalFormatting sqref="C54:C56">
    <cfRule type="expression" dxfId="403" priority="3">
      <formula>C54="Blocked"</formula>
    </cfRule>
    <cfRule type="expression" dxfId="402" priority="4">
      <formula>C54="Done"</formula>
    </cfRule>
  </conditionalFormatting>
  <conditionalFormatting sqref="C57">
    <cfRule type="expression" dxfId="401" priority="1">
      <formula>C57="Blocked"</formula>
    </cfRule>
    <cfRule type="expression" dxfId="400" priority="2">
      <formula>C57="Done"</formula>
    </cfRule>
  </conditionalFormatting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8" name="Button 1">
              <controlPr defaultSize="0" print="0" autoFill="0" autoPict="0" macro="[0]!ResetAndLock">
                <anchor moveWithCells="1" sizeWithCells="1">
                  <from>
                    <xdr:col>18</xdr:col>
                    <xdr:colOff>952500</xdr:colOff>
                    <xdr:row>8</xdr:row>
                    <xdr:rowOff>9525</xdr:rowOff>
                  </from>
                  <to>
                    <xdr:col>23</xdr:col>
                    <xdr:colOff>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7">
    <tablePart r:id="rId9"/>
    <tablePart r:id="rId10"/>
    <tablePart r:id="rId11"/>
    <tablePart r:id="rId12"/>
    <tablePart r:id="rId13"/>
    <tablePart r:id="rId14"/>
    <tablePart r:id="rId15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AD62"/>
  <sheetViews>
    <sheetView topLeftCell="F1" zoomScale="91" zoomScaleNormal="91" workbookViewId="0">
      <selection activeCell="N2" sqref="N2:W3"/>
    </sheetView>
  </sheetViews>
  <sheetFormatPr defaultRowHeight="15" x14ac:dyDescent="0.25"/>
  <cols>
    <col min="2" max="2" width="12.28515625" customWidth="1"/>
    <col min="3" max="3" width="11" style="106" customWidth="1"/>
    <col min="4" max="4" width="77.5703125" bestFit="1" customWidth="1"/>
    <col min="5" max="5" width="8.85546875" customWidth="1"/>
    <col min="6" max="6" width="13.140625" customWidth="1"/>
    <col min="7" max="7" width="9.5703125" customWidth="1"/>
    <col min="8" max="8" width="11.5703125" style="106" customWidth="1"/>
    <col min="9" max="9" width="10.85546875" style="106" customWidth="1"/>
    <col min="10" max="10" width="4.28515625" customWidth="1"/>
    <col min="11" max="11" width="14.42578125" bestFit="1" customWidth="1"/>
    <col min="12" max="12" width="6.42578125" bestFit="1" customWidth="1"/>
    <col min="13" max="13" width="6.42578125" customWidth="1"/>
    <col min="14" max="14" width="11.28515625" bestFit="1" customWidth="1"/>
    <col min="15" max="15" width="18.42578125" bestFit="1" customWidth="1"/>
    <col min="16" max="16" width="19" customWidth="1"/>
    <col min="17" max="17" width="16.28515625" customWidth="1"/>
    <col min="18" max="18" width="16.5703125" customWidth="1"/>
    <col min="19" max="19" width="14.5703125" customWidth="1"/>
    <col min="20" max="20" width="18.140625" customWidth="1"/>
    <col min="21" max="21" width="1.42578125" customWidth="1"/>
    <col min="22" max="22" width="11" customWidth="1"/>
    <col min="23" max="23" width="10.85546875" bestFit="1" customWidth="1"/>
    <col min="25" max="25" width="78.85546875" bestFit="1" customWidth="1"/>
    <col min="26" max="26" width="14.5703125" bestFit="1" customWidth="1"/>
    <col min="28" max="28" width="11.5703125" customWidth="1"/>
  </cols>
  <sheetData>
    <row r="1" spans="1:30" ht="30.75" customHeight="1" x14ac:dyDescent="0.25">
      <c r="A1" t="s">
        <v>231</v>
      </c>
      <c r="B1" t="s">
        <v>48</v>
      </c>
      <c r="C1" s="106" t="s">
        <v>47</v>
      </c>
      <c r="D1" t="s">
        <v>46</v>
      </c>
      <c r="E1" t="s">
        <v>38</v>
      </c>
      <c r="F1" t="s">
        <v>45</v>
      </c>
      <c r="G1" t="s">
        <v>44</v>
      </c>
      <c r="H1" s="106" t="s">
        <v>43</v>
      </c>
      <c r="I1" s="106" t="s">
        <v>144</v>
      </c>
      <c r="N1" t="s">
        <v>133</v>
      </c>
      <c r="O1" t="s">
        <v>134</v>
      </c>
      <c r="P1" t="s">
        <v>41</v>
      </c>
      <c r="Q1" t="s">
        <v>135</v>
      </c>
      <c r="R1" t="s">
        <v>136</v>
      </c>
      <c r="S1" s="86" t="s">
        <v>143</v>
      </c>
      <c r="T1" s="86" t="s">
        <v>141</v>
      </c>
      <c r="U1" s="80" t="s">
        <v>40</v>
      </c>
      <c r="V1" s="86" t="s">
        <v>142</v>
      </c>
      <c r="W1" s="86" t="s">
        <v>145</v>
      </c>
      <c r="Y1" t="s">
        <v>39</v>
      </c>
      <c r="Z1" t="s">
        <v>666</v>
      </c>
    </row>
    <row r="2" spans="1:30" x14ac:dyDescent="0.25">
      <c r="A2" s="90" t="str">
        <f t="shared" ref="A2:A33" si="0">MID(B2,8,3)</f>
        <v>904</v>
      </c>
      <c r="B2" t="s">
        <v>602</v>
      </c>
      <c r="C2" t="s">
        <v>34</v>
      </c>
      <c r="D2" t="s">
        <v>603</v>
      </c>
      <c r="E2">
        <v>3</v>
      </c>
      <c r="F2" t="s">
        <v>72</v>
      </c>
      <c r="G2" s="73" t="str">
        <f t="shared" ref="G2:G33" si="1">MID(B2,4,1)</f>
        <v>U</v>
      </c>
      <c r="H2" s="105"/>
      <c r="I2" s="109" t="s">
        <v>35</v>
      </c>
      <c r="K2" s="72" t="s">
        <v>119</v>
      </c>
      <c r="L2" t="s">
        <v>120</v>
      </c>
      <c r="N2" t="s">
        <v>2</v>
      </c>
      <c r="O2">
        <f>+O10-Table9243138455952[[#This Row],[Blocked]]</f>
        <v>58</v>
      </c>
      <c r="P2">
        <f>IF(ISERR(P10),0,P10)</f>
        <v>0</v>
      </c>
      <c r="Q2">
        <f>IF(ISERR(Q10),0,Q10)</f>
        <v>0</v>
      </c>
      <c r="R2">
        <f>+IF(ISERR(R14),0,R14)</f>
        <v>21</v>
      </c>
      <c r="S2" s="88">
        <f>Table9243138455952[[#This Row],[Completed]]/Table9243138455952[[#This Row],[Committed]]</f>
        <v>0.36206896551724138</v>
      </c>
      <c r="T2" s="83">
        <f>Table9243138455952[[#This Row],[Completed]]/(Table9243138455952[[#This Row],[Added]]+Table9243138455952[[#This Row],[Committed]])</f>
        <v>0.36206896551724138</v>
      </c>
      <c r="V2" s="84" t="str">
        <f>IF(ISERR(O14),0,O14) &amp; "  (" &amp;TEXT(IF(ISERR(O14),0,O14)/Table9243138455952[[#This Row],[Committed]],"#%") &amp; ")"</f>
        <v>21  (36%)</v>
      </c>
      <c r="W2" s="85" t="str">
        <f>+IF(ISERR(P14),0,P14) &amp; " (" &amp; TEXT(R18, "#%") &amp; ")"</f>
        <v>0 (%)</v>
      </c>
      <c r="Y2" s="69" t="s">
        <v>61</v>
      </c>
      <c r="Z2" s="68"/>
    </row>
    <row r="3" spans="1:30" x14ac:dyDescent="0.25">
      <c r="A3" s="73" t="str">
        <f t="shared" si="0"/>
        <v>926</v>
      </c>
      <c r="B3" t="s">
        <v>600</v>
      </c>
      <c r="C3" s="95" t="s">
        <v>32</v>
      </c>
      <c r="D3" t="s">
        <v>601</v>
      </c>
      <c r="E3">
        <v>3</v>
      </c>
      <c r="F3" t="s">
        <v>92</v>
      </c>
      <c r="G3" s="73" t="str">
        <f t="shared" si="1"/>
        <v>U</v>
      </c>
      <c r="H3" s="105"/>
      <c r="I3" s="109"/>
      <c r="K3" s="69" t="s">
        <v>37</v>
      </c>
      <c r="L3" s="68">
        <v>58</v>
      </c>
      <c r="N3" t="s">
        <v>3</v>
      </c>
      <c r="O3">
        <f>+O11-Table9243138455952[[#This Row],[Blocked]]</f>
        <v>56</v>
      </c>
      <c r="P3">
        <f>IF(ISERR(P11),0,P11)</f>
        <v>2</v>
      </c>
      <c r="Q3">
        <f>IF(ISERR(Q11),0,Q11)</f>
        <v>4</v>
      </c>
      <c r="R3">
        <f>+IF(ISERR(R15),0,R15)</f>
        <v>36</v>
      </c>
      <c r="S3" s="88">
        <f>Table9243138455952[[#This Row],[Completed]]/Table9243138455952[[#This Row],[Committed]]</f>
        <v>0.6428571428571429</v>
      </c>
      <c r="T3" s="83">
        <f>Table9243138455952[[#This Row],[Completed]]/(Table9243138455952[[#This Row],[Added]]+Table9243138455952[[#This Row],[Committed]])</f>
        <v>0.62068965517241381</v>
      </c>
      <c r="V3" s="84" t="str">
        <f>IF(ISERR(O15),0,O15) &amp; "  (" &amp;TEXT(IF(ISERR(O15),0,O15)/Table9243138455952[[#This Row],[Committed]],"#%") &amp; ")"</f>
        <v>34  (61%)</v>
      </c>
      <c r="W3" s="85" t="str">
        <f>+IF(ISERR(P15),0,P15) &amp; " (" &amp; TEXT(R19, "#%") &amp; ")"</f>
        <v>2 (100%)</v>
      </c>
      <c r="Y3" s="71" t="s">
        <v>33</v>
      </c>
      <c r="Z3" s="68"/>
    </row>
    <row r="4" spans="1:30" x14ac:dyDescent="0.25">
      <c r="A4" s="73" t="str">
        <f t="shared" si="0"/>
        <v>931</v>
      </c>
      <c r="B4" t="s">
        <v>598</v>
      </c>
      <c r="C4" t="s">
        <v>34</v>
      </c>
      <c r="D4" t="s">
        <v>599</v>
      </c>
      <c r="E4">
        <v>3</v>
      </c>
      <c r="F4" t="s">
        <v>72</v>
      </c>
      <c r="G4" s="73" t="str">
        <f t="shared" si="1"/>
        <v>U</v>
      </c>
      <c r="H4" s="105"/>
      <c r="I4" s="109" t="s">
        <v>35</v>
      </c>
      <c r="K4" s="71" t="s">
        <v>32</v>
      </c>
      <c r="L4" s="68">
        <v>14</v>
      </c>
      <c r="N4" t="s">
        <v>303</v>
      </c>
      <c r="O4" s="68">
        <f>SUM(O2:O3)</f>
        <v>114</v>
      </c>
      <c r="P4">
        <f>SUM(P2:P3)</f>
        <v>2</v>
      </c>
      <c r="Q4" s="68">
        <f>SUM(Q2:Q3)</f>
        <v>4</v>
      </c>
      <c r="R4" s="68">
        <f>SUM(R2:R3)</f>
        <v>57</v>
      </c>
      <c r="S4" s="88">
        <f>Table9243138455952[[#This Row],[Completed]]/Table9243138455952[[#This Row],[Committed]]</f>
        <v>0.5</v>
      </c>
      <c r="T4" s="83">
        <f>Table9243138455952[[#This Row],[Completed]]/(Table9243138455952[[#This Row],[Added]]+Table9243138455952[[#This Row],[Committed]])</f>
        <v>0.49137931034482757</v>
      </c>
      <c r="V4" s="108" t="str">
        <f>IF(ISERR(SUM(O14:O15)),0,SUM(O14:O15)) &amp;"  ("&amp;TEXT(SUM(O14:O15)/O4,"#%") &amp;")"</f>
        <v>55  (48%)</v>
      </c>
      <c r="W4" s="85" t="str">
        <f>R4-SUM(O14:O15)&amp;" ("&amp;TEXT((R4-SUM(O14:O15))/IF(P4=0,1,P4),"#%")&amp;")"</f>
        <v>2 (100%)</v>
      </c>
      <c r="Y4" s="70" t="s">
        <v>625</v>
      </c>
      <c r="Z4" s="68">
        <v>1</v>
      </c>
    </row>
    <row r="5" spans="1:30" x14ac:dyDescent="0.25">
      <c r="A5" s="90" t="str">
        <f t="shared" si="0"/>
        <v>935</v>
      </c>
      <c r="B5" t="s">
        <v>596</v>
      </c>
      <c r="C5" t="s">
        <v>34</v>
      </c>
      <c r="D5" t="s">
        <v>597</v>
      </c>
      <c r="E5">
        <v>3</v>
      </c>
      <c r="F5" t="s">
        <v>89</v>
      </c>
      <c r="G5" s="73" t="str">
        <f t="shared" si="1"/>
        <v>U</v>
      </c>
      <c r="H5" s="105"/>
      <c r="I5" s="109" t="s">
        <v>35</v>
      </c>
      <c r="K5" s="71" t="s">
        <v>33</v>
      </c>
      <c r="L5" s="68">
        <v>23</v>
      </c>
      <c r="O5" t="s">
        <v>140</v>
      </c>
      <c r="S5" t="s">
        <v>220</v>
      </c>
      <c r="Y5" s="71" t="s">
        <v>667</v>
      </c>
      <c r="Z5" s="68">
        <v>1</v>
      </c>
    </row>
    <row r="6" spans="1:30" x14ac:dyDescent="0.25">
      <c r="A6" s="73" t="str">
        <f t="shared" si="0"/>
        <v>941</v>
      </c>
      <c r="B6" t="s">
        <v>588</v>
      </c>
      <c r="C6" t="s">
        <v>33</v>
      </c>
      <c r="D6" t="s">
        <v>589</v>
      </c>
      <c r="E6">
        <v>5</v>
      </c>
      <c r="F6" t="s">
        <v>81</v>
      </c>
      <c r="G6" s="73" t="str">
        <f t="shared" si="1"/>
        <v>U</v>
      </c>
      <c r="H6" s="105"/>
      <c r="I6" s="109"/>
      <c r="K6" s="71" t="s">
        <v>34</v>
      </c>
      <c r="L6" s="68">
        <v>21</v>
      </c>
      <c r="Y6" s="71" t="s">
        <v>32</v>
      </c>
      <c r="Z6" s="68"/>
    </row>
    <row r="7" spans="1:30" x14ac:dyDescent="0.25">
      <c r="A7" s="73" t="str">
        <f t="shared" si="0"/>
        <v>945</v>
      </c>
      <c r="B7" t="s">
        <v>584</v>
      </c>
      <c r="C7" t="s">
        <v>33</v>
      </c>
      <c r="D7" t="s">
        <v>585</v>
      </c>
      <c r="E7">
        <v>2</v>
      </c>
      <c r="F7" t="s">
        <v>112</v>
      </c>
      <c r="G7" s="73" t="str">
        <f t="shared" si="1"/>
        <v>U</v>
      </c>
      <c r="H7" s="105"/>
      <c r="I7" s="109" t="s">
        <v>35</v>
      </c>
      <c r="K7" s="69" t="s">
        <v>36</v>
      </c>
      <c r="L7" s="68">
        <v>62</v>
      </c>
      <c r="Y7" s="70" t="s">
        <v>525</v>
      </c>
      <c r="Z7" s="68">
        <v>1</v>
      </c>
    </row>
    <row r="8" spans="1:30" ht="15.75" thickBot="1" x14ac:dyDescent="0.3">
      <c r="A8" s="90" t="str">
        <f t="shared" si="0"/>
        <v>947</v>
      </c>
      <c r="B8" t="s">
        <v>580</v>
      </c>
      <c r="C8" t="s">
        <v>34</v>
      </c>
      <c r="D8" t="s">
        <v>581</v>
      </c>
      <c r="E8">
        <v>1</v>
      </c>
      <c r="F8" t="s">
        <v>235</v>
      </c>
      <c r="G8" s="73" t="str">
        <f t="shared" si="1"/>
        <v>U</v>
      </c>
      <c r="H8" s="105"/>
      <c r="I8" s="109" t="s">
        <v>35</v>
      </c>
      <c r="K8" s="71" t="s">
        <v>32</v>
      </c>
      <c r="L8" s="68">
        <v>13</v>
      </c>
      <c r="M8" s="68"/>
      <c r="N8" t="s">
        <v>139</v>
      </c>
      <c r="R8" t="s">
        <v>138</v>
      </c>
      <c r="Y8" s="70" t="s">
        <v>623</v>
      </c>
      <c r="Z8" s="68">
        <v>1</v>
      </c>
    </row>
    <row r="9" spans="1:30" ht="15.75" thickBot="1" x14ac:dyDescent="0.3">
      <c r="A9" s="73" t="str">
        <f t="shared" si="0"/>
        <v>948</v>
      </c>
      <c r="B9" t="s">
        <v>578</v>
      </c>
      <c r="C9" t="s">
        <v>33</v>
      </c>
      <c r="D9" t="s">
        <v>579</v>
      </c>
      <c r="E9">
        <v>2</v>
      </c>
      <c r="F9" t="s">
        <v>112</v>
      </c>
      <c r="G9" t="str">
        <f t="shared" si="1"/>
        <v>U</v>
      </c>
      <c r="H9" s="105"/>
      <c r="I9" s="109" t="s">
        <v>35</v>
      </c>
      <c r="K9" s="71" t="s">
        <v>33</v>
      </c>
      <c r="L9" s="68">
        <v>9</v>
      </c>
      <c r="M9" s="68"/>
      <c r="N9" t="s">
        <v>133</v>
      </c>
      <c r="O9" t="s">
        <v>42</v>
      </c>
      <c r="P9" t="s">
        <v>41</v>
      </c>
      <c r="Q9" s="82" t="s">
        <v>135</v>
      </c>
      <c r="R9" t="s">
        <v>128</v>
      </c>
      <c r="Y9" s="71" t="s">
        <v>668</v>
      </c>
      <c r="Z9" s="68">
        <v>2</v>
      </c>
      <c r="AC9" s="195" t="s">
        <v>634</v>
      </c>
      <c r="AD9" s="196"/>
    </row>
    <row r="10" spans="1:30" ht="15.75" thickTop="1" x14ac:dyDescent="0.25">
      <c r="A10" s="90" t="str">
        <f t="shared" si="0"/>
        <v>957</v>
      </c>
      <c r="B10" t="s">
        <v>566</v>
      </c>
      <c r="C10" t="s">
        <v>32</v>
      </c>
      <c r="D10" t="s">
        <v>567</v>
      </c>
      <c r="E10">
        <v>2</v>
      </c>
      <c r="F10" t="s">
        <v>236</v>
      </c>
      <c r="G10" t="str">
        <f t="shared" si="1"/>
        <v>U</v>
      </c>
      <c r="H10" s="105"/>
      <c r="I10" s="109"/>
      <c r="K10" s="71" t="s">
        <v>34</v>
      </c>
      <c r="L10" s="68">
        <v>36</v>
      </c>
      <c r="M10" s="68"/>
      <c r="N10" t="s">
        <v>2</v>
      </c>
      <c r="O10">
        <f>+GETPIVOTDATA("Story Points2",$K$20,"Project","A","Added After",)</f>
        <v>58</v>
      </c>
      <c r="P10">
        <f>IFERROR(AC10,0)</f>
        <v>0</v>
      </c>
      <c r="Q10" s="81">
        <f>IFERROR(AD10,0)</f>
        <v>0</v>
      </c>
      <c r="R10">
        <f t="shared" ref="R10:R11" si="2">+IF(ISERR(P10),0,P10)+IF(ISERR(O10),0,O10)</f>
        <v>58</v>
      </c>
      <c r="V10" s="13"/>
      <c r="W10" s="13"/>
      <c r="Y10" s="69" t="s">
        <v>656</v>
      </c>
      <c r="Z10" s="68">
        <v>3</v>
      </c>
      <c r="AC10" s="121" t="e">
        <f>+GETPIVOTDATA("Story Points2",$K$20,"Project","A","Added After","Y")</f>
        <v>#REF!</v>
      </c>
      <c r="AD10" s="122" t="e">
        <f>GETPIVOTDATA("Story Points2",$K$2,"Status","Blocked","Project","A")</f>
        <v>#REF!</v>
      </c>
    </row>
    <row r="11" spans="1:30" x14ac:dyDescent="0.25">
      <c r="A11" s="73" t="str">
        <f t="shared" si="0"/>
        <v>963</v>
      </c>
      <c r="B11" t="s">
        <v>704</v>
      </c>
      <c r="C11" t="s">
        <v>135</v>
      </c>
      <c r="D11" t="s">
        <v>705</v>
      </c>
      <c r="E11">
        <v>1</v>
      </c>
      <c r="F11" t="s">
        <v>81</v>
      </c>
      <c r="G11" t="str">
        <f t="shared" si="1"/>
        <v>U</v>
      </c>
      <c r="H11" s="105"/>
      <c r="I11" s="109"/>
      <c r="K11" s="71" t="s">
        <v>135</v>
      </c>
      <c r="L11" s="68">
        <v>4</v>
      </c>
      <c r="M11" s="68"/>
      <c r="N11" t="s">
        <v>3</v>
      </c>
      <c r="O11">
        <f>+GETPIVOTDATA("Story Points2",$K$20,"Project","U","Added After",)</f>
        <v>60</v>
      </c>
      <c r="P11">
        <f>IFERROR(AC11,0)</f>
        <v>2</v>
      </c>
      <c r="Q11" s="81">
        <f>IFERROR(AD11,0)</f>
        <v>4</v>
      </c>
      <c r="R11">
        <f t="shared" si="2"/>
        <v>62</v>
      </c>
      <c r="V11" s="13"/>
      <c r="W11" s="13"/>
      <c r="Y11" s="69" t="s">
        <v>112</v>
      </c>
      <c r="Z11" s="68"/>
      <c r="AC11" s="121">
        <f>+GETPIVOTDATA("Story Points2",$K$20,"Project","U","Added After","Y")</f>
        <v>2</v>
      </c>
      <c r="AD11" s="122">
        <f>GETPIVOTDATA("Story Points2",$K$2,"Status","Blocked","Project","U")</f>
        <v>4</v>
      </c>
    </row>
    <row r="12" spans="1:30" x14ac:dyDescent="0.25">
      <c r="A12" s="90" t="str">
        <f t="shared" si="0"/>
        <v>966</v>
      </c>
      <c r="B12" t="s">
        <v>702</v>
      </c>
      <c r="C12" t="s">
        <v>34</v>
      </c>
      <c r="D12" t="s">
        <v>703</v>
      </c>
      <c r="E12">
        <v>3</v>
      </c>
      <c r="F12" t="s">
        <v>89</v>
      </c>
      <c r="G12" t="str">
        <f t="shared" si="1"/>
        <v>U</v>
      </c>
      <c r="H12" s="105"/>
      <c r="I12" s="109" t="s">
        <v>35</v>
      </c>
      <c r="K12" s="69" t="s">
        <v>735</v>
      </c>
      <c r="L12" s="68"/>
      <c r="M12" s="68"/>
      <c r="V12" s="13"/>
      <c r="W12" s="13"/>
      <c r="Y12" s="71" t="s">
        <v>33</v>
      </c>
      <c r="Z12" s="68"/>
      <c r="AC12" s="121"/>
      <c r="AD12" s="122"/>
    </row>
    <row r="13" spans="1:30" x14ac:dyDescent="0.25">
      <c r="A13" s="90" t="str">
        <f t="shared" si="0"/>
        <v>967</v>
      </c>
      <c r="B13" t="s">
        <v>700</v>
      </c>
      <c r="C13" t="s">
        <v>135</v>
      </c>
      <c r="D13" t="s">
        <v>701</v>
      </c>
      <c r="E13">
        <v>3</v>
      </c>
      <c r="F13" t="s">
        <v>81</v>
      </c>
      <c r="G13" s="90" t="str">
        <f t="shared" si="1"/>
        <v>U</v>
      </c>
      <c r="H13" s="105"/>
      <c r="I13" s="109"/>
      <c r="K13" s="71" t="s">
        <v>122</v>
      </c>
      <c r="L13" s="68"/>
      <c r="M13" s="68"/>
      <c r="N13" t="s">
        <v>34</v>
      </c>
      <c r="O13" t="s">
        <v>126</v>
      </c>
      <c r="P13" t="s">
        <v>125</v>
      </c>
      <c r="Q13" s="80" t="s">
        <v>40</v>
      </c>
      <c r="R13" t="s">
        <v>127</v>
      </c>
      <c r="V13" s="13"/>
      <c r="W13" s="13"/>
      <c r="Y13" s="70" t="s">
        <v>579</v>
      </c>
      <c r="Z13" s="68">
        <v>1</v>
      </c>
      <c r="AC13" s="121"/>
      <c r="AD13" s="122"/>
    </row>
    <row r="14" spans="1:30" x14ac:dyDescent="0.25">
      <c r="A14" s="90" t="str">
        <f t="shared" si="0"/>
        <v>971</v>
      </c>
      <c r="B14" t="s">
        <v>698</v>
      </c>
      <c r="C14" t="s">
        <v>34</v>
      </c>
      <c r="D14" t="s">
        <v>699</v>
      </c>
      <c r="E14">
        <v>2</v>
      </c>
      <c r="F14" t="s">
        <v>235</v>
      </c>
      <c r="G14" t="str">
        <f t="shared" si="1"/>
        <v>U</v>
      </c>
      <c r="I14" s="109" t="s">
        <v>35</v>
      </c>
      <c r="K14" s="69" t="s">
        <v>31</v>
      </c>
      <c r="L14" s="68">
        <v>120</v>
      </c>
      <c r="M14" s="68"/>
      <c r="N14" t="s">
        <v>2</v>
      </c>
      <c r="O14">
        <f>IFERROR(AC14,0)</f>
        <v>21</v>
      </c>
      <c r="P14">
        <f>IFERROR(AD14,0)</f>
        <v>0</v>
      </c>
      <c r="R14">
        <f t="shared" ref="R14:R15" si="3">+IF(ISERR(P14),0,P14)+IF(ISERR(O14),0,O14)</f>
        <v>21</v>
      </c>
      <c r="V14" s="13"/>
      <c r="W14" s="13"/>
      <c r="Y14" s="70" t="s">
        <v>585</v>
      </c>
      <c r="Z14" s="68">
        <v>1</v>
      </c>
      <c r="AC14" s="121">
        <f>+GETPIVOTDATA("Story Points2",$K$20,"Status","Done","Project","A","Added After",)</f>
        <v>21</v>
      </c>
      <c r="AD14" s="122" t="e">
        <f>+GETPIVOTDATA("Story Points2",$K$20,"Status","Done","Project","A","Added After","Y")</f>
        <v>#REF!</v>
      </c>
    </row>
    <row r="15" spans="1:30" x14ac:dyDescent="0.25">
      <c r="A15" s="90" t="str">
        <f t="shared" si="0"/>
        <v>972</v>
      </c>
      <c r="B15" t="s">
        <v>696</v>
      </c>
      <c r="C15" t="s">
        <v>34</v>
      </c>
      <c r="D15" t="s">
        <v>697</v>
      </c>
      <c r="E15">
        <v>2</v>
      </c>
      <c r="F15" t="s">
        <v>235</v>
      </c>
      <c r="G15" s="90" t="str">
        <f t="shared" si="1"/>
        <v>U</v>
      </c>
      <c r="H15" s="105"/>
      <c r="I15" s="109" t="s">
        <v>35</v>
      </c>
      <c r="N15" t="s">
        <v>3</v>
      </c>
      <c r="O15">
        <f>IFERROR(AC15,0)</f>
        <v>34</v>
      </c>
      <c r="P15">
        <f>IFERROR(AD15,0)</f>
        <v>2</v>
      </c>
      <c r="R15">
        <f t="shared" si="3"/>
        <v>36</v>
      </c>
      <c r="V15" s="13"/>
      <c r="W15" s="13"/>
      <c r="Y15" s="71" t="s">
        <v>667</v>
      </c>
      <c r="Z15" s="68">
        <v>2</v>
      </c>
      <c r="AC15" s="121">
        <f>+GETPIVOTDATA("Story Points2",$K$20,"Status","Done","Project","U","Added After",)</f>
        <v>34</v>
      </c>
      <c r="AD15" s="122">
        <f>+GETPIVOTDATA("Story Points2",$K$20,"Status","Done","Project","U","Added After","Y")</f>
        <v>2</v>
      </c>
    </row>
    <row r="16" spans="1:30" x14ac:dyDescent="0.25">
      <c r="A16" s="90" t="str">
        <f t="shared" si="0"/>
        <v>974</v>
      </c>
      <c r="B16" t="s">
        <v>694</v>
      </c>
      <c r="C16" t="s">
        <v>34</v>
      </c>
      <c r="D16" t="s">
        <v>695</v>
      </c>
      <c r="E16">
        <v>2</v>
      </c>
      <c r="F16" t="s">
        <v>89</v>
      </c>
      <c r="G16" t="str">
        <f t="shared" si="1"/>
        <v>U</v>
      </c>
      <c r="H16" s="105"/>
      <c r="I16" s="109" t="s">
        <v>35</v>
      </c>
      <c r="Y16" s="69" t="s">
        <v>657</v>
      </c>
      <c r="Z16" s="68">
        <v>2</v>
      </c>
      <c r="AC16" s="121"/>
      <c r="AD16" s="122"/>
    </row>
    <row r="17" spans="1:30" x14ac:dyDescent="0.25">
      <c r="A17" s="90" t="str">
        <f t="shared" si="0"/>
        <v>975</v>
      </c>
      <c r="B17" t="s">
        <v>692</v>
      </c>
      <c r="C17" t="s">
        <v>34</v>
      </c>
      <c r="D17" t="s">
        <v>693</v>
      </c>
      <c r="E17">
        <v>3</v>
      </c>
      <c r="F17" t="s">
        <v>84</v>
      </c>
      <c r="G17" t="str">
        <f t="shared" si="1"/>
        <v>U</v>
      </c>
      <c r="H17" s="105"/>
      <c r="I17" s="109" t="s">
        <v>35</v>
      </c>
      <c r="N17" t="s">
        <v>34</v>
      </c>
      <c r="O17" t="s">
        <v>123</v>
      </c>
      <c r="P17" t="s">
        <v>124</v>
      </c>
      <c r="Q17" t="s">
        <v>126</v>
      </c>
      <c r="R17" t="s">
        <v>125</v>
      </c>
      <c r="Y17" s="69" t="s">
        <v>64</v>
      </c>
      <c r="Z17" s="68"/>
      <c r="AC17" s="121"/>
      <c r="AD17" s="122"/>
    </row>
    <row r="18" spans="1:30" x14ac:dyDescent="0.25">
      <c r="A18" s="90" t="str">
        <f t="shared" si="0"/>
        <v>976</v>
      </c>
      <c r="B18" t="s">
        <v>690</v>
      </c>
      <c r="C18" t="s">
        <v>34</v>
      </c>
      <c r="D18" t="s">
        <v>691</v>
      </c>
      <c r="E18">
        <v>5</v>
      </c>
      <c r="F18" t="s">
        <v>84</v>
      </c>
      <c r="G18" s="90" t="str">
        <f t="shared" si="1"/>
        <v>U</v>
      </c>
      <c r="H18" s="105"/>
      <c r="I18" s="109" t="s">
        <v>35</v>
      </c>
      <c r="N18" t="s">
        <v>2</v>
      </c>
      <c r="O18" s="64">
        <f>+R14/O10</f>
        <v>0.36206896551724138</v>
      </c>
      <c r="P18" s="64">
        <f t="shared" ref="P18:P19" si="4">+R14/R10</f>
        <v>0.36206896551724138</v>
      </c>
      <c r="Q18" s="64">
        <f>+O14/IF(ISERR(O10),1,O10)</f>
        <v>0.36206896551724138</v>
      </c>
      <c r="R18" s="64">
        <f>+P14/IF(ISERR(AC10),1,P10)</f>
        <v>0</v>
      </c>
      <c r="Y18" s="71" t="s">
        <v>33</v>
      </c>
      <c r="Z18" s="68"/>
      <c r="AC18" s="121"/>
      <c r="AD18" s="122"/>
    </row>
    <row r="19" spans="1:30" x14ac:dyDescent="0.25">
      <c r="A19" s="73" t="str">
        <f t="shared" si="0"/>
        <v>977</v>
      </c>
      <c r="B19" t="s">
        <v>688</v>
      </c>
      <c r="C19" t="s">
        <v>34</v>
      </c>
      <c r="D19" t="s">
        <v>689</v>
      </c>
      <c r="E19">
        <v>2</v>
      </c>
      <c r="F19" t="s">
        <v>112</v>
      </c>
      <c r="G19" t="str">
        <f t="shared" si="1"/>
        <v>U</v>
      </c>
      <c r="H19" s="105"/>
      <c r="I19" s="109" t="s">
        <v>35</v>
      </c>
      <c r="M19" s="68"/>
      <c r="N19" t="s">
        <v>3</v>
      </c>
      <c r="O19" s="64">
        <f>+R15/O11</f>
        <v>0.6</v>
      </c>
      <c r="P19" s="64">
        <f t="shared" si="4"/>
        <v>0.58064516129032262</v>
      </c>
      <c r="Q19" s="64">
        <f>+O15/IF(ISERR(O11),1,O11)</f>
        <v>0.56666666666666665</v>
      </c>
      <c r="R19" s="64">
        <f>+P15/IF(ISERR(AC11),1,P11)</f>
        <v>1</v>
      </c>
      <c r="Y19" s="70" t="s">
        <v>648</v>
      </c>
      <c r="Z19" s="68">
        <v>1</v>
      </c>
      <c r="AC19" s="121"/>
      <c r="AD19" s="122"/>
    </row>
    <row r="20" spans="1:30" x14ac:dyDescent="0.25">
      <c r="A20" t="str">
        <f t="shared" si="0"/>
        <v>978</v>
      </c>
      <c r="B20" t="s">
        <v>686</v>
      </c>
      <c r="C20" t="s">
        <v>34</v>
      </c>
      <c r="D20" t="s">
        <v>687</v>
      </c>
      <c r="E20">
        <v>2</v>
      </c>
      <c r="F20" t="s">
        <v>112</v>
      </c>
      <c r="G20" s="90" t="str">
        <f t="shared" si="1"/>
        <v>U</v>
      </c>
      <c r="H20" s="105"/>
      <c r="I20" s="109" t="s">
        <v>35</v>
      </c>
      <c r="K20" s="72" t="s">
        <v>396</v>
      </c>
      <c r="L20" t="s">
        <v>120</v>
      </c>
      <c r="M20" s="68"/>
      <c r="Y20" s="71" t="s">
        <v>667</v>
      </c>
      <c r="Z20" s="68">
        <v>1</v>
      </c>
      <c r="AC20" s="121"/>
      <c r="AD20" s="122"/>
    </row>
    <row r="21" spans="1:30" x14ac:dyDescent="0.25">
      <c r="A21" s="73" t="str">
        <f t="shared" si="0"/>
        <v>981</v>
      </c>
      <c r="B21" t="s">
        <v>682</v>
      </c>
      <c r="C21" t="s">
        <v>34</v>
      </c>
      <c r="D21" t="s">
        <v>683</v>
      </c>
      <c r="E21">
        <v>3</v>
      </c>
      <c r="F21" t="s">
        <v>92</v>
      </c>
      <c r="G21" t="str">
        <f t="shared" si="1"/>
        <v>U</v>
      </c>
      <c r="H21" s="105"/>
      <c r="I21" s="109" t="s">
        <v>35</v>
      </c>
      <c r="K21" s="69" t="s">
        <v>122</v>
      </c>
      <c r="L21" s="68">
        <v>118</v>
      </c>
      <c r="M21" s="68"/>
      <c r="N21" t="s">
        <v>49</v>
      </c>
      <c r="O21" t="s">
        <v>126</v>
      </c>
      <c r="P21" t="s">
        <v>125</v>
      </c>
      <c r="Q21" s="80" t="s">
        <v>239</v>
      </c>
      <c r="R21" t="s">
        <v>129</v>
      </c>
      <c r="Y21" s="69" t="s">
        <v>658</v>
      </c>
      <c r="Z21" s="68">
        <v>1</v>
      </c>
      <c r="AC21" s="121"/>
      <c r="AD21" s="122"/>
    </row>
    <row r="22" spans="1:30" x14ac:dyDescent="0.25">
      <c r="A22" s="73" t="str">
        <f t="shared" si="0"/>
        <v>982</v>
      </c>
      <c r="B22" t="s">
        <v>680</v>
      </c>
      <c r="C22" s="95" t="s">
        <v>32</v>
      </c>
      <c r="D22" t="s">
        <v>681</v>
      </c>
      <c r="E22">
        <v>3</v>
      </c>
      <c r="F22" t="s">
        <v>92</v>
      </c>
      <c r="G22" t="str">
        <f t="shared" si="1"/>
        <v>U</v>
      </c>
      <c r="H22" s="105"/>
      <c r="I22" s="109"/>
      <c r="K22" s="71" t="s">
        <v>37</v>
      </c>
      <c r="L22" s="68">
        <v>58</v>
      </c>
      <c r="M22" s="68"/>
      <c r="N22" t="s">
        <v>2</v>
      </c>
      <c r="O22">
        <f>IFERROR(AC22,0)</f>
        <v>32</v>
      </c>
      <c r="P22">
        <f>IFERROR(AD22,0)</f>
        <v>0</v>
      </c>
      <c r="Q22">
        <f>+O10-Q10-Table7222936435750[[#This Row],[Committed Done]]</f>
        <v>26</v>
      </c>
      <c r="R22">
        <f>+Table7222936435750[[#This Row],[Committed Done]]+Table7222936435750[[#This Row],[Added Done]]</f>
        <v>32</v>
      </c>
      <c r="Y22" s="69" t="s">
        <v>92</v>
      </c>
      <c r="Z22" s="68"/>
      <c r="AC22" s="121">
        <f>+GETPIVOTDATA("Story Points",$N$32,"Project","A","Added After",)</f>
        <v>32</v>
      </c>
      <c r="AD22" s="122" t="e">
        <f>+GETPIVOTDATA("Story Points",$N$32,"Project","A","Added After","Y")</f>
        <v>#REF!</v>
      </c>
    </row>
    <row r="23" spans="1:30" ht="15.75" thickBot="1" x14ac:dyDescent="0.3">
      <c r="A23" s="90" t="str">
        <f t="shared" si="0"/>
        <v>985</v>
      </c>
      <c r="B23" t="s">
        <v>678</v>
      </c>
      <c r="C23" t="s">
        <v>34</v>
      </c>
      <c r="D23" t="s">
        <v>679</v>
      </c>
      <c r="E23">
        <v>2</v>
      </c>
      <c r="F23" t="s">
        <v>89</v>
      </c>
      <c r="G23" t="str">
        <f t="shared" si="1"/>
        <v>U</v>
      </c>
      <c r="H23" s="105" t="s">
        <v>35</v>
      </c>
      <c r="I23" s="109" t="s">
        <v>35</v>
      </c>
      <c r="K23" s="70" t="s">
        <v>32</v>
      </c>
      <c r="L23" s="68">
        <v>14</v>
      </c>
      <c r="M23" s="68"/>
      <c r="N23" t="s">
        <v>3</v>
      </c>
      <c r="O23">
        <f>IFERROR(AC23,0)</f>
        <v>43</v>
      </c>
      <c r="P23">
        <f>IFERROR(AD23,0)</f>
        <v>2</v>
      </c>
      <c r="Q23">
        <f>+O11-Q11-Table7222936435750[[#This Row],[Committed Done]]</f>
        <v>13</v>
      </c>
      <c r="R23">
        <f>+Table7222936435750[[#This Row],[Committed Done]]+Table7222936435750[[#This Row],[Added Done]]</f>
        <v>45</v>
      </c>
      <c r="Y23" s="71" t="s">
        <v>32</v>
      </c>
      <c r="Z23" s="68"/>
      <c r="AC23" s="123">
        <f>+GETPIVOTDATA("Story Points",$N$32,"Project","U","Added After",)</f>
        <v>43</v>
      </c>
      <c r="AD23" s="124">
        <f>+GETPIVOTDATA("Story Points",$N$32,"Project","U","Added After","Y")</f>
        <v>2</v>
      </c>
    </row>
    <row r="24" spans="1:30" x14ac:dyDescent="0.25">
      <c r="A24" s="73" t="str">
        <f t="shared" si="0"/>
        <v>986</v>
      </c>
      <c r="B24" t="s">
        <v>734</v>
      </c>
      <c r="C24" t="s">
        <v>32</v>
      </c>
      <c r="D24" t="s">
        <v>736</v>
      </c>
      <c r="E24">
        <v>5</v>
      </c>
      <c r="G24" t="str">
        <f t="shared" si="1"/>
        <v>U</v>
      </c>
      <c r="H24" s="105"/>
      <c r="I24" s="109" t="s">
        <v>35</v>
      </c>
      <c r="K24" s="70" t="s">
        <v>33</v>
      </c>
      <c r="L24" s="68">
        <v>23</v>
      </c>
      <c r="M24" s="68"/>
      <c r="Y24" s="70" t="s">
        <v>601</v>
      </c>
      <c r="Z24" s="68">
        <v>1</v>
      </c>
    </row>
    <row r="25" spans="1:30" x14ac:dyDescent="0.25">
      <c r="A25" s="73" t="str">
        <f t="shared" si="0"/>
        <v>194</v>
      </c>
      <c r="B25" t="s">
        <v>532</v>
      </c>
      <c r="C25" t="s">
        <v>33</v>
      </c>
      <c r="D25" t="s">
        <v>533</v>
      </c>
      <c r="E25">
        <v>5</v>
      </c>
      <c r="F25" t="s">
        <v>236</v>
      </c>
      <c r="G25" t="str">
        <f t="shared" si="1"/>
        <v>A</v>
      </c>
      <c r="H25" s="105"/>
      <c r="I25" s="109" t="s">
        <v>35</v>
      </c>
      <c r="K25" s="70" t="s">
        <v>34</v>
      </c>
      <c r="L25" s="68">
        <v>21</v>
      </c>
      <c r="M25" s="68"/>
      <c r="N25" t="s">
        <v>49</v>
      </c>
      <c r="O25" t="s">
        <v>123</v>
      </c>
      <c r="P25" t="s">
        <v>124</v>
      </c>
      <c r="Q25" t="s">
        <v>126</v>
      </c>
      <c r="R25" t="s">
        <v>130</v>
      </c>
      <c r="Y25" s="71" t="s">
        <v>668</v>
      </c>
      <c r="Z25" s="68">
        <v>1</v>
      </c>
    </row>
    <row r="26" spans="1:30" x14ac:dyDescent="0.25">
      <c r="A26" s="73" t="str">
        <f t="shared" si="0"/>
        <v>516</v>
      </c>
      <c r="B26" t="s">
        <v>732</v>
      </c>
      <c r="C26" t="s">
        <v>34</v>
      </c>
      <c r="D26" t="s">
        <v>733</v>
      </c>
      <c r="E26">
        <v>3</v>
      </c>
      <c r="F26" t="s">
        <v>61</v>
      </c>
      <c r="G26" t="str">
        <f t="shared" si="1"/>
        <v>A</v>
      </c>
      <c r="H26" s="105"/>
      <c r="I26" s="109" t="s">
        <v>35</v>
      </c>
      <c r="K26" s="71" t="s">
        <v>36</v>
      </c>
      <c r="L26" s="68">
        <v>60</v>
      </c>
      <c r="N26" t="s">
        <v>2</v>
      </c>
      <c r="O26" s="64">
        <f>R22/IF(O10=0, 1,O10)</f>
        <v>0.55172413793103448</v>
      </c>
      <c r="P26" s="64">
        <f>R22/IF(R10=0,1,R10)</f>
        <v>0.55172413793103448</v>
      </c>
      <c r="Q26" s="64">
        <f>O22/IF(O10=0,1,O10)</f>
        <v>0.55172413793103448</v>
      </c>
      <c r="R26" s="64">
        <f>+P22/IF(P10=0,1,P10)</f>
        <v>0</v>
      </c>
      <c r="Y26" s="69" t="s">
        <v>659</v>
      </c>
      <c r="Z26" s="68">
        <v>1</v>
      </c>
    </row>
    <row r="27" spans="1:30" x14ac:dyDescent="0.25">
      <c r="A27" s="73" t="str">
        <f t="shared" si="0"/>
        <v>523</v>
      </c>
      <c r="B27" t="s">
        <v>632</v>
      </c>
      <c r="C27" s="129" t="s">
        <v>33</v>
      </c>
      <c r="D27" t="s">
        <v>633</v>
      </c>
      <c r="E27">
        <v>3</v>
      </c>
      <c r="F27" t="s">
        <v>236</v>
      </c>
      <c r="G27" t="str">
        <f t="shared" si="1"/>
        <v>A</v>
      </c>
      <c r="H27" s="105"/>
      <c r="I27" s="109"/>
      <c r="K27" s="70" t="s">
        <v>32</v>
      </c>
      <c r="L27" s="68">
        <v>13</v>
      </c>
      <c r="M27" s="68"/>
      <c r="N27" t="s">
        <v>3</v>
      </c>
      <c r="O27" s="64">
        <f>R23/IF(O11=0, 1,O11)</f>
        <v>0.75</v>
      </c>
      <c r="P27" s="64">
        <f>R23/IF(R11=0,1,R11)</f>
        <v>0.72580645161290325</v>
      </c>
      <c r="Q27" s="64">
        <f>O23/IF(O11=0,1,O11)</f>
        <v>0.71666666666666667</v>
      </c>
      <c r="R27" s="64">
        <f>+P23/IF(P11=0,1,P11)</f>
        <v>1</v>
      </c>
      <c r="Y27" s="69" t="s">
        <v>58</v>
      </c>
      <c r="Z27" s="68"/>
    </row>
    <row r="28" spans="1:30" x14ac:dyDescent="0.25">
      <c r="A28" s="73" t="str">
        <f t="shared" si="0"/>
        <v>626</v>
      </c>
      <c r="B28" t="s">
        <v>630</v>
      </c>
      <c r="C28" t="s">
        <v>32</v>
      </c>
      <c r="D28" t="s">
        <v>631</v>
      </c>
      <c r="E28">
        <v>2</v>
      </c>
      <c r="F28" t="s">
        <v>58</v>
      </c>
      <c r="G28" t="str">
        <f t="shared" si="1"/>
        <v>A</v>
      </c>
      <c r="H28" s="105"/>
      <c r="I28" s="109"/>
      <c r="K28" s="70" t="s">
        <v>33</v>
      </c>
      <c r="L28" s="68">
        <v>9</v>
      </c>
      <c r="M28" s="68"/>
      <c r="Y28" s="71" t="s">
        <v>32</v>
      </c>
      <c r="Z28" s="68"/>
    </row>
    <row r="29" spans="1:30" x14ac:dyDescent="0.25">
      <c r="A29" s="73" t="str">
        <f t="shared" si="0"/>
        <v>633</v>
      </c>
      <c r="B29" t="s">
        <v>730</v>
      </c>
      <c r="C29" t="s">
        <v>34</v>
      </c>
      <c r="D29" t="s">
        <v>731</v>
      </c>
      <c r="E29">
        <v>5</v>
      </c>
      <c r="F29" t="s">
        <v>58</v>
      </c>
      <c r="G29" t="str">
        <f t="shared" si="1"/>
        <v>A</v>
      </c>
      <c r="H29" s="105"/>
      <c r="I29" s="109" t="s">
        <v>35</v>
      </c>
      <c r="K29" s="70" t="s">
        <v>34</v>
      </c>
      <c r="L29" s="68">
        <v>34</v>
      </c>
      <c r="M29" s="68"/>
      <c r="Y29" s="70" t="s">
        <v>631</v>
      </c>
      <c r="Z29" s="68">
        <v>1</v>
      </c>
    </row>
    <row r="30" spans="1:30" x14ac:dyDescent="0.25">
      <c r="A30" s="73" t="str">
        <f t="shared" si="0"/>
        <v>635</v>
      </c>
      <c r="B30" t="s">
        <v>624</v>
      </c>
      <c r="C30" t="s">
        <v>33</v>
      </c>
      <c r="D30" t="s">
        <v>625</v>
      </c>
      <c r="E30">
        <v>3</v>
      </c>
      <c r="F30" t="s">
        <v>61</v>
      </c>
      <c r="G30" t="str">
        <f t="shared" si="1"/>
        <v>A</v>
      </c>
      <c r="H30" s="105"/>
      <c r="I30" s="109"/>
      <c r="K30" s="70" t="s">
        <v>135</v>
      </c>
      <c r="L30" s="68">
        <v>4</v>
      </c>
      <c r="M30" s="68"/>
      <c r="N30" s="72" t="s">
        <v>144</v>
      </c>
      <c r="O30" s="160" t="s">
        <v>35</v>
      </c>
      <c r="Y30" s="71" t="s">
        <v>668</v>
      </c>
      <c r="Z30" s="68">
        <v>1</v>
      </c>
    </row>
    <row r="31" spans="1:30" x14ac:dyDescent="0.25">
      <c r="A31" s="73" t="str">
        <f t="shared" si="0"/>
        <v>645</v>
      </c>
      <c r="B31" t="s">
        <v>728</v>
      </c>
      <c r="C31" t="s">
        <v>34</v>
      </c>
      <c r="D31" t="s">
        <v>729</v>
      </c>
      <c r="E31">
        <v>3</v>
      </c>
      <c r="F31" t="s">
        <v>64</v>
      </c>
      <c r="G31" t="str">
        <f t="shared" si="1"/>
        <v>A</v>
      </c>
      <c r="H31" s="105"/>
      <c r="I31" s="109" t="s">
        <v>35</v>
      </c>
      <c r="K31" s="71" t="s">
        <v>735</v>
      </c>
      <c r="L31" s="68"/>
      <c r="M31" s="68"/>
      <c r="Y31" s="69" t="s">
        <v>660</v>
      </c>
      <c r="Z31" s="68">
        <v>1</v>
      </c>
    </row>
    <row r="32" spans="1:30" x14ac:dyDescent="0.25">
      <c r="A32" s="90" t="str">
        <f t="shared" si="0"/>
        <v>648</v>
      </c>
      <c r="B32" t="s">
        <v>726</v>
      </c>
      <c r="C32" t="s">
        <v>32</v>
      </c>
      <c r="D32" t="s">
        <v>727</v>
      </c>
      <c r="E32">
        <v>1</v>
      </c>
      <c r="F32" t="s">
        <v>112</v>
      </c>
      <c r="G32" t="str">
        <f t="shared" si="1"/>
        <v>A</v>
      </c>
      <c r="H32" s="105"/>
      <c r="I32" s="109"/>
      <c r="K32" s="70" t="s">
        <v>122</v>
      </c>
      <c r="L32" s="68"/>
      <c r="N32" s="72" t="s">
        <v>655</v>
      </c>
      <c r="O32" t="s">
        <v>50</v>
      </c>
      <c r="Y32" s="69" t="s">
        <v>235</v>
      </c>
      <c r="Z32" s="68"/>
    </row>
    <row r="33" spans="1:26" x14ac:dyDescent="0.25">
      <c r="A33" s="73" t="str">
        <f t="shared" si="0"/>
        <v>649</v>
      </c>
      <c r="B33" t="s">
        <v>724</v>
      </c>
      <c r="C33" t="s">
        <v>32</v>
      </c>
      <c r="D33" t="s">
        <v>725</v>
      </c>
      <c r="E33">
        <v>1</v>
      </c>
      <c r="F33" t="s">
        <v>112</v>
      </c>
      <c r="G33" t="str">
        <f t="shared" si="1"/>
        <v>A</v>
      </c>
      <c r="H33" s="105"/>
      <c r="I33" s="109"/>
      <c r="K33" s="69" t="s">
        <v>35</v>
      </c>
      <c r="L33" s="68">
        <v>2</v>
      </c>
      <c r="N33" s="69" t="s">
        <v>37</v>
      </c>
      <c r="O33" s="68"/>
      <c r="Y33" s="71" t="s">
        <v>33</v>
      </c>
      <c r="Z33" s="68"/>
    </row>
    <row r="34" spans="1:26" x14ac:dyDescent="0.25">
      <c r="A34" s="73" t="str">
        <f t="shared" ref="A34:A57" si="5">MID(B34,8,3)</f>
        <v>650</v>
      </c>
      <c r="B34" t="s">
        <v>722</v>
      </c>
      <c r="C34" t="s">
        <v>32</v>
      </c>
      <c r="D34" t="s">
        <v>723</v>
      </c>
      <c r="E34">
        <v>1</v>
      </c>
      <c r="F34" t="s">
        <v>112</v>
      </c>
      <c r="G34" t="str">
        <f t="shared" ref="G34:G57" si="6">MID(B34,4,1)</f>
        <v>A</v>
      </c>
      <c r="H34" s="105"/>
      <c r="I34" s="109"/>
      <c r="K34" s="71" t="s">
        <v>36</v>
      </c>
      <c r="L34" s="68">
        <v>2</v>
      </c>
      <c r="N34" s="71" t="s">
        <v>122</v>
      </c>
      <c r="O34" s="68">
        <v>32</v>
      </c>
      <c r="Y34" s="70" t="s">
        <v>581</v>
      </c>
      <c r="Z34" s="68">
        <v>1</v>
      </c>
    </row>
    <row r="35" spans="1:26" x14ac:dyDescent="0.25">
      <c r="A35" s="73" t="str">
        <f t="shared" si="5"/>
        <v>658</v>
      </c>
      <c r="B35" t="s">
        <v>647</v>
      </c>
      <c r="C35" t="s">
        <v>34</v>
      </c>
      <c r="D35" t="s">
        <v>648</v>
      </c>
      <c r="E35">
        <v>2</v>
      </c>
      <c r="F35" t="s">
        <v>64</v>
      </c>
      <c r="G35" t="str">
        <f t="shared" si="6"/>
        <v>A</v>
      </c>
      <c r="H35" s="105"/>
      <c r="I35" s="109" t="s">
        <v>35</v>
      </c>
      <c r="K35" s="70" t="s">
        <v>34</v>
      </c>
      <c r="L35" s="68">
        <v>2</v>
      </c>
      <c r="N35" s="69" t="s">
        <v>131</v>
      </c>
      <c r="O35" s="68">
        <v>32</v>
      </c>
      <c r="Y35" s="71" t="s">
        <v>667</v>
      </c>
      <c r="Z35" s="68">
        <v>1</v>
      </c>
    </row>
    <row r="36" spans="1:26" x14ac:dyDescent="0.25">
      <c r="A36" s="90" t="str">
        <f t="shared" si="5"/>
        <v>662</v>
      </c>
      <c r="B36" t="s">
        <v>720</v>
      </c>
      <c r="C36" t="s">
        <v>33</v>
      </c>
      <c r="D36" t="s">
        <v>721</v>
      </c>
      <c r="E36">
        <v>3</v>
      </c>
      <c r="F36" t="s">
        <v>112</v>
      </c>
      <c r="G36" t="str">
        <f t="shared" si="6"/>
        <v>A</v>
      </c>
      <c r="H36" s="105"/>
      <c r="I36" s="109"/>
      <c r="K36" s="69" t="s">
        <v>31</v>
      </c>
      <c r="L36" s="68">
        <v>120</v>
      </c>
      <c r="N36" s="69" t="s">
        <v>36</v>
      </c>
      <c r="O36" s="68"/>
      <c r="Y36" s="69" t="s">
        <v>661</v>
      </c>
      <c r="Z36" s="68">
        <v>1</v>
      </c>
    </row>
    <row r="37" spans="1:26" x14ac:dyDescent="0.25">
      <c r="A37" s="90" t="str">
        <f t="shared" si="5"/>
        <v>663</v>
      </c>
      <c r="B37" t="s">
        <v>718</v>
      </c>
      <c r="C37" t="s">
        <v>33</v>
      </c>
      <c r="D37" t="s">
        <v>719</v>
      </c>
      <c r="E37">
        <v>3</v>
      </c>
      <c r="F37" t="s">
        <v>58</v>
      </c>
      <c r="G37" s="90" t="str">
        <f t="shared" si="6"/>
        <v>A</v>
      </c>
      <c r="H37" s="105"/>
      <c r="I37" s="109"/>
      <c r="N37" s="71" t="s">
        <v>122</v>
      </c>
      <c r="O37" s="68">
        <v>43</v>
      </c>
      <c r="Y37" s="69" t="s">
        <v>89</v>
      </c>
      <c r="Z37" s="68"/>
    </row>
    <row r="38" spans="1:26" x14ac:dyDescent="0.25">
      <c r="A38" s="90" t="str">
        <f t="shared" si="5"/>
        <v>664</v>
      </c>
      <c r="B38" t="s">
        <v>716</v>
      </c>
      <c r="C38" t="s">
        <v>32</v>
      </c>
      <c r="D38" t="s">
        <v>717</v>
      </c>
      <c r="E38">
        <v>5</v>
      </c>
      <c r="F38" t="s">
        <v>112</v>
      </c>
      <c r="G38" s="73" t="str">
        <f t="shared" si="6"/>
        <v>A</v>
      </c>
      <c r="H38" s="105"/>
      <c r="I38" s="109"/>
      <c r="N38" s="71" t="s">
        <v>35</v>
      </c>
      <c r="O38" s="68">
        <v>2</v>
      </c>
      <c r="Y38" s="71" t="s">
        <v>33</v>
      </c>
      <c r="Z38" s="68"/>
    </row>
    <row r="39" spans="1:26" x14ac:dyDescent="0.25">
      <c r="A39" s="90" t="str">
        <f t="shared" si="5"/>
        <v>665</v>
      </c>
      <c r="B39" t="s">
        <v>714</v>
      </c>
      <c r="C39" t="s">
        <v>34</v>
      </c>
      <c r="D39" t="s">
        <v>715</v>
      </c>
      <c r="E39">
        <v>3</v>
      </c>
      <c r="F39" t="s">
        <v>236</v>
      </c>
      <c r="G39" s="73" t="str">
        <f t="shared" si="6"/>
        <v>A</v>
      </c>
      <c r="H39" s="105"/>
      <c r="I39" s="109" t="s">
        <v>35</v>
      </c>
      <c r="M39" s="68"/>
      <c r="N39" s="69" t="s">
        <v>132</v>
      </c>
      <c r="O39" s="68">
        <v>45</v>
      </c>
      <c r="Y39" s="70" t="s">
        <v>597</v>
      </c>
      <c r="Z39" s="68">
        <v>1</v>
      </c>
    </row>
    <row r="40" spans="1:26" x14ac:dyDescent="0.25">
      <c r="A40" s="90" t="str">
        <f t="shared" si="5"/>
        <v>666</v>
      </c>
      <c r="B40" t="s">
        <v>712</v>
      </c>
      <c r="C40" t="s">
        <v>34</v>
      </c>
      <c r="D40" t="s">
        <v>713</v>
      </c>
      <c r="E40">
        <v>3</v>
      </c>
      <c r="F40" t="s">
        <v>72</v>
      </c>
      <c r="G40" s="90" t="str">
        <f t="shared" si="6"/>
        <v>A</v>
      </c>
      <c r="H40" s="105"/>
      <c r="I40" s="109" t="s">
        <v>35</v>
      </c>
      <c r="M40" s="68"/>
      <c r="N40" s="69" t="s">
        <v>31</v>
      </c>
      <c r="O40" s="68">
        <v>77</v>
      </c>
      <c r="Y40" s="71" t="s">
        <v>667</v>
      </c>
      <c r="Z40" s="68">
        <v>1</v>
      </c>
    </row>
    <row r="41" spans="1:26" x14ac:dyDescent="0.25">
      <c r="A41" s="90" t="str">
        <f t="shared" si="5"/>
        <v>667</v>
      </c>
      <c r="B41" t="s">
        <v>710</v>
      </c>
      <c r="C41" t="s">
        <v>34</v>
      </c>
      <c r="D41" t="s">
        <v>711</v>
      </c>
      <c r="E41">
        <v>2</v>
      </c>
      <c r="F41" t="s">
        <v>112</v>
      </c>
      <c r="G41" s="90" t="str">
        <f t="shared" si="6"/>
        <v>A</v>
      </c>
      <c r="H41" s="105"/>
      <c r="I41" s="109" t="s">
        <v>35</v>
      </c>
      <c r="M41" s="68"/>
      <c r="Y41" s="69" t="s">
        <v>662</v>
      </c>
      <c r="Z41" s="68">
        <v>1</v>
      </c>
    </row>
    <row r="42" spans="1:26" x14ac:dyDescent="0.25">
      <c r="A42" s="73" t="str">
        <f t="shared" si="5"/>
        <v>668</v>
      </c>
      <c r="B42" t="s">
        <v>708</v>
      </c>
      <c r="C42" t="s">
        <v>33</v>
      </c>
      <c r="D42" t="s">
        <v>709</v>
      </c>
      <c r="E42">
        <v>3</v>
      </c>
      <c r="F42" t="s">
        <v>72</v>
      </c>
      <c r="G42" s="90" t="str">
        <f t="shared" si="6"/>
        <v>A</v>
      </c>
      <c r="H42" s="105"/>
      <c r="I42" s="109" t="s">
        <v>35</v>
      </c>
      <c r="M42" s="68"/>
      <c r="Y42" s="69" t="s">
        <v>81</v>
      </c>
      <c r="Z42" s="68"/>
    </row>
    <row r="43" spans="1:26" x14ac:dyDescent="0.25">
      <c r="A43" s="73" t="str">
        <f t="shared" si="5"/>
        <v>669</v>
      </c>
      <c r="B43" t="s">
        <v>706</v>
      </c>
      <c r="C43" t="s">
        <v>33</v>
      </c>
      <c r="D43" t="s">
        <v>707</v>
      </c>
      <c r="E43">
        <v>3</v>
      </c>
      <c r="F43" t="s">
        <v>72</v>
      </c>
      <c r="G43" s="73" t="str">
        <f t="shared" si="6"/>
        <v>A</v>
      </c>
      <c r="H43" s="105"/>
      <c r="I43" s="109" t="s">
        <v>35</v>
      </c>
      <c r="M43" s="68"/>
      <c r="Y43" s="71" t="s">
        <v>33</v>
      </c>
      <c r="Z43" s="68"/>
    </row>
    <row r="44" spans="1:26" x14ac:dyDescent="0.25">
      <c r="A44" s="90" t="str">
        <f t="shared" si="5"/>
        <v>671</v>
      </c>
      <c r="B44" t="s">
        <v>737</v>
      </c>
      <c r="C44" s="95" t="s">
        <v>32</v>
      </c>
      <c r="D44" t="s">
        <v>684</v>
      </c>
      <c r="E44">
        <v>2</v>
      </c>
      <c r="F44" t="s">
        <v>64</v>
      </c>
      <c r="G44" t="str">
        <f t="shared" si="6"/>
        <v>A</v>
      </c>
      <c r="H44" s="105"/>
      <c r="I44" s="109"/>
      <c r="M44" s="68"/>
      <c r="Y44" s="70" t="s">
        <v>589</v>
      </c>
      <c r="Z44" s="68">
        <v>1</v>
      </c>
    </row>
    <row r="45" spans="1:26" x14ac:dyDescent="0.25">
      <c r="A45" s="90" t="str">
        <f t="shared" si="5"/>
        <v>672</v>
      </c>
      <c r="B45" t="s">
        <v>738</v>
      </c>
      <c r="C45" s="95" t="s">
        <v>32</v>
      </c>
      <c r="D45" t="s">
        <v>685</v>
      </c>
      <c r="E45">
        <v>2</v>
      </c>
      <c r="F45" t="s">
        <v>64</v>
      </c>
      <c r="G45" t="str">
        <f t="shared" si="6"/>
        <v>A</v>
      </c>
      <c r="H45" s="105"/>
      <c r="I45" s="109"/>
      <c r="M45" s="68"/>
      <c r="Y45" s="71" t="s">
        <v>667</v>
      </c>
      <c r="Z45" s="68">
        <v>1</v>
      </c>
    </row>
    <row r="46" spans="1:26" x14ac:dyDescent="0.25">
      <c r="A46" s="73" t="str">
        <f t="shared" si="5"/>
        <v/>
      </c>
      <c r="C46"/>
      <c r="G46" t="str">
        <f t="shared" si="6"/>
        <v/>
      </c>
      <c r="H46" s="105"/>
      <c r="I46" s="109"/>
      <c r="M46" s="68"/>
      <c r="Y46" s="69" t="s">
        <v>663</v>
      </c>
      <c r="Z46" s="68">
        <v>1</v>
      </c>
    </row>
    <row r="47" spans="1:26" x14ac:dyDescent="0.25">
      <c r="A47" s="90" t="str">
        <f t="shared" si="5"/>
        <v/>
      </c>
      <c r="C47"/>
      <c r="G47" s="90" t="str">
        <f t="shared" si="6"/>
        <v/>
      </c>
      <c r="H47" s="105"/>
      <c r="I47" s="109"/>
      <c r="M47" s="68"/>
      <c r="Y47" s="69" t="s">
        <v>236</v>
      </c>
      <c r="Z47" s="68"/>
    </row>
    <row r="48" spans="1:26" x14ac:dyDescent="0.25">
      <c r="A48" s="73" t="str">
        <f t="shared" si="5"/>
        <v/>
      </c>
      <c r="C48"/>
      <c r="G48" t="str">
        <f t="shared" si="6"/>
        <v/>
      </c>
      <c r="H48" s="105"/>
      <c r="I48" s="109"/>
      <c r="Y48" s="71" t="s">
        <v>33</v>
      </c>
      <c r="Z48" s="68"/>
    </row>
    <row r="49" spans="1:26" x14ac:dyDescent="0.25">
      <c r="A49" s="90" t="str">
        <f t="shared" si="5"/>
        <v/>
      </c>
      <c r="C49"/>
      <c r="E49" s="13"/>
      <c r="G49" s="90" t="str">
        <f t="shared" si="6"/>
        <v/>
      </c>
      <c r="H49" s="105"/>
      <c r="I49" s="109"/>
      <c r="Y49" s="70" t="s">
        <v>533</v>
      </c>
      <c r="Z49" s="68">
        <v>1</v>
      </c>
    </row>
    <row r="50" spans="1:26" x14ac:dyDescent="0.25">
      <c r="A50" s="90" t="str">
        <f t="shared" si="5"/>
        <v/>
      </c>
      <c r="B50" s="105"/>
      <c r="C50"/>
      <c r="D50" s="105"/>
      <c r="E50" s="105"/>
      <c r="F50" s="107"/>
      <c r="G50" s="90" t="str">
        <f t="shared" si="6"/>
        <v/>
      </c>
      <c r="H50" s="105"/>
      <c r="I50" s="109"/>
      <c r="Y50" s="71" t="s">
        <v>667</v>
      </c>
      <c r="Z50" s="68">
        <v>1</v>
      </c>
    </row>
    <row r="51" spans="1:26" x14ac:dyDescent="0.25">
      <c r="A51" s="73" t="str">
        <f t="shared" si="5"/>
        <v/>
      </c>
      <c r="C51"/>
      <c r="G51" s="73" t="str">
        <f t="shared" si="6"/>
        <v/>
      </c>
      <c r="H51" s="105"/>
      <c r="I51" s="109"/>
      <c r="Y51" s="71" t="s">
        <v>32</v>
      </c>
      <c r="Z51" s="68"/>
    </row>
    <row r="52" spans="1:26" x14ac:dyDescent="0.25">
      <c r="A52" s="90" t="str">
        <f t="shared" si="5"/>
        <v/>
      </c>
      <c r="C52"/>
      <c r="G52" s="90" t="str">
        <f t="shared" si="6"/>
        <v/>
      </c>
      <c r="H52" s="105"/>
      <c r="I52" s="109"/>
      <c r="Y52" s="70" t="s">
        <v>567</v>
      </c>
      <c r="Z52" s="68">
        <v>1</v>
      </c>
    </row>
    <row r="53" spans="1:26" x14ac:dyDescent="0.25">
      <c r="A53" s="90" t="str">
        <f t="shared" si="5"/>
        <v/>
      </c>
      <c r="C53"/>
      <c r="G53" s="90" t="str">
        <f t="shared" si="6"/>
        <v/>
      </c>
      <c r="H53" s="105"/>
      <c r="I53" s="109"/>
      <c r="K53" t="s">
        <v>669</v>
      </c>
      <c r="Y53" s="70" t="s">
        <v>633</v>
      </c>
      <c r="Z53" s="68">
        <v>1</v>
      </c>
    </row>
    <row r="54" spans="1:26" x14ac:dyDescent="0.25">
      <c r="A54" s="73" t="str">
        <f t="shared" si="5"/>
        <v/>
      </c>
      <c r="C54"/>
      <c r="E54" s="13"/>
      <c r="G54" s="73" t="str">
        <f t="shared" si="6"/>
        <v/>
      </c>
      <c r="H54" s="105"/>
      <c r="I54" s="109"/>
      <c r="M54" s="68"/>
      <c r="Y54" s="71" t="s">
        <v>668</v>
      </c>
      <c r="Z54" s="68">
        <v>2</v>
      </c>
    </row>
    <row r="55" spans="1:26" x14ac:dyDescent="0.25">
      <c r="A55" s="90" t="str">
        <f t="shared" si="5"/>
        <v/>
      </c>
      <c r="C55"/>
      <c r="G55" s="90" t="str">
        <f t="shared" si="6"/>
        <v/>
      </c>
      <c r="H55" s="105"/>
      <c r="I55" s="109"/>
      <c r="M55" s="68"/>
      <c r="Y55" s="69" t="s">
        <v>664</v>
      </c>
      <c r="Z55" s="68">
        <v>3</v>
      </c>
    </row>
    <row r="56" spans="1:26" x14ac:dyDescent="0.25">
      <c r="A56" s="90" t="str">
        <f t="shared" si="5"/>
        <v/>
      </c>
      <c r="C56"/>
      <c r="G56" s="90" t="str">
        <f t="shared" si="6"/>
        <v/>
      </c>
      <c r="H56" s="105"/>
      <c r="I56" s="109"/>
      <c r="K56" s="71"/>
      <c r="L56" s="68"/>
      <c r="M56" s="68"/>
      <c r="Y56" s="69" t="s">
        <v>72</v>
      </c>
      <c r="Z56" s="68"/>
    </row>
    <row r="57" spans="1:26" x14ac:dyDescent="0.25">
      <c r="A57" s="90" t="str">
        <f t="shared" si="5"/>
        <v/>
      </c>
      <c r="C57"/>
      <c r="G57" s="90" t="str">
        <f t="shared" si="6"/>
        <v/>
      </c>
      <c r="H57" s="105"/>
      <c r="I57" s="109"/>
      <c r="K57" s="69"/>
      <c r="L57" s="68"/>
      <c r="Y57" s="71" t="s">
        <v>32</v>
      </c>
      <c r="Z57" s="68"/>
    </row>
    <row r="58" spans="1:26" x14ac:dyDescent="0.25">
      <c r="B58" s="106"/>
      <c r="D58" s="106"/>
      <c r="E58" s="106"/>
      <c r="F58" s="106"/>
      <c r="K58" s="69"/>
      <c r="L58" s="68"/>
      <c r="Y58" s="70" t="s">
        <v>599</v>
      </c>
      <c r="Z58" s="68">
        <v>1</v>
      </c>
    </row>
    <row r="59" spans="1:26" x14ac:dyDescent="0.25">
      <c r="B59" s="106"/>
      <c r="D59" s="106"/>
      <c r="E59" s="106"/>
      <c r="F59" s="106"/>
      <c r="Y59" s="70" t="s">
        <v>603</v>
      </c>
      <c r="Z59" s="68">
        <v>1</v>
      </c>
    </row>
    <row r="60" spans="1:26" x14ac:dyDescent="0.25">
      <c r="Y60" s="71" t="s">
        <v>668</v>
      </c>
      <c r="Z60" s="68">
        <v>2</v>
      </c>
    </row>
    <row r="61" spans="1:26" x14ac:dyDescent="0.25">
      <c r="Y61" s="69" t="s">
        <v>665</v>
      </c>
      <c r="Z61" s="68">
        <v>2</v>
      </c>
    </row>
    <row r="62" spans="1:26" x14ac:dyDescent="0.25">
      <c r="Y62" s="69" t="s">
        <v>31</v>
      </c>
      <c r="Z62" s="68">
        <v>16</v>
      </c>
    </row>
  </sheetData>
  <sheetProtection sort="0" autoFilter="0" pivotTables="0"/>
  <mergeCells count="1">
    <mergeCell ref="AC9:AD9"/>
  </mergeCells>
  <conditionalFormatting sqref="I2:I13">
    <cfRule type="expression" dxfId="366" priority="25">
      <formula>$C2="Done"</formula>
    </cfRule>
  </conditionalFormatting>
  <conditionalFormatting sqref="C2:C13">
    <cfRule type="expression" dxfId="365" priority="23">
      <formula>C2="Blocked"</formula>
    </cfRule>
    <cfRule type="expression" dxfId="364" priority="24">
      <formula>C2="Done"</formula>
    </cfRule>
  </conditionalFormatting>
  <conditionalFormatting sqref="I2:I13">
    <cfRule type="expression" dxfId="363" priority="22" stopIfTrue="1">
      <formula>IF(C2="Done", IF(I2&lt;&gt;"Y",TRUE,FALSE),FALSE)</formula>
    </cfRule>
  </conditionalFormatting>
  <conditionalFormatting sqref="S2:S4">
    <cfRule type="expression" dxfId="362" priority="21">
      <formula>IF(S2&lt;0.8, TRUE, IF(S2&gt;1.2, TRUE, FALSE))</formula>
    </cfRule>
  </conditionalFormatting>
  <conditionalFormatting sqref="A30">
    <cfRule type="expression" dxfId="361" priority="20">
      <formula>$C30="Blocked"</formula>
    </cfRule>
  </conditionalFormatting>
  <conditionalFormatting sqref="I14:I57">
    <cfRule type="expression" dxfId="360" priority="9">
      <formula>$C14="Done"</formula>
    </cfRule>
  </conditionalFormatting>
  <conditionalFormatting sqref="C14:C53">
    <cfRule type="expression" dxfId="359" priority="7">
      <formula>C14="Blocked"</formula>
    </cfRule>
    <cfRule type="expression" dxfId="358" priority="8">
      <formula>C14="Done"</formula>
    </cfRule>
  </conditionalFormatting>
  <conditionalFormatting sqref="I14:I57">
    <cfRule type="expression" dxfId="357" priority="6" stopIfTrue="1">
      <formula>IF(C14="Done", IF(I14&lt;&gt;"Y",TRUE,FALSE),FALSE)</formula>
    </cfRule>
  </conditionalFormatting>
  <conditionalFormatting sqref="B42:I42">
    <cfRule type="expression" dxfId="356" priority="5">
      <formula>$C42="Blocked"</formula>
    </cfRule>
  </conditionalFormatting>
  <conditionalFormatting sqref="D55:D57">
    <cfRule type="expression" dxfId="355" priority="3">
      <formula>D55="Blocked"</formula>
    </cfRule>
    <cfRule type="expression" dxfId="354" priority="4">
      <formula>D55="Done"</formula>
    </cfRule>
  </conditionalFormatting>
  <conditionalFormatting sqref="C54:C57">
    <cfRule type="expression" dxfId="353" priority="1">
      <formula>C54="Blocked"</formula>
    </cfRule>
    <cfRule type="expression" dxfId="352" priority="2">
      <formula>C54="Done"</formula>
    </cfRule>
  </conditionalFormatting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8" name="Button 1">
              <controlPr defaultSize="0" print="0" autoFill="0" autoPict="0" macro="[0]!ResetAndLock">
                <anchor moveWithCells="1" sizeWithCells="1">
                  <from>
                    <xdr:col>18</xdr:col>
                    <xdr:colOff>952500</xdr:colOff>
                    <xdr:row>8</xdr:row>
                    <xdr:rowOff>9525</xdr:rowOff>
                  </from>
                  <to>
                    <xdr:col>23</xdr:col>
                    <xdr:colOff>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7">
    <tablePart r:id="rId9"/>
    <tablePart r:id="rId10"/>
    <tablePart r:id="rId11"/>
    <tablePart r:id="rId12"/>
    <tablePart r:id="rId13"/>
    <tablePart r:id="rId14"/>
    <tablePart r:id="rId15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AD62"/>
  <sheetViews>
    <sheetView zoomScale="101" zoomScaleNormal="110" workbookViewId="0">
      <selection activeCell="F60" sqref="F60"/>
    </sheetView>
  </sheetViews>
  <sheetFormatPr defaultRowHeight="15" x14ac:dyDescent="0.25"/>
  <cols>
    <col min="2" max="2" width="12.28515625" customWidth="1"/>
    <col min="3" max="3" width="11" style="106" customWidth="1"/>
    <col min="4" max="4" width="32.85546875" customWidth="1"/>
    <col min="5" max="5" width="8.85546875" customWidth="1"/>
    <col min="6" max="6" width="13.140625" customWidth="1"/>
    <col min="7" max="7" width="9.5703125" customWidth="1"/>
    <col min="8" max="8" width="11.5703125" style="106" customWidth="1"/>
    <col min="9" max="9" width="10.85546875" style="106" customWidth="1"/>
    <col min="10" max="10" width="4.28515625" customWidth="1"/>
    <col min="11" max="11" width="14.42578125" bestFit="1" customWidth="1"/>
    <col min="12" max="12" width="6.42578125" bestFit="1" customWidth="1"/>
    <col min="13" max="13" width="6.42578125" customWidth="1"/>
    <col min="14" max="14" width="11.28515625" bestFit="1" customWidth="1"/>
    <col min="15" max="15" width="18.42578125" bestFit="1" customWidth="1"/>
    <col min="16" max="16" width="19" customWidth="1"/>
    <col min="17" max="17" width="16.28515625" customWidth="1"/>
    <col min="18" max="18" width="16.5703125" customWidth="1"/>
    <col min="19" max="19" width="14.5703125" customWidth="1"/>
    <col min="20" max="20" width="18.140625" customWidth="1"/>
    <col min="21" max="21" width="1.42578125" customWidth="1"/>
    <col min="22" max="22" width="11" customWidth="1"/>
    <col min="23" max="23" width="10.85546875" bestFit="1" customWidth="1"/>
    <col min="25" max="25" width="78.85546875" bestFit="1" customWidth="1"/>
    <col min="26" max="26" width="14.5703125" bestFit="1" customWidth="1"/>
    <col min="28" max="28" width="11.5703125" customWidth="1"/>
  </cols>
  <sheetData>
    <row r="1" spans="1:30" ht="30.75" customHeight="1" x14ac:dyDescent="0.25">
      <c r="A1" t="s">
        <v>231</v>
      </c>
      <c r="B1" t="s">
        <v>48</v>
      </c>
      <c r="C1" s="106" t="s">
        <v>47</v>
      </c>
      <c r="D1" t="s">
        <v>46</v>
      </c>
      <c r="E1" t="s">
        <v>38</v>
      </c>
      <c r="F1" t="s">
        <v>45</v>
      </c>
      <c r="G1" t="s">
        <v>44</v>
      </c>
      <c r="H1" s="106" t="s">
        <v>43</v>
      </c>
      <c r="I1" s="106" t="s">
        <v>144</v>
      </c>
      <c r="N1" t="s">
        <v>133</v>
      </c>
      <c r="O1" t="s">
        <v>134</v>
      </c>
      <c r="P1" t="s">
        <v>41</v>
      </c>
      <c r="Q1" t="s">
        <v>135</v>
      </c>
      <c r="R1" t="s">
        <v>136</v>
      </c>
      <c r="S1" s="86" t="s">
        <v>143</v>
      </c>
      <c r="T1" s="86" t="s">
        <v>141</v>
      </c>
      <c r="U1" s="80" t="s">
        <v>40</v>
      </c>
      <c r="V1" s="86" t="s">
        <v>142</v>
      </c>
      <c r="W1" s="86" t="s">
        <v>145</v>
      </c>
      <c r="Y1" s="72" t="s">
        <v>39</v>
      </c>
      <c r="Z1" t="s">
        <v>666</v>
      </c>
    </row>
    <row r="2" spans="1:30" x14ac:dyDescent="0.25">
      <c r="A2" s="90" t="str">
        <f t="shared" ref="A2:A33" si="0">MID(B2,8,3)</f>
        <v>194</v>
      </c>
      <c r="B2" t="s">
        <v>532</v>
      </c>
      <c r="C2" t="s">
        <v>33</v>
      </c>
      <c r="D2" t="s">
        <v>533</v>
      </c>
      <c r="E2">
        <v>5</v>
      </c>
      <c r="F2" t="s">
        <v>236</v>
      </c>
      <c r="G2" t="str">
        <f t="shared" ref="G2:G33" si="1">MID(B2,4,1)</f>
        <v>A</v>
      </c>
      <c r="H2" s="105"/>
      <c r="I2" s="109"/>
      <c r="K2" s="72" t="s">
        <v>119</v>
      </c>
      <c r="L2" t="s">
        <v>120</v>
      </c>
      <c r="N2" t="s">
        <v>2</v>
      </c>
      <c r="O2">
        <f>+O10-Table92431384559[[#This Row],[Blocked]]</f>
        <v>51</v>
      </c>
      <c r="P2">
        <f>IF(ISERR(P10),0,P10)</f>
        <v>34</v>
      </c>
      <c r="Q2">
        <f>IF(ISERR(Q10),0,Q10)</f>
        <v>5</v>
      </c>
      <c r="R2">
        <f>+IF(ISERR(R14),0,R14)</f>
        <v>66</v>
      </c>
      <c r="S2" s="88">
        <f>Table92431384559[[#This Row],[Completed]]/Table92431384559[[#This Row],[Committed]]</f>
        <v>1.2941176470588236</v>
      </c>
      <c r="T2" s="83">
        <f>Table92431384559[[#This Row],[Completed]]/(Table92431384559[[#This Row],[Added]]+Table92431384559[[#This Row],[Committed]])</f>
        <v>0.77647058823529413</v>
      </c>
      <c r="V2" s="84" t="str">
        <f>IF(ISERR(O14),0,O14) &amp; "  (" &amp;TEXT(IF(ISERR(O14),0,O14)/Table92431384559[[#This Row],[Committed]],"#%") &amp; ")"</f>
        <v>33  (65%)</v>
      </c>
      <c r="W2" s="85" t="str">
        <f>+IF(ISERR(P14),0,P14) &amp; " (" &amp; TEXT(R18, "#%") &amp; ")"</f>
        <v>33 (97%)</v>
      </c>
      <c r="Y2" s="69" t="s">
        <v>61</v>
      </c>
      <c r="Z2" s="68"/>
    </row>
    <row r="3" spans="1:30" x14ac:dyDescent="0.25">
      <c r="A3" s="73" t="str">
        <f t="shared" si="0"/>
        <v>445</v>
      </c>
      <c r="B3" t="s">
        <v>552</v>
      </c>
      <c r="C3" t="s">
        <v>135</v>
      </c>
      <c r="D3" t="s">
        <v>553</v>
      </c>
      <c r="E3">
        <v>5</v>
      </c>
      <c r="F3" t="s">
        <v>58</v>
      </c>
      <c r="G3" t="str">
        <f t="shared" si="1"/>
        <v>A</v>
      </c>
      <c r="H3" s="105"/>
      <c r="I3" s="109"/>
      <c r="K3" s="69" t="s">
        <v>37</v>
      </c>
      <c r="L3" s="68">
        <v>90</v>
      </c>
      <c r="N3" t="s">
        <v>3</v>
      </c>
      <c r="O3">
        <f>+O11-Table92431384559[[#This Row],[Blocked]]</f>
        <v>55</v>
      </c>
      <c r="P3">
        <f>IF(ISERR(P11),0,P11)</f>
        <v>7</v>
      </c>
      <c r="Q3">
        <f>IF(ISERR(Q11),0,Q11)</f>
        <v>6</v>
      </c>
      <c r="R3">
        <f>+IF(ISERR(R15),0,R15)</f>
        <v>38</v>
      </c>
      <c r="S3" s="88">
        <f>Table92431384559[[#This Row],[Completed]]/Table92431384559[[#This Row],[Committed]]</f>
        <v>0.69090909090909092</v>
      </c>
      <c r="T3" s="83">
        <f>Table92431384559[[#This Row],[Completed]]/(Table92431384559[[#This Row],[Added]]+Table92431384559[[#This Row],[Committed]])</f>
        <v>0.61290322580645162</v>
      </c>
      <c r="V3" s="84" t="str">
        <f>IF(ISERR(O15),0,O15) &amp; "  (" &amp;TEXT(IF(ISERR(O15),0,O15)/Table92431384559[[#This Row],[Committed]],"#%") &amp; ")"</f>
        <v>31  (56%)</v>
      </c>
      <c r="W3" s="85" t="str">
        <f>+IF(ISERR(P15),0,P15) &amp; " (" &amp; TEXT(R19, "#%") &amp; ")"</f>
        <v>7 (100%)</v>
      </c>
      <c r="Y3" s="71" t="s">
        <v>33</v>
      </c>
      <c r="Z3" s="68"/>
    </row>
    <row r="4" spans="1:30" hidden="1" x14ac:dyDescent="0.25">
      <c r="A4" s="73" t="str">
        <f t="shared" si="0"/>
        <v>520</v>
      </c>
      <c r="B4" t="s">
        <v>445</v>
      </c>
      <c r="C4" t="s">
        <v>34</v>
      </c>
      <c r="D4" t="s">
        <v>446</v>
      </c>
      <c r="E4">
        <v>3</v>
      </c>
      <c r="F4" t="s">
        <v>58</v>
      </c>
      <c r="G4" t="str">
        <f t="shared" si="1"/>
        <v>A</v>
      </c>
      <c r="H4" s="105"/>
      <c r="I4" s="109" t="s">
        <v>35</v>
      </c>
      <c r="K4" s="71" t="s">
        <v>32</v>
      </c>
      <c r="L4" s="68">
        <v>10</v>
      </c>
      <c r="N4" t="s">
        <v>303</v>
      </c>
      <c r="O4" s="68">
        <f>SUM(O2:O3)</f>
        <v>106</v>
      </c>
      <c r="P4">
        <f>SUM(P2:P3)</f>
        <v>41</v>
      </c>
      <c r="Q4" s="68">
        <f>SUM(Q2:Q3)</f>
        <v>11</v>
      </c>
      <c r="R4" s="68">
        <f>SUM(R2:R3)</f>
        <v>104</v>
      </c>
      <c r="S4" s="88">
        <f>Table92431384559[[#This Row],[Completed]]/Table92431384559[[#This Row],[Committed]]</f>
        <v>0.98113207547169812</v>
      </c>
      <c r="T4" s="83">
        <f>Table92431384559[[#This Row],[Completed]]/(Table92431384559[[#This Row],[Added]]+Table92431384559[[#This Row],[Committed]])</f>
        <v>0.70748299319727892</v>
      </c>
      <c r="V4" s="108" t="str">
        <f>IF(ISERR(SUM(O14:O15)),0,SUM(O14:O15)) &amp;"  ("&amp;TEXT(SUM(O14:O15)/O4,"#%") &amp;")"</f>
        <v>64  (60%)</v>
      </c>
      <c r="W4" s="85" t="str">
        <f>R4-SUM(O14:O15)&amp;" ("&amp;TEXT((R4-SUM(O14:O15))/IF(P4=0,1,P4),"#%")&amp;")"</f>
        <v>40 (98%)</v>
      </c>
      <c r="Y4" s="70" t="s">
        <v>625</v>
      </c>
      <c r="Z4" s="68">
        <v>1</v>
      </c>
    </row>
    <row r="5" spans="1:30" x14ac:dyDescent="0.25">
      <c r="A5" t="str">
        <f t="shared" si="0"/>
        <v>523</v>
      </c>
      <c r="B5" t="s">
        <v>632</v>
      </c>
      <c r="C5" t="s">
        <v>32</v>
      </c>
      <c r="D5" t="s">
        <v>633</v>
      </c>
      <c r="E5">
        <v>3</v>
      </c>
      <c r="F5" t="s">
        <v>236</v>
      </c>
      <c r="G5" t="str">
        <f t="shared" si="1"/>
        <v>A</v>
      </c>
      <c r="H5" s="105"/>
      <c r="I5" s="109"/>
      <c r="K5" s="71" t="s">
        <v>33</v>
      </c>
      <c r="L5" s="68">
        <v>9</v>
      </c>
      <c r="O5" t="s">
        <v>140</v>
      </c>
      <c r="S5" t="s">
        <v>220</v>
      </c>
      <c r="Y5" s="71" t="s">
        <v>667</v>
      </c>
      <c r="Z5" s="68">
        <v>1</v>
      </c>
    </row>
    <row r="6" spans="1:30" ht="15.75" thickBot="1" x14ac:dyDescent="0.3">
      <c r="A6" s="73" t="str">
        <f t="shared" si="0"/>
        <v>598</v>
      </c>
      <c r="B6" t="s">
        <v>524</v>
      </c>
      <c r="C6" t="s">
        <v>32</v>
      </c>
      <c r="D6" t="s">
        <v>525</v>
      </c>
      <c r="E6">
        <v>3</v>
      </c>
      <c r="F6" t="s">
        <v>61</v>
      </c>
      <c r="G6" t="str">
        <f t="shared" si="1"/>
        <v>A</v>
      </c>
      <c r="H6" s="105"/>
      <c r="I6" s="109"/>
      <c r="K6" s="71" t="s">
        <v>34</v>
      </c>
      <c r="L6" s="68">
        <v>66</v>
      </c>
      <c r="Y6" s="71" t="s">
        <v>32</v>
      </c>
      <c r="Z6" s="68"/>
    </row>
    <row r="7" spans="1:30" ht="15.75" hidden="1" thickBot="1" x14ac:dyDescent="0.3">
      <c r="A7" s="90" t="str">
        <f t="shared" si="0"/>
        <v>601</v>
      </c>
      <c r="B7" t="s">
        <v>520</v>
      </c>
      <c r="C7" t="s">
        <v>34</v>
      </c>
      <c r="D7" t="s">
        <v>521</v>
      </c>
      <c r="E7">
        <v>3</v>
      </c>
      <c r="F7" t="s">
        <v>112</v>
      </c>
      <c r="G7" t="str">
        <f t="shared" si="1"/>
        <v>A</v>
      </c>
      <c r="H7" s="105"/>
      <c r="I7" s="109" t="s">
        <v>35</v>
      </c>
      <c r="K7" s="71" t="s">
        <v>135</v>
      </c>
      <c r="L7" s="68">
        <v>5</v>
      </c>
      <c r="Y7" s="70" t="s">
        <v>525</v>
      </c>
      <c r="Z7" s="68">
        <v>1</v>
      </c>
    </row>
    <row r="8" spans="1:30" ht="15.75" hidden="1" thickBot="1" x14ac:dyDescent="0.3">
      <c r="A8" s="90" t="str">
        <f t="shared" si="0"/>
        <v>605</v>
      </c>
      <c r="B8" t="s">
        <v>518</v>
      </c>
      <c r="C8" t="s">
        <v>34</v>
      </c>
      <c r="D8" t="s">
        <v>519</v>
      </c>
      <c r="E8">
        <v>3</v>
      </c>
      <c r="F8" t="s">
        <v>61</v>
      </c>
      <c r="G8" s="90" t="str">
        <f t="shared" si="1"/>
        <v>A</v>
      </c>
      <c r="H8" s="105"/>
      <c r="I8" s="109" t="s">
        <v>35</v>
      </c>
      <c r="K8" s="69" t="s">
        <v>36</v>
      </c>
      <c r="L8" s="68">
        <v>68</v>
      </c>
      <c r="M8" s="68"/>
      <c r="N8" t="s">
        <v>139</v>
      </c>
      <c r="R8" t="s">
        <v>138</v>
      </c>
      <c r="Y8" s="70" t="s">
        <v>623</v>
      </c>
      <c r="Z8" s="68">
        <v>1</v>
      </c>
    </row>
    <row r="9" spans="1:30" ht="15.75" thickBot="1" x14ac:dyDescent="0.3">
      <c r="A9" s="90" t="str">
        <f t="shared" si="0"/>
        <v>626</v>
      </c>
      <c r="B9" t="s">
        <v>630</v>
      </c>
      <c r="C9" t="s">
        <v>32</v>
      </c>
      <c r="D9" t="s">
        <v>631</v>
      </c>
      <c r="E9">
        <v>2</v>
      </c>
      <c r="F9" t="s">
        <v>58</v>
      </c>
      <c r="G9" t="str">
        <f t="shared" si="1"/>
        <v>A</v>
      </c>
      <c r="H9" s="105"/>
      <c r="I9" s="109"/>
      <c r="K9" s="71" t="s">
        <v>32</v>
      </c>
      <c r="L9" s="68">
        <v>11</v>
      </c>
      <c r="M9" s="68"/>
      <c r="N9" t="s">
        <v>133</v>
      </c>
      <c r="O9" t="s">
        <v>42</v>
      </c>
      <c r="P9" t="s">
        <v>41</v>
      </c>
      <c r="Q9" s="82" t="s">
        <v>135</v>
      </c>
      <c r="R9" t="s">
        <v>128</v>
      </c>
      <c r="Y9" s="71" t="s">
        <v>668</v>
      </c>
      <c r="Z9" s="68">
        <v>2</v>
      </c>
      <c r="AC9" s="195" t="s">
        <v>634</v>
      </c>
      <c r="AD9" s="196"/>
    </row>
    <row r="10" spans="1:30" ht="15.75" hidden="1" thickTop="1" x14ac:dyDescent="0.25">
      <c r="A10" s="90" t="str">
        <f t="shared" si="0"/>
        <v>631</v>
      </c>
      <c r="B10" t="s">
        <v>628</v>
      </c>
      <c r="C10" t="s">
        <v>34</v>
      </c>
      <c r="D10" t="s">
        <v>629</v>
      </c>
      <c r="E10">
        <v>2</v>
      </c>
      <c r="F10" t="s">
        <v>64</v>
      </c>
      <c r="G10" s="90" t="str">
        <f t="shared" si="1"/>
        <v>A</v>
      </c>
      <c r="H10" s="105"/>
      <c r="I10" s="109" t="s">
        <v>35</v>
      </c>
      <c r="K10" s="71" t="s">
        <v>33</v>
      </c>
      <c r="L10" s="68">
        <v>13</v>
      </c>
      <c r="M10" s="68"/>
      <c r="N10" t="s">
        <v>2</v>
      </c>
      <c r="O10">
        <f>+GETPIVOTDATA("Story Points2",$K$20,"Project","A","Added After",)</f>
        <v>56</v>
      </c>
      <c r="P10">
        <f>IFERROR(AC10,0)</f>
        <v>34</v>
      </c>
      <c r="Q10" s="81">
        <f>IFERROR(AD10,0)</f>
        <v>5</v>
      </c>
      <c r="R10">
        <f t="shared" ref="R10:R11" si="2">+IF(ISERR(P10),0,P10)+IF(ISERR(O10),0,O10)</f>
        <v>90</v>
      </c>
      <c r="V10" s="13"/>
      <c r="W10" s="13"/>
      <c r="Y10" s="69" t="s">
        <v>656</v>
      </c>
      <c r="Z10" s="68">
        <v>3</v>
      </c>
      <c r="AC10" s="121">
        <f>+GETPIVOTDATA("Story Points2",$K$20,"Project","A","Added After","Y")</f>
        <v>34</v>
      </c>
      <c r="AD10" s="122">
        <f>GETPIVOTDATA("Story Points2",$K$2,"Status","Blocked","Project","A")</f>
        <v>5</v>
      </c>
    </row>
    <row r="11" spans="1:30" ht="15.75" hidden="1" thickTop="1" x14ac:dyDescent="0.25">
      <c r="A11" s="90" t="str">
        <f t="shared" si="0"/>
        <v>634</v>
      </c>
      <c r="B11" t="s">
        <v>626</v>
      </c>
      <c r="C11" t="s">
        <v>34</v>
      </c>
      <c r="D11" t="s">
        <v>627</v>
      </c>
      <c r="E11">
        <v>3</v>
      </c>
      <c r="F11" t="s">
        <v>72</v>
      </c>
      <c r="G11" t="str">
        <f t="shared" si="1"/>
        <v>A</v>
      </c>
      <c r="H11" s="105"/>
      <c r="I11" s="109" t="s">
        <v>35</v>
      </c>
      <c r="K11" s="71" t="s">
        <v>34</v>
      </c>
      <c r="L11" s="68">
        <v>38</v>
      </c>
      <c r="M11" s="68"/>
      <c r="N11" t="s">
        <v>3</v>
      </c>
      <c r="O11">
        <f>+GETPIVOTDATA("Story Points2",$K$20,"Project","U","Added After",)</f>
        <v>61</v>
      </c>
      <c r="P11">
        <f>IFERROR(AC11,0)</f>
        <v>7</v>
      </c>
      <c r="Q11" s="81">
        <f>IFERROR(AD11,0)</f>
        <v>6</v>
      </c>
      <c r="R11">
        <f t="shared" si="2"/>
        <v>68</v>
      </c>
      <c r="V11" s="13"/>
      <c r="W11" s="13"/>
      <c r="Y11" s="69" t="s">
        <v>112</v>
      </c>
      <c r="Z11" s="68"/>
      <c r="AC11" s="121">
        <f>+GETPIVOTDATA("Story Points2",$K$20,"Project","U","Added After","Y")</f>
        <v>7</v>
      </c>
      <c r="AD11" s="122">
        <f>GETPIVOTDATA("Story Points2",$K$2,"Status","Blocked","Project","U")</f>
        <v>6</v>
      </c>
    </row>
    <row r="12" spans="1:30" ht="15.75" thickTop="1" x14ac:dyDescent="0.25">
      <c r="A12" s="90" t="str">
        <f t="shared" si="0"/>
        <v>635</v>
      </c>
      <c r="B12" t="s">
        <v>624</v>
      </c>
      <c r="C12" t="s">
        <v>33</v>
      </c>
      <c r="D12" t="s">
        <v>625</v>
      </c>
      <c r="E12">
        <v>3</v>
      </c>
      <c r="F12" t="s">
        <v>61</v>
      </c>
      <c r="G12" t="str">
        <f t="shared" si="1"/>
        <v>A</v>
      </c>
      <c r="H12" s="105"/>
      <c r="I12" s="109"/>
      <c r="K12" s="71" t="s">
        <v>135</v>
      </c>
      <c r="L12" s="68">
        <v>6</v>
      </c>
      <c r="M12" s="68"/>
      <c r="V12" s="13"/>
      <c r="W12" s="13"/>
      <c r="Y12" s="71" t="s">
        <v>33</v>
      </c>
      <c r="Z12" s="68"/>
      <c r="AC12" s="121"/>
      <c r="AD12" s="122"/>
    </row>
    <row r="13" spans="1:30" x14ac:dyDescent="0.25">
      <c r="A13" s="90" t="str">
        <f t="shared" si="0"/>
        <v>636</v>
      </c>
      <c r="B13" t="s">
        <v>622</v>
      </c>
      <c r="C13" t="s">
        <v>32</v>
      </c>
      <c r="D13" t="s">
        <v>623</v>
      </c>
      <c r="E13">
        <v>2</v>
      </c>
      <c r="F13" t="s">
        <v>61</v>
      </c>
      <c r="G13" s="90" t="str">
        <f t="shared" si="1"/>
        <v>A</v>
      </c>
      <c r="H13" s="105"/>
      <c r="I13" s="109"/>
      <c r="K13" s="69" t="s">
        <v>31</v>
      </c>
      <c r="L13" s="68">
        <v>158</v>
      </c>
      <c r="M13" s="68"/>
      <c r="N13" t="s">
        <v>34</v>
      </c>
      <c r="O13" t="s">
        <v>126</v>
      </c>
      <c r="P13" t="s">
        <v>125</v>
      </c>
      <c r="Q13" s="80" t="s">
        <v>40</v>
      </c>
      <c r="R13" t="s">
        <v>127</v>
      </c>
      <c r="V13" s="13"/>
      <c r="W13" s="13"/>
      <c r="Y13" s="70" t="s">
        <v>579</v>
      </c>
      <c r="Z13" s="68">
        <v>1</v>
      </c>
      <c r="AC13" s="121"/>
      <c r="AD13" s="122"/>
    </row>
    <row r="14" spans="1:30" hidden="1" x14ac:dyDescent="0.25">
      <c r="A14" s="73" t="str">
        <f t="shared" si="0"/>
        <v>638</v>
      </c>
      <c r="B14" t="s">
        <v>620</v>
      </c>
      <c r="C14" t="s">
        <v>34</v>
      </c>
      <c r="D14" t="s">
        <v>621</v>
      </c>
      <c r="E14">
        <v>5</v>
      </c>
      <c r="G14" t="str">
        <f t="shared" si="1"/>
        <v>A</v>
      </c>
      <c r="I14" s="109" t="s">
        <v>35</v>
      </c>
      <c r="M14" s="68"/>
      <c r="N14" t="s">
        <v>2</v>
      </c>
      <c r="O14">
        <f>IFERROR(AC14,0)</f>
        <v>33</v>
      </c>
      <c r="P14">
        <f>IFERROR(AD14,0)</f>
        <v>33</v>
      </c>
      <c r="R14">
        <f t="shared" ref="R14:R15" si="3">+IF(ISERR(P14),0,P14)+IF(ISERR(O14),0,O14)</f>
        <v>66</v>
      </c>
      <c r="V14" s="13"/>
      <c r="W14" s="13"/>
      <c r="Y14" s="70" t="s">
        <v>585</v>
      </c>
      <c r="Z14" s="68">
        <v>1</v>
      </c>
      <c r="AC14" s="121">
        <f>+GETPIVOTDATA("Story Points2",$K$20,"Status","Done","Project","A","Added After",)</f>
        <v>33</v>
      </c>
      <c r="AD14" s="122">
        <f>+GETPIVOTDATA("Story Points2",$K$20,"Status","Done","Project","A","Added After","Y")</f>
        <v>33</v>
      </c>
    </row>
    <row r="15" spans="1:30" hidden="1" x14ac:dyDescent="0.25">
      <c r="A15" s="90" t="str">
        <f t="shared" si="0"/>
        <v>639</v>
      </c>
      <c r="B15" t="s">
        <v>618</v>
      </c>
      <c r="C15" t="s">
        <v>34</v>
      </c>
      <c r="D15" t="s">
        <v>619</v>
      </c>
      <c r="E15">
        <v>2</v>
      </c>
      <c r="F15" t="s">
        <v>112</v>
      </c>
      <c r="G15" s="90" t="str">
        <f t="shared" si="1"/>
        <v>A</v>
      </c>
      <c r="H15" s="105"/>
      <c r="I15" s="109" t="s">
        <v>35</v>
      </c>
      <c r="N15" t="s">
        <v>3</v>
      </c>
      <c r="O15">
        <f>IFERROR(AC15,0)</f>
        <v>31</v>
      </c>
      <c r="P15">
        <f>IFERROR(AD15,0)</f>
        <v>7</v>
      </c>
      <c r="R15">
        <f t="shared" si="3"/>
        <v>38</v>
      </c>
      <c r="V15" s="13"/>
      <c r="W15" s="13"/>
      <c r="Y15" s="71" t="s">
        <v>667</v>
      </c>
      <c r="Z15" s="68">
        <v>2</v>
      </c>
      <c r="AC15" s="121">
        <f>+GETPIVOTDATA("Story Points2",$K$20,"Status","Done","Project","U","Added After",)</f>
        <v>31</v>
      </c>
      <c r="AD15" s="122">
        <f>+GETPIVOTDATA("Story Points2",$K$20,"Status","Done","Project","U","Added After","Y")</f>
        <v>7</v>
      </c>
    </row>
    <row r="16" spans="1:30" hidden="1" x14ac:dyDescent="0.25">
      <c r="A16" s="73" t="str">
        <f t="shared" si="0"/>
        <v>640</v>
      </c>
      <c r="B16" t="s">
        <v>616</v>
      </c>
      <c r="C16" t="s">
        <v>34</v>
      </c>
      <c r="D16" t="s">
        <v>617</v>
      </c>
      <c r="E16">
        <v>2</v>
      </c>
      <c r="F16" t="s">
        <v>112</v>
      </c>
      <c r="G16" t="str">
        <f t="shared" si="1"/>
        <v>A</v>
      </c>
      <c r="H16" s="105"/>
      <c r="I16" s="109" t="s">
        <v>35</v>
      </c>
      <c r="Y16" s="69" t="s">
        <v>657</v>
      </c>
      <c r="Z16" s="68">
        <v>2</v>
      </c>
      <c r="AC16" s="121"/>
      <c r="AD16" s="122"/>
    </row>
    <row r="17" spans="1:30" hidden="1" x14ac:dyDescent="0.25">
      <c r="A17" s="90" t="str">
        <f t="shared" si="0"/>
        <v>641</v>
      </c>
      <c r="B17" t="s">
        <v>614</v>
      </c>
      <c r="C17" t="s">
        <v>34</v>
      </c>
      <c r="D17" t="s">
        <v>615</v>
      </c>
      <c r="E17">
        <v>1</v>
      </c>
      <c r="F17" t="s">
        <v>236</v>
      </c>
      <c r="G17" t="str">
        <f t="shared" si="1"/>
        <v>A</v>
      </c>
      <c r="H17" s="105"/>
      <c r="I17" s="109" t="s">
        <v>35</v>
      </c>
      <c r="N17" t="s">
        <v>34</v>
      </c>
      <c r="O17" t="s">
        <v>123</v>
      </c>
      <c r="P17" t="s">
        <v>124</v>
      </c>
      <c r="Q17" t="s">
        <v>126</v>
      </c>
      <c r="R17" t="s">
        <v>125</v>
      </c>
      <c r="Y17" s="69" t="s">
        <v>64</v>
      </c>
      <c r="Z17" s="68"/>
      <c r="AC17" s="121"/>
      <c r="AD17" s="122"/>
    </row>
    <row r="18" spans="1:30" hidden="1" x14ac:dyDescent="0.25">
      <c r="A18" s="73" t="str">
        <f t="shared" si="0"/>
        <v>643</v>
      </c>
      <c r="B18" t="s">
        <v>612</v>
      </c>
      <c r="C18" t="s">
        <v>34</v>
      </c>
      <c r="D18" t="s">
        <v>613</v>
      </c>
      <c r="E18">
        <v>3</v>
      </c>
      <c r="F18" t="s">
        <v>72</v>
      </c>
      <c r="G18" t="str">
        <f t="shared" si="1"/>
        <v>A</v>
      </c>
      <c r="H18" s="105"/>
      <c r="I18" s="109" t="s">
        <v>35</v>
      </c>
      <c r="N18" t="s">
        <v>2</v>
      </c>
      <c r="O18" s="64">
        <f>+R14/O10</f>
        <v>1.1785714285714286</v>
      </c>
      <c r="P18" s="64">
        <f t="shared" ref="P18:P19" si="4">+R14/R10</f>
        <v>0.73333333333333328</v>
      </c>
      <c r="Q18" s="64">
        <f>+O14/IF(ISERR(O10),1,O10)</f>
        <v>0.5892857142857143</v>
      </c>
      <c r="R18" s="64">
        <f>+P14/IF(ISERR(AC10),1,P10)</f>
        <v>0.97058823529411764</v>
      </c>
      <c r="Y18" s="71" t="s">
        <v>33</v>
      </c>
      <c r="Z18" s="68"/>
      <c r="AC18" s="121"/>
      <c r="AD18" s="122"/>
    </row>
    <row r="19" spans="1:30" hidden="1" x14ac:dyDescent="0.25">
      <c r="A19" s="73" t="str">
        <f t="shared" si="0"/>
        <v>644</v>
      </c>
      <c r="B19" t="s">
        <v>610</v>
      </c>
      <c r="C19" t="s">
        <v>34</v>
      </c>
      <c r="D19" t="s">
        <v>611</v>
      </c>
      <c r="E19">
        <v>3</v>
      </c>
      <c r="F19" t="s">
        <v>64</v>
      </c>
      <c r="G19" t="str">
        <f t="shared" si="1"/>
        <v>A</v>
      </c>
      <c r="H19" s="105"/>
      <c r="I19" s="109" t="s">
        <v>35</v>
      </c>
      <c r="M19" s="68"/>
      <c r="N19" t="s">
        <v>3</v>
      </c>
      <c r="O19" s="64">
        <f>+R15/O11</f>
        <v>0.62295081967213117</v>
      </c>
      <c r="P19" s="64">
        <f t="shared" si="4"/>
        <v>0.55882352941176472</v>
      </c>
      <c r="Q19" s="64">
        <f>+O15/IF(ISERR(O11),1,O11)</f>
        <v>0.50819672131147542</v>
      </c>
      <c r="R19" s="64">
        <f>+P15/IF(ISERR(AC11),1,P11)</f>
        <v>1</v>
      </c>
      <c r="Y19" s="70" t="s">
        <v>648</v>
      </c>
      <c r="Z19" s="68">
        <v>1</v>
      </c>
      <c r="AC19" s="121"/>
      <c r="AD19" s="122"/>
    </row>
    <row r="20" spans="1:30" hidden="1" x14ac:dyDescent="0.25">
      <c r="A20" s="90" t="str">
        <f t="shared" si="0"/>
        <v>646</v>
      </c>
      <c r="B20" t="s">
        <v>608</v>
      </c>
      <c r="C20" t="s">
        <v>34</v>
      </c>
      <c r="D20" t="s">
        <v>609</v>
      </c>
      <c r="E20">
        <v>3</v>
      </c>
      <c r="F20" t="s">
        <v>58</v>
      </c>
      <c r="G20" s="73" t="str">
        <f t="shared" si="1"/>
        <v>A</v>
      </c>
      <c r="H20" s="105"/>
      <c r="I20" s="109" t="s">
        <v>35</v>
      </c>
      <c r="K20" s="72" t="s">
        <v>396</v>
      </c>
      <c r="L20" t="s">
        <v>120</v>
      </c>
      <c r="M20" s="68"/>
      <c r="Y20" s="71" t="s">
        <v>667</v>
      </c>
      <c r="Z20" s="68">
        <v>1</v>
      </c>
      <c r="AC20" s="121"/>
      <c r="AD20" s="122"/>
    </row>
    <row r="21" spans="1:30" hidden="1" x14ac:dyDescent="0.25">
      <c r="A21" s="73" t="str">
        <f t="shared" si="0"/>
        <v>651</v>
      </c>
      <c r="B21" t="s">
        <v>635</v>
      </c>
      <c r="C21" t="s">
        <v>34</v>
      </c>
      <c r="D21" t="s">
        <v>636</v>
      </c>
      <c r="E21" s="125">
        <v>3</v>
      </c>
      <c r="F21" t="s">
        <v>112</v>
      </c>
      <c r="G21" s="73" t="str">
        <f t="shared" si="1"/>
        <v>A</v>
      </c>
      <c r="H21" s="105" t="s">
        <v>35</v>
      </c>
      <c r="I21" s="109" t="s">
        <v>35</v>
      </c>
      <c r="K21" s="69" t="s">
        <v>122</v>
      </c>
      <c r="L21" s="68">
        <v>117</v>
      </c>
      <c r="M21" s="68"/>
      <c r="N21" t="s">
        <v>49</v>
      </c>
      <c r="O21" t="s">
        <v>126</v>
      </c>
      <c r="P21" t="s">
        <v>125</v>
      </c>
      <c r="Q21" s="80" t="s">
        <v>239</v>
      </c>
      <c r="R21" t="s">
        <v>129</v>
      </c>
      <c r="Y21" s="69" t="s">
        <v>658</v>
      </c>
      <c r="Z21" s="68">
        <v>1</v>
      </c>
      <c r="AC21" s="121"/>
      <c r="AD21" s="122"/>
    </row>
    <row r="22" spans="1:30" hidden="1" x14ac:dyDescent="0.25">
      <c r="A22" s="73" t="str">
        <f t="shared" si="0"/>
        <v>653</v>
      </c>
      <c r="B22" t="s">
        <v>637</v>
      </c>
      <c r="C22" t="s">
        <v>34</v>
      </c>
      <c r="D22" t="s">
        <v>638</v>
      </c>
      <c r="E22" s="126">
        <v>3</v>
      </c>
      <c r="F22" t="s">
        <v>72</v>
      </c>
      <c r="G22" s="73" t="str">
        <f t="shared" si="1"/>
        <v>A</v>
      </c>
      <c r="H22" s="105" t="s">
        <v>35</v>
      </c>
      <c r="I22" s="109" t="s">
        <v>35</v>
      </c>
      <c r="K22" s="71" t="s">
        <v>37</v>
      </c>
      <c r="L22" s="68">
        <v>56</v>
      </c>
      <c r="M22" s="68"/>
      <c r="N22" t="s">
        <v>2</v>
      </c>
      <c r="O22">
        <f>IFERROR(AC22,0)</f>
        <v>33</v>
      </c>
      <c r="P22">
        <f>IFERROR(AD22,0)</f>
        <v>33</v>
      </c>
      <c r="Q22">
        <f>+O10-Q10-Table72229364357[[#This Row],[Committed Done]]</f>
        <v>18</v>
      </c>
      <c r="R22">
        <f>+Table72229364357[[#This Row],[Committed Done]]+Table72229364357[[#This Row],[Added Done]]</f>
        <v>66</v>
      </c>
      <c r="Y22" s="69" t="s">
        <v>92</v>
      </c>
      <c r="Z22" s="68"/>
      <c r="AC22" s="121">
        <f>+GETPIVOTDATA("Story Points",$N$32,"Project","A","Added After",)</f>
        <v>33</v>
      </c>
      <c r="AD22" s="122">
        <f>+GETPIVOTDATA("Story Points",$N$32,"Project","A","Added After","Y")</f>
        <v>33</v>
      </c>
    </row>
    <row r="23" spans="1:30" ht="15.75" hidden="1" thickBot="1" x14ac:dyDescent="0.3">
      <c r="A23" s="90" t="str">
        <f t="shared" si="0"/>
        <v>654</v>
      </c>
      <c r="B23" t="s">
        <v>639</v>
      </c>
      <c r="C23" t="s">
        <v>34</v>
      </c>
      <c r="D23" t="s">
        <v>640</v>
      </c>
      <c r="E23" s="125">
        <v>5</v>
      </c>
      <c r="F23" t="s">
        <v>61</v>
      </c>
      <c r="G23" s="73" t="str">
        <f t="shared" si="1"/>
        <v>A</v>
      </c>
      <c r="H23" s="105" t="s">
        <v>35</v>
      </c>
      <c r="I23" s="109" t="s">
        <v>35</v>
      </c>
      <c r="K23" s="70" t="s">
        <v>32</v>
      </c>
      <c r="L23" s="68">
        <v>10</v>
      </c>
      <c r="M23" s="68"/>
      <c r="N23" t="s">
        <v>3</v>
      </c>
      <c r="O23">
        <f>IFERROR(AC23,0)</f>
        <v>36</v>
      </c>
      <c r="P23">
        <f>IFERROR(AD23,0)</f>
        <v>7</v>
      </c>
      <c r="Q23">
        <f>+O11-Q11-Table72229364357[[#This Row],[Committed Done]]</f>
        <v>19</v>
      </c>
      <c r="R23">
        <f>+Table72229364357[[#This Row],[Committed Done]]+Table72229364357[[#This Row],[Added Done]]</f>
        <v>43</v>
      </c>
      <c r="Y23" s="71" t="s">
        <v>32</v>
      </c>
      <c r="Z23" s="68"/>
      <c r="AC23" s="123">
        <f>+GETPIVOTDATA("Story Points",$N$32,"Project","U","Added After",)</f>
        <v>36</v>
      </c>
      <c r="AD23" s="124">
        <f>+GETPIVOTDATA("Story Points",$N$32,"Project","U","Added After","Y")</f>
        <v>7</v>
      </c>
    </row>
    <row r="24" spans="1:30" hidden="1" x14ac:dyDescent="0.25">
      <c r="A24" s="90" t="str">
        <f t="shared" si="0"/>
        <v>655</v>
      </c>
      <c r="B24" t="s">
        <v>641</v>
      </c>
      <c r="C24" t="s">
        <v>34</v>
      </c>
      <c r="D24" t="s">
        <v>642</v>
      </c>
      <c r="E24" s="126">
        <v>3</v>
      </c>
      <c r="F24" t="s">
        <v>64</v>
      </c>
      <c r="G24" s="73" t="str">
        <f t="shared" si="1"/>
        <v>A</v>
      </c>
      <c r="H24" s="105" t="s">
        <v>35</v>
      </c>
      <c r="I24" s="109" t="s">
        <v>35</v>
      </c>
      <c r="K24" s="70" t="s">
        <v>33</v>
      </c>
      <c r="L24" s="68">
        <v>8</v>
      </c>
      <c r="M24" s="68"/>
      <c r="Y24" s="70" t="s">
        <v>601</v>
      </c>
      <c r="Z24" s="68">
        <v>1</v>
      </c>
    </row>
    <row r="25" spans="1:30" hidden="1" x14ac:dyDescent="0.25">
      <c r="A25" s="90" t="str">
        <f t="shared" si="0"/>
        <v>656</v>
      </c>
      <c r="B25" t="s">
        <v>643</v>
      </c>
      <c r="C25" t="s">
        <v>34</v>
      </c>
      <c r="D25" t="s">
        <v>644</v>
      </c>
      <c r="E25" s="125">
        <v>3</v>
      </c>
      <c r="F25" t="s">
        <v>58</v>
      </c>
      <c r="G25" s="73" t="str">
        <f t="shared" si="1"/>
        <v>A</v>
      </c>
      <c r="H25" s="105" t="s">
        <v>35</v>
      </c>
      <c r="I25" s="109" t="s">
        <v>35</v>
      </c>
      <c r="K25" s="70" t="s">
        <v>34</v>
      </c>
      <c r="L25" s="68">
        <v>33</v>
      </c>
      <c r="M25" s="68"/>
      <c r="N25" t="s">
        <v>49</v>
      </c>
      <c r="O25" t="s">
        <v>123</v>
      </c>
      <c r="P25" t="s">
        <v>124</v>
      </c>
      <c r="Q25" t="s">
        <v>126</v>
      </c>
      <c r="R25" t="s">
        <v>130</v>
      </c>
      <c r="Y25" s="71" t="s">
        <v>668</v>
      </c>
      <c r="Z25" s="68">
        <v>1</v>
      </c>
    </row>
    <row r="26" spans="1:30" hidden="1" x14ac:dyDescent="0.25">
      <c r="A26" s="73" t="str">
        <f t="shared" si="0"/>
        <v>657</v>
      </c>
      <c r="B26" t="s">
        <v>645</v>
      </c>
      <c r="C26" t="s">
        <v>34</v>
      </c>
      <c r="D26" t="s">
        <v>646</v>
      </c>
      <c r="E26" s="126">
        <v>5</v>
      </c>
      <c r="F26" t="s">
        <v>236</v>
      </c>
      <c r="G26" s="73" t="str">
        <f t="shared" si="1"/>
        <v>A</v>
      </c>
      <c r="H26" s="105" t="s">
        <v>35</v>
      </c>
      <c r="I26" s="109" t="s">
        <v>35</v>
      </c>
      <c r="K26" s="70" t="s">
        <v>135</v>
      </c>
      <c r="L26" s="68">
        <v>5</v>
      </c>
      <c r="N26" t="s">
        <v>2</v>
      </c>
      <c r="O26" s="64">
        <f>R22/IF(O10=0, 1,O10)</f>
        <v>1.1785714285714286</v>
      </c>
      <c r="P26" s="64">
        <f>R22/IF(R10=0,1,R10)</f>
        <v>0.73333333333333328</v>
      </c>
      <c r="Q26" s="64">
        <f>O22/IF(O10=0,1,O10)</f>
        <v>0.5892857142857143</v>
      </c>
      <c r="R26" s="64">
        <f>+P22/IF(P10=0,1,P10)</f>
        <v>0.97058823529411764</v>
      </c>
      <c r="Y26" s="69" t="s">
        <v>659</v>
      </c>
      <c r="Z26" s="68">
        <v>1</v>
      </c>
    </row>
    <row r="27" spans="1:30" x14ac:dyDescent="0.25">
      <c r="A27" s="73" t="str">
        <f t="shared" si="0"/>
        <v>658</v>
      </c>
      <c r="B27" t="s">
        <v>647</v>
      </c>
      <c r="C27" t="s">
        <v>33</v>
      </c>
      <c r="D27" t="s">
        <v>648</v>
      </c>
      <c r="E27" s="127">
        <v>1</v>
      </c>
      <c r="F27" t="s">
        <v>64</v>
      </c>
      <c r="G27" s="73" t="str">
        <f t="shared" si="1"/>
        <v>A</v>
      </c>
      <c r="H27" s="105" t="s">
        <v>35</v>
      </c>
      <c r="I27" s="109"/>
      <c r="K27" s="71" t="s">
        <v>36</v>
      </c>
      <c r="L27" s="68">
        <v>61</v>
      </c>
      <c r="M27" s="68"/>
      <c r="N27" t="s">
        <v>3</v>
      </c>
      <c r="O27" s="64">
        <f>R23/IF(O11=0, 1,O11)</f>
        <v>0.70491803278688525</v>
      </c>
      <c r="P27" s="64">
        <f>R23/IF(R11=0,1,R11)</f>
        <v>0.63235294117647056</v>
      </c>
      <c r="Q27" s="64">
        <f>O23/IF(O11=0,1,O11)</f>
        <v>0.5901639344262295</v>
      </c>
      <c r="R27" s="64">
        <f>+P23/IF(P11=0,1,P11)</f>
        <v>1</v>
      </c>
      <c r="Y27" s="69" t="s">
        <v>58</v>
      </c>
      <c r="Z27" s="68"/>
    </row>
    <row r="28" spans="1:30" hidden="1" x14ac:dyDescent="0.25">
      <c r="A28" s="90" t="str">
        <f t="shared" si="0"/>
        <v>659</v>
      </c>
      <c r="B28" s="105" t="s">
        <v>672</v>
      </c>
      <c r="C28" t="s">
        <v>34</v>
      </c>
      <c r="D28" s="105" t="s">
        <v>673</v>
      </c>
      <c r="E28" s="105">
        <v>3</v>
      </c>
      <c r="F28" s="107" t="s">
        <v>72</v>
      </c>
      <c r="G28" s="90" t="str">
        <f t="shared" si="1"/>
        <v>A</v>
      </c>
      <c r="H28" s="105" t="s">
        <v>35</v>
      </c>
      <c r="I28" s="109" t="s">
        <v>35</v>
      </c>
      <c r="K28" s="70" t="s">
        <v>32</v>
      </c>
      <c r="L28" s="68">
        <v>11</v>
      </c>
      <c r="M28" s="68"/>
      <c r="Y28" s="71" t="s">
        <v>32</v>
      </c>
      <c r="Z28" s="68"/>
    </row>
    <row r="29" spans="1:30" hidden="1" x14ac:dyDescent="0.25">
      <c r="A29" s="90" t="str">
        <f t="shared" si="0"/>
        <v>660</v>
      </c>
      <c r="B29" s="105" t="s">
        <v>674</v>
      </c>
      <c r="C29" t="s">
        <v>34</v>
      </c>
      <c r="D29" s="105" t="s">
        <v>675</v>
      </c>
      <c r="E29" s="105">
        <v>5</v>
      </c>
      <c r="F29" s="107" t="s">
        <v>72</v>
      </c>
      <c r="G29" s="90" t="str">
        <f t="shared" si="1"/>
        <v>A</v>
      </c>
      <c r="H29" s="105" t="s">
        <v>35</v>
      </c>
      <c r="I29" s="109" t="s">
        <v>35</v>
      </c>
      <c r="K29" s="70" t="s">
        <v>33</v>
      </c>
      <c r="L29" s="68">
        <v>13</v>
      </c>
      <c r="M29" s="68"/>
      <c r="Y29" s="70" t="s">
        <v>631</v>
      </c>
      <c r="Z29" s="68">
        <v>1</v>
      </c>
    </row>
    <row r="30" spans="1:30" hidden="1" x14ac:dyDescent="0.25">
      <c r="A30" s="90" t="str">
        <f t="shared" si="0"/>
        <v>661</v>
      </c>
      <c r="B30" s="105" t="s">
        <v>676</v>
      </c>
      <c r="C30" t="s">
        <v>34</v>
      </c>
      <c r="D30" s="105" t="s">
        <v>677</v>
      </c>
      <c r="E30" s="105">
        <v>3</v>
      </c>
      <c r="F30" s="107" t="s">
        <v>236</v>
      </c>
      <c r="G30" s="90" t="str">
        <f t="shared" si="1"/>
        <v>A</v>
      </c>
      <c r="H30" s="105" t="s">
        <v>35</v>
      </c>
      <c r="I30" s="109" t="s">
        <v>35</v>
      </c>
      <c r="K30" s="70" t="s">
        <v>34</v>
      </c>
      <c r="L30" s="68">
        <v>31</v>
      </c>
      <c r="M30" s="68"/>
      <c r="N30" s="72" t="s">
        <v>144</v>
      </c>
      <c r="O30" t="s">
        <v>35</v>
      </c>
      <c r="Y30" s="71" t="s">
        <v>668</v>
      </c>
      <c r="Z30" s="68">
        <v>1</v>
      </c>
    </row>
    <row r="31" spans="1:30" hidden="1" x14ac:dyDescent="0.25">
      <c r="A31" s="90" t="str">
        <f t="shared" si="0"/>
        <v>731</v>
      </c>
      <c r="B31" t="s">
        <v>606</v>
      </c>
      <c r="C31" t="s">
        <v>34</v>
      </c>
      <c r="D31" t="s">
        <v>607</v>
      </c>
      <c r="E31">
        <v>3</v>
      </c>
      <c r="F31" t="s">
        <v>112</v>
      </c>
      <c r="G31" s="73" t="str">
        <f t="shared" si="1"/>
        <v>U</v>
      </c>
      <c r="H31" s="105"/>
      <c r="I31" s="109" t="s">
        <v>35</v>
      </c>
      <c r="K31" s="70" t="s">
        <v>135</v>
      </c>
      <c r="L31" s="68">
        <v>6</v>
      </c>
      <c r="M31" s="68"/>
      <c r="Y31" s="69" t="s">
        <v>660</v>
      </c>
      <c r="Z31" s="68">
        <v>1</v>
      </c>
    </row>
    <row r="32" spans="1:30" hidden="1" x14ac:dyDescent="0.25">
      <c r="A32" s="90" t="str">
        <f t="shared" si="0"/>
        <v>897</v>
      </c>
      <c r="B32" t="s">
        <v>604</v>
      </c>
      <c r="C32" t="s">
        <v>34</v>
      </c>
      <c r="D32" t="s">
        <v>605</v>
      </c>
      <c r="E32">
        <v>2</v>
      </c>
      <c r="F32" t="s">
        <v>72</v>
      </c>
      <c r="G32" s="73" t="str">
        <f t="shared" si="1"/>
        <v>U</v>
      </c>
      <c r="H32" s="105"/>
      <c r="I32" s="109" t="s">
        <v>35</v>
      </c>
      <c r="K32" s="69" t="s">
        <v>35</v>
      </c>
      <c r="L32" s="68">
        <v>41</v>
      </c>
      <c r="N32" s="72" t="s">
        <v>655</v>
      </c>
      <c r="O32" t="s">
        <v>50</v>
      </c>
      <c r="Y32" s="69" t="s">
        <v>235</v>
      </c>
      <c r="Z32" s="68"/>
    </row>
    <row r="33" spans="1:26" x14ac:dyDescent="0.25">
      <c r="A33" s="90" t="str">
        <f t="shared" si="0"/>
        <v>901</v>
      </c>
      <c r="B33" t="s">
        <v>506</v>
      </c>
      <c r="C33" t="s">
        <v>135</v>
      </c>
      <c r="D33" t="s">
        <v>507</v>
      </c>
      <c r="E33">
        <v>3</v>
      </c>
      <c r="F33" t="s">
        <v>92</v>
      </c>
      <c r="G33" s="90" t="str">
        <f t="shared" si="1"/>
        <v>U</v>
      </c>
      <c r="H33" s="105"/>
      <c r="I33" s="109"/>
      <c r="K33" s="71" t="s">
        <v>37</v>
      </c>
      <c r="L33" s="68">
        <v>34</v>
      </c>
      <c r="N33" s="69" t="s">
        <v>37</v>
      </c>
      <c r="O33" s="68"/>
      <c r="Y33" s="71" t="s">
        <v>33</v>
      </c>
      <c r="Z33" s="68"/>
    </row>
    <row r="34" spans="1:26" x14ac:dyDescent="0.25">
      <c r="A34" s="73" t="str">
        <f t="shared" ref="A34:A57" si="5">MID(B34,8,3)</f>
        <v>904</v>
      </c>
      <c r="B34" t="s">
        <v>602</v>
      </c>
      <c r="C34" t="s">
        <v>32</v>
      </c>
      <c r="D34" t="s">
        <v>603</v>
      </c>
      <c r="E34">
        <v>3</v>
      </c>
      <c r="F34" t="s">
        <v>72</v>
      </c>
      <c r="G34" t="str">
        <f t="shared" ref="G34:G57" si="6">MID(B34,4,1)</f>
        <v>U</v>
      </c>
      <c r="H34" s="105"/>
      <c r="I34" s="109"/>
      <c r="K34" s="70" t="s">
        <v>33</v>
      </c>
      <c r="L34" s="68">
        <v>1</v>
      </c>
      <c r="N34" s="71" t="s">
        <v>122</v>
      </c>
      <c r="O34" s="68">
        <v>33</v>
      </c>
      <c r="Y34" s="70" t="s">
        <v>581</v>
      </c>
      <c r="Z34" s="68">
        <v>1</v>
      </c>
    </row>
    <row r="35" spans="1:26" x14ac:dyDescent="0.25">
      <c r="A35" s="73" t="str">
        <f t="shared" si="5"/>
        <v>926</v>
      </c>
      <c r="B35" t="s">
        <v>600</v>
      </c>
      <c r="C35" t="s">
        <v>32</v>
      </c>
      <c r="D35" t="s">
        <v>601</v>
      </c>
      <c r="E35">
        <v>3</v>
      </c>
      <c r="F35" t="s">
        <v>92</v>
      </c>
      <c r="G35" t="str">
        <f t="shared" si="6"/>
        <v>U</v>
      </c>
      <c r="H35" s="105"/>
      <c r="I35" s="109"/>
      <c r="K35" s="70" t="s">
        <v>34</v>
      </c>
      <c r="L35" s="68">
        <v>33</v>
      </c>
      <c r="N35" s="71" t="s">
        <v>35</v>
      </c>
      <c r="O35" s="68">
        <v>33</v>
      </c>
      <c r="Y35" s="71" t="s">
        <v>667</v>
      </c>
      <c r="Z35" s="68">
        <v>1</v>
      </c>
    </row>
    <row r="36" spans="1:26" hidden="1" x14ac:dyDescent="0.25">
      <c r="A36" s="73" t="str">
        <f t="shared" si="5"/>
        <v>930</v>
      </c>
      <c r="B36" t="s">
        <v>564</v>
      </c>
      <c r="C36" t="s">
        <v>34</v>
      </c>
      <c r="D36" t="s">
        <v>565</v>
      </c>
      <c r="E36">
        <v>3</v>
      </c>
      <c r="F36" t="s">
        <v>92</v>
      </c>
      <c r="G36" t="str">
        <f t="shared" si="6"/>
        <v>U</v>
      </c>
      <c r="H36" s="105"/>
      <c r="I36" s="109" t="s">
        <v>35</v>
      </c>
      <c r="K36" s="71" t="s">
        <v>36</v>
      </c>
      <c r="L36" s="68">
        <v>7</v>
      </c>
      <c r="N36" s="69" t="s">
        <v>131</v>
      </c>
      <c r="O36" s="68">
        <v>66</v>
      </c>
      <c r="Y36" s="69" t="s">
        <v>661</v>
      </c>
      <c r="Z36" s="68">
        <v>1</v>
      </c>
    </row>
    <row r="37" spans="1:26" x14ac:dyDescent="0.25">
      <c r="A37" s="90" t="str">
        <f t="shared" si="5"/>
        <v>931</v>
      </c>
      <c r="B37" t="s">
        <v>598</v>
      </c>
      <c r="C37" t="s">
        <v>32</v>
      </c>
      <c r="D37" t="s">
        <v>599</v>
      </c>
      <c r="E37">
        <v>3</v>
      </c>
      <c r="F37" t="s">
        <v>72</v>
      </c>
      <c r="G37" t="str">
        <f t="shared" si="6"/>
        <v>U</v>
      </c>
      <c r="H37" s="105"/>
      <c r="I37" s="109"/>
      <c r="K37" s="70" t="s">
        <v>34</v>
      </c>
      <c r="L37" s="68">
        <v>7</v>
      </c>
      <c r="N37" s="69" t="s">
        <v>36</v>
      </c>
      <c r="O37" s="68"/>
      <c r="Y37" s="69" t="s">
        <v>89</v>
      </c>
      <c r="Z37" s="68"/>
    </row>
    <row r="38" spans="1:26" x14ac:dyDescent="0.25">
      <c r="A38" s="73" t="str">
        <f t="shared" si="5"/>
        <v>935</v>
      </c>
      <c r="B38" t="s">
        <v>596</v>
      </c>
      <c r="C38" t="s">
        <v>33</v>
      </c>
      <c r="D38" t="s">
        <v>597</v>
      </c>
      <c r="E38">
        <v>3</v>
      </c>
      <c r="F38" t="s">
        <v>89</v>
      </c>
      <c r="G38" t="str">
        <f t="shared" si="6"/>
        <v>U</v>
      </c>
      <c r="H38" s="105"/>
      <c r="I38" s="109"/>
      <c r="K38" s="69" t="s">
        <v>31</v>
      </c>
      <c r="L38" s="68">
        <v>158</v>
      </c>
      <c r="N38" s="71" t="s">
        <v>122</v>
      </c>
      <c r="O38" s="68">
        <v>36</v>
      </c>
      <c r="Y38" s="71" t="s">
        <v>33</v>
      </c>
      <c r="Z38" s="68"/>
    </row>
    <row r="39" spans="1:26" hidden="1" x14ac:dyDescent="0.25">
      <c r="A39" s="73" t="str">
        <f t="shared" si="5"/>
        <v>937</v>
      </c>
      <c r="B39" t="s">
        <v>594</v>
      </c>
      <c r="C39" t="s">
        <v>34</v>
      </c>
      <c r="D39" t="s">
        <v>595</v>
      </c>
      <c r="E39">
        <v>2</v>
      </c>
      <c r="F39" t="s">
        <v>81</v>
      </c>
      <c r="G39" t="str">
        <f t="shared" si="6"/>
        <v>U</v>
      </c>
      <c r="H39" s="105"/>
      <c r="I39" s="109" t="s">
        <v>35</v>
      </c>
      <c r="M39" s="68"/>
      <c r="N39" s="71" t="s">
        <v>35</v>
      </c>
      <c r="O39" s="68">
        <v>7</v>
      </c>
      <c r="Y39" s="70" t="s">
        <v>597</v>
      </c>
      <c r="Z39" s="68">
        <v>1</v>
      </c>
    </row>
    <row r="40" spans="1:26" hidden="1" x14ac:dyDescent="0.25">
      <c r="A40" s="73" t="str">
        <f t="shared" si="5"/>
        <v>938</v>
      </c>
      <c r="B40" t="s">
        <v>592</v>
      </c>
      <c r="C40" t="s">
        <v>34</v>
      </c>
      <c r="D40" t="s">
        <v>593</v>
      </c>
      <c r="E40">
        <v>2</v>
      </c>
      <c r="F40" t="s">
        <v>89</v>
      </c>
      <c r="G40" t="str">
        <f t="shared" si="6"/>
        <v>U</v>
      </c>
      <c r="H40" s="105"/>
      <c r="I40" s="109" t="s">
        <v>35</v>
      </c>
      <c r="M40" s="68"/>
      <c r="N40" s="69" t="s">
        <v>132</v>
      </c>
      <c r="O40" s="68">
        <v>43</v>
      </c>
      <c r="Y40" s="71" t="s">
        <v>667</v>
      </c>
      <c r="Z40" s="68">
        <v>1</v>
      </c>
    </row>
    <row r="41" spans="1:26" hidden="1" x14ac:dyDescent="0.25">
      <c r="A41" s="73" t="str">
        <f t="shared" si="5"/>
        <v>939</v>
      </c>
      <c r="B41" t="s">
        <v>590</v>
      </c>
      <c r="C41" t="s">
        <v>34</v>
      </c>
      <c r="D41" t="s">
        <v>591</v>
      </c>
      <c r="E41">
        <v>5</v>
      </c>
      <c r="F41" t="s">
        <v>89</v>
      </c>
      <c r="G41" t="str">
        <f t="shared" si="6"/>
        <v>U</v>
      </c>
      <c r="H41" s="105"/>
      <c r="I41" s="109" t="s">
        <v>35</v>
      </c>
      <c r="M41" s="68"/>
      <c r="N41" s="69" t="s">
        <v>31</v>
      </c>
      <c r="O41" s="68">
        <v>109</v>
      </c>
      <c r="Y41" s="69" t="s">
        <v>662</v>
      </c>
      <c r="Z41" s="68">
        <v>1</v>
      </c>
    </row>
    <row r="42" spans="1:26" x14ac:dyDescent="0.25">
      <c r="A42" s="73" t="str">
        <f t="shared" si="5"/>
        <v>941</v>
      </c>
      <c r="B42" t="s">
        <v>588</v>
      </c>
      <c r="C42" t="s">
        <v>33</v>
      </c>
      <c r="D42" t="s">
        <v>589</v>
      </c>
      <c r="E42">
        <v>5</v>
      </c>
      <c r="F42" t="s">
        <v>81</v>
      </c>
      <c r="G42" t="str">
        <f t="shared" si="6"/>
        <v>U</v>
      </c>
      <c r="H42" s="105"/>
      <c r="I42" s="109"/>
      <c r="M42" s="68"/>
      <c r="Y42" s="69" t="s">
        <v>81</v>
      </c>
      <c r="Z42" s="68"/>
    </row>
    <row r="43" spans="1:26" hidden="1" x14ac:dyDescent="0.25">
      <c r="A43" s="73" t="str">
        <f t="shared" si="5"/>
        <v>942</v>
      </c>
      <c r="B43" t="s">
        <v>586</v>
      </c>
      <c r="C43" t="s">
        <v>34</v>
      </c>
      <c r="D43" t="s">
        <v>587</v>
      </c>
      <c r="E43">
        <v>2</v>
      </c>
      <c r="F43" t="s">
        <v>112</v>
      </c>
      <c r="G43" t="str">
        <f t="shared" si="6"/>
        <v>U</v>
      </c>
      <c r="H43" s="105"/>
      <c r="I43" s="109" t="s">
        <v>35</v>
      </c>
      <c r="M43" s="68"/>
      <c r="Y43" s="71" t="s">
        <v>33</v>
      </c>
      <c r="Z43" s="68"/>
    </row>
    <row r="44" spans="1:26" x14ac:dyDescent="0.25">
      <c r="A44" s="73" t="str">
        <f t="shared" si="5"/>
        <v>945</v>
      </c>
      <c r="B44" t="s">
        <v>584</v>
      </c>
      <c r="C44" t="s">
        <v>33</v>
      </c>
      <c r="D44" t="s">
        <v>585</v>
      </c>
      <c r="E44">
        <v>2</v>
      </c>
      <c r="F44" t="s">
        <v>112</v>
      </c>
      <c r="G44" t="str">
        <f t="shared" si="6"/>
        <v>U</v>
      </c>
      <c r="H44" s="105"/>
      <c r="I44" s="109" t="s">
        <v>35</v>
      </c>
      <c r="M44" s="68"/>
      <c r="Y44" s="70" t="s">
        <v>589</v>
      </c>
      <c r="Z44" s="68">
        <v>1</v>
      </c>
    </row>
    <row r="45" spans="1:26" hidden="1" x14ac:dyDescent="0.25">
      <c r="A45" s="73" t="str">
        <f t="shared" si="5"/>
        <v>946</v>
      </c>
      <c r="B45" t="s">
        <v>582</v>
      </c>
      <c r="C45" t="s">
        <v>34</v>
      </c>
      <c r="D45" t="s">
        <v>583</v>
      </c>
      <c r="E45">
        <v>2</v>
      </c>
      <c r="F45" t="s">
        <v>235</v>
      </c>
      <c r="G45" t="str">
        <f t="shared" si="6"/>
        <v>U</v>
      </c>
      <c r="H45" s="105"/>
      <c r="I45" s="109" t="s">
        <v>35</v>
      </c>
      <c r="M45" s="68"/>
      <c r="Y45" s="71" t="s">
        <v>667</v>
      </c>
      <c r="Z45" s="68">
        <v>1</v>
      </c>
    </row>
    <row r="46" spans="1:26" x14ac:dyDescent="0.25">
      <c r="A46" s="73" t="str">
        <f t="shared" si="5"/>
        <v>947</v>
      </c>
      <c r="B46" t="s">
        <v>580</v>
      </c>
      <c r="C46" t="s">
        <v>33</v>
      </c>
      <c r="D46" t="s">
        <v>581</v>
      </c>
      <c r="E46">
        <v>1</v>
      </c>
      <c r="F46" t="s">
        <v>235</v>
      </c>
      <c r="G46" t="str">
        <f t="shared" si="6"/>
        <v>U</v>
      </c>
      <c r="H46" s="105"/>
      <c r="I46" s="109" t="s">
        <v>35</v>
      </c>
      <c r="M46" s="68"/>
      <c r="Y46" s="69" t="s">
        <v>663</v>
      </c>
      <c r="Z46" s="68">
        <v>1</v>
      </c>
    </row>
    <row r="47" spans="1:26" x14ac:dyDescent="0.25">
      <c r="A47" s="90" t="str">
        <f t="shared" si="5"/>
        <v>948</v>
      </c>
      <c r="B47" t="s">
        <v>578</v>
      </c>
      <c r="C47" t="s">
        <v>33</v>
      </c>
      <c r="D47" t="s">
        <v>579</v>
      </c>
      <c r="E47">
        <v>2</v>
      </c>
      <c r="F47" t="s">
        <v>112</v>
      </c>
      <c r="G47" s="90" t="str">
        <f t="shared" si="6"/>
        <v>U</v>
      </c>
      <c r="H47" s="105"/>
      <c r="I47" s="109" t="s">
        <v>35</v>
      </c>
      <c r="M47" s="68"/>
      <c r="Y47" s="69" t="s">
        <v>236</v>
      </c>
      <c r="Z47" s="68"/>
    </row>
    <row r="48" spans="1:26" hidden="1" x14ac:dyDescent="0.25">
      <c r="A48" s="73" t="str">
        <f t="shared" si="5"/>
        <v>949</v>
      </c>
      <c r="B48" t="s">
        <v>576</v>
      </c>
      <c r="C48" t="s">
        <v>34</v>
      </c>
      <c r="D48" t="s">
        <v>577</v>
      </c>
      <c r="E48">
        <v>3</v>
      </c>
      <c r="F48" t="s">
        <v>112</v>
      </c>
      <c r="G48" t="str">
        <f t="shared" si="6"/>
        <v>U</v>
      </c>
      <c r="H48" s="105"/>
      <c r="I48" s="109" t="s">
        <v>35</v>
      </c>
      <c r="Y48" s="71" t="s">
        <v>33</v>
      </c>
      <c r="Z48" s="68"/>
    </row>
    <row r="49" spans="1:26" x14ac:dyDescent="0.25">
      <c r="A49" s="90" t="str">
        <f t="shared" si="5"/>
        <v>950</v>
      </c>
      <c r="B49" t="s">
        <v>574</v>
      </c>
      <c r="C49" t="s">
        <v>135</v>
      </c>
      <c r="D49" t="s">
        <v>575</v>
      </c>
      <c r="E49" s="128">
        <v>3</v>
      </c>
      <c r="F49" t="s">
        <v>89</v>
      </c>
      <c r="G49" s="90" t="str">
        <f t="shared" si="6"/>
        <v>U</v>
      </c>
      <c r="H49" s="105"/>
      <c r="I49" s="109"/>
      <c r="Y49" s="70" t="s">
        <v>533</v>
      </c>
      <c r="Z49" s="68">
        <v>1</v>
      </c>
    </row>
    <row r="50" spans="1:26" hidden="1" x14ac:dyDescent="0.25">
      <c r="A50" s="90" t="str">
        <f t="shared" si="5"/>
        <v>952</v>
      </c>
      <c r="B50" s="105" t="s">
        <v>670</v>
      </c>
      <c r="C50" t="s">
        <v>34</v>
      </c>
      <c r="D50" s="105" t="s">
        <v>671</v>
      </c>
      <c r="E50" s="105">
        <v>3</v>
      </c>
      <c r="F50" s="107" t="s">
        <v>81</v>
      </c>
      <c r="G50" s="90" t="str">
        <f t="shared" si="6"/>
        <v>U</v>
      </c>
      <c r="H50" s="105" t="s">
        <v>35</v>
      </c>
      <c r="I50" s="109" t="s">
        <v>35</v>
      </c>
      <c r="Y50" s="71" t="s">
        <v>667</v>
      </c>
      <c r="Z50" s="68">
        <v>1</v>
      </c>
    </row>
    <row r="51" spans="1:26" hidden="1" x14ac:dyDescent="0.25">
      <c r="A51" s="73" t="str">
        <f t="shared" si="5"/>
        <v>954</v>
      </c>
      <c r="B51" t="s">
        <v>572</v>
      </c>
      <c r="C51" t="s">
        <v>34</v>
      </c>
      <c r="D51" t="s">
        <v>573</v>
      </c>
      <c r="E51">
        <v>3</v>
      </c>
      <c r="F51" t="s">
        <v>112</v>
      </c>
      <c r="G51" s="73" t="str">
        <f t="shared" si="6"/>
        <v>U</v>
      </c>
      <c r="H51" s="105"/>
      <c r="I51" s="109" t="s">
        <v>35</v>
      </c>
      <c r="Y51" s="71" t="s">
        <v>32</v>
      </c>
      <c r="Z51" s="68"/>
    </row>
    <row r="52" spans="1:26" hidden="1" x14ac:dyDescent="0.25">
      <c r="A52" s="90" t="str">
        <f t="shared" si="5"/>
        <v>955</v>
      </c>
      <c r="B52" t="s">
        <v>570</v>
      </c>
      <c r="C52" t="s">
        <v>34</v>
      </c>
      <c r="D52" t="s">
        <v>571</v>
      </c>
      <c r="E52">
        <v>3</v>
      </c>
      <c r="F52" t="s">
        <v>84</v>
      </c>
      <c r="G52" s="90" t="str">
        <f t="shared" si="6"/>
        <v>U</v>
      </c>
      <c r="H52" s="105"/>
      <c r="I52" s="109" t="s">
        <v>35</v>
      </c>
      <c r="Y52" s="70" t="s">
        <v>567</v>
      </c>
      <c r="Z52" s="68">
        <v>1</v>
      </c>
    </row>
    <row r="53" spans="1:26" hidden="1" x14ac:dyDescent="0.25">
      <c r="A53" s="90" t="str">
        <f t="shared" si="5"/>
        <v>956</v>
      </c>
      <c r="B53" t="s">
        <v>568</v>
      </c>
      <c r="C53" t="s">
        <v>34</v>
      </c>
      <c r="D53" t="s">
        <v>569</v>
      </c>
      <c r="E53">
        <v>1</v>
      </c>
      <c r="F53" t="s">
        <v>84</v>
      </c>
      <c r="G53" s="90" t="str">
        <f t="shared" si="6"/>
        <v>U</v>
      </c>
      <c r="H53" s="105"/>
      <c r="I53" s="109" t="s">
        <v>35</v>
      </c>
      <c r="K53" t="s">
        <v>669</v>
      </c>
      <c r="Y53" s="70" t="s">
        <v>633</v>
      </c>
      <c r="Z53" s="68">
        <v>1</v>
      </c>
    </row>
    <row r="54" spans="1:26" x14ac:dyDescent="0.25">
      <c r="A54" s="73" t="str">
        <f t="shared" si="5"/>
        <v>957</v>
      </c>
      <c r="B54" t="s">
        <v>566</v>
      </c>
      <c r="C54" t="s">
        <v>32</v>
      </c>
      <c r="D54" t="s">
        <v>567</v>
      </c>
      <c r="E54" s="13">
        <v>2</v>
      </c>
      <c r="F54" t="s">
        <v>236</v>
      </c>
      <c r="G54" s="73" t="str">
        <f t="shared" si="6"/>
        <v>U</v>
      </c>
      <c r="H54" s="105"/>
      <c r="I54" s="109"/>
      <c r="M54" s="68"/>
      <c r="Y54" s="71" t="s">
        <v>668</v>
      </c>
      <c r="Z54" s="68">
        <v>2</v>
      </c>
    </row>
    <row r="55" spans="1:26" hidden="1" x14ac:dyDescent="0.25">
      <c r="A55" s="90" t="str">
        <f t="shared" si="5"/>
        <v>961</v>
      </c>
      <c r="B55" t="s">
        <v>649</v>
      </c>
      <c r="C55" t="s">
        <v>34</v>
      </c>
      <c r="D55" t="s">
        <v>650</v>
      </c>
      <c r="E55">
        <v>1</v>
      </c>
      <c r="F55" t="s">
        <v>81</v>
      </c>
      <c r="G55" s="90" t="str">
        <f t="shared" si="6"/>
        <v>U</v>
      </c>
      <c r="H55" s="105" t="s">
        <v>35</v>
      </c>
      <c r="I55" s="109" t="s">
        <v>35</v>
      </c>
      <c r="M55" s="68"/>
      <c r="Y55" s="69" t="s">
        <v>664</v>
      </c>
      <c r="Z55" s="68">
        <v>3</v>
      </c>
    </row>
    <row r="56" spans="1:26" hidden="1" x14ac:dyDescent="0.25">
      <c r="A56" s="90" t="str">
        <f t="shared" si="5"/>
        <v>965</v>
      </c>
      <c r="B56" t="s">
        <v>651</v>
      </c>
      <c r="C56" t="s">
        <v>34</v>
      </c>
      <c r="D56" t="s">
        <v>652</v>
      </c>
      <c r="E56">
        <v>2</v>
      </c>
      <c r="F56" t="s">
        <v>89</v>
      </c>
      <c r="G56" s="90" t="str">
        <f t="shared" si="6"/>
        <v>U</v>
      </c>
      <c r="H56" s="105" t="s">
        <v>35</v>
      </c>
      <c r="I56" s="109" t="s">
        <v>35</v>
      </c>
      <c r="K56" s="71"/>
      <c r="L56" s="68"/>
      <c r="M56" s="68"/>
      <c r="Y56" s="69" t="s">
        <v>72</v>
      </c>
      <c r="Z56" s="68"/>
    </row>
    <row r="57" spans="1:26" hidden="1" x14ac:dyDescent="0.25">
      <c r="A57" s="90" t="str">
        <f t="shared" si="5"/>
        <v>969</v>
      </c>
      <c r="B57" t="s">
        <v>653</v>
      </c>
      <c r="C57" t="s">
        <v>34</v>
      </c>
      <c r="D57" t="s">
        <v>654</v>
      </c>
      <c r="E57">
        <v>1</v>
      </c>
      <c r="F57" t="s">
        <v>81</v>
      </c>
      <c r="G57" s="90" t="str">
        <f t="shared" si="6"/>
        <v>U</v>
      </c>
      <c r="H57" s="105" t="s">
        <v>35</v>
      </c>
      <c r="I57" s="109" t="s">
        <v>35</v>
      </c>
      <c r="K57" s="69"/>
      <c r="L57" s="68"/>
      <c r="Y57" s="71" t="s">
        <v>32</v>
      </c>
      <c r="Z57" s="68"/>
    </row>
    <row r="58" spans="1:26" x14ac:dyDescent="0.25">
      <c r="B58" s="106"/>
      <c r="D58" s="106"/>
      <c r="E58" s="106"/>
      <c r="F58" s="106"/>
      <c r="K58" s="69"/>
      <c r="L58" s="68"/>
      <c r="Y58" s="70" t="s">
        <v>599</v>
      </c>
      <c r="Z58" s="68">
        <v>1</v>
      </c>
    </row>
    <row r="59" spans="1:26" x14ac:dyDescent="0.25">
      <c r="B59" s="106"/>
      <c r="D59" s="106"/>
      <c r="E59" s="106"/>
      <c r="F59" s="106"/>
      <c r="Y59" s="70" t="s">
        <v>603</v>
      </c>
      <c r="Z59" s="68">
        <v>1</v>
      </c>
    </row>
    <row r="60" spans="1:26" x14ac:dyDescent="0.25">
      <c r="Y60" s="71" t="s">
        <v>668</v>
      </c>
      <c r="Z60" s="68">
        <v>2</v>
      </c>
    </row>
    <row r="61" spans="1:26" x14ac:dyDescent="0.25">
      <c r="Y61" s="69" t="s">
        <v>665</v>
      </c>
      <c r="Z61" s="68">
        <v>2</v>
      </c>
    </row>
    <row r="62" spans="1:26" x14ac:dyDescent="0.25">
      <c r="Y62" s="69" t="s">
        <v>31</v>
      </c>
      <c r="Z62" s="68">
        <v>16</v>
      </c>
    </row>
  </sheetData>
  <sheetProtection sheet="1" sort="0" autoFilter="0" pivotTables="0"/>
  <mergeCells count="1">
    <mergeCell ref="AC9:AD9"/>
  </mergeCells>
  <conditionalFormatting sqref="I2:I57">
    <cfRule type="expression" dxfId="318" priority="16">
      <formula>$C2="Done"</formula>
    </cfRule>
  </conditionalFormatting>
  <conditionalFormatting sqref="C2:C41">
    <cfRule type="expression" dxfId="317" priority="14">
      <formula>C2="Blocked"</formula>
    </cfRule>
    <cfRule type="expression" dxfId="316" priority="15">
      <formula>C2="Done"</formula>
    </cfRule>
  </conditionalFormatting>
  <conditionalFormatting sqref="I2:I57">
    <cfRule type="expression" dxfId="315" priority="13" stopIfTrue="1">
      <formula>IF(C2="Done", IF(I2&lt;&gt;"Y",TRUE,FALSE),FALSE)</formula>
    </cfRule>
  </conditionalFormatting>
  <conditionalFormatting sqref="S2:S4">
    <cfRule type="expression" dxfId="314" priority="12">
      <formula>IF(S2&lt;0.8, TRUE, IF(S2&gt;1.2, TRUE, FALSE))</formula>
    </cfRule>
  </conditionalFormatting>
  <conditionalFormatting sqref="A30:I30">
    <cfRule type="expression" dxfId="313" priority="11">
      <formula>$C30="Blocked"</formula>
    </cfRule>
  </conditionalFormatting>
  <conditionalFormatting sqref="D43:D49">
    <cfRule type="expression" dxfId="312" priority="9">
      <formula>D43="Blocked"</formula>
    </cfRule>
    <cfRule type="expression" dxfId="311" priority="10">
      <formula>D43="Done"</formula>
    </cfRule>
  </conditionalFormatting>
  <conditionalFormatting sqref="C42:C52">
    <cfRule type="expression" dxfId="310" priority="7">
      <formula>C42="Blocked"</formula>
    </cfRule>
    <cfRule type="expression" dxfId="309" priority="8">
      <formula>C42="Done"</formula>
    </cfRule>
  </conditionalFormatting>
  <conditionalFormatting sqref="C53">
    <cfRule type="expression" dxfId="308" priority="5">
      <formula>C53="Blocked"</formula>
    </cfRule>
    <cfRule type="expression" dxfId="307" priority="6">
      <formula>C53="Done"</formula>
    </cfRule>
  </conditionalFormatting>
  <conditionalFormatting sqref="C54:C56">
    <cfRule type="expression" dxfId="306" priority="3">
      <formula>C54="Blocked"</formula>
    </cfRule>
    <cfRule type="expression" dxfId="305" priority="4">
      <formula>C54="Done"</formula>
    </cfRule>
  </conditionalFormatting>
  <conditionalFormatting sqref="C57">
    <cfRule type="expression" dxfId="304" priority="1">
      <formula>C57="Blocked"</formula>
    </cfRule>
    <cfRule type="expression" dxfId="303" priority="2">
      <formula>C57="Done"</formula>
    </cfRule>
  </conditionalFormatting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8" name="Button 1">
              <controlPr defaultSize="0" print="0" autoFill="0" autoPict="0" macro="[0]!ResetAndLock">
                <anchor moveWithCells="1" sizeWithCells="1">
                  <from>
                    <xdr:col>18</xdr:col>
                    <xdr:colOff>952500</xdr:colOff>
                    <xdr:row>8</xdr:row>
                    <xdr:rowOff>9525</xdr:rowOff>
                  </from>
                  <to>
                    <xdr:col>23</xdr:col>
                    <xdr:colOff>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7">
    <tablePart r:id="rId9"/>
    <tablePart r:id="rId10"/>
    <tablePart r:id="rId11"/>
    <tablePart r:id="rId12"/>
    <tablePart r:id="rId13"/>
    <tablePart r:id="rId14"/>
    <tablePart r:id="rId15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1:W58"/>
  <sheetViews>
    <sheetView workbookViewId="0">
      <selection activeCell="D19" sqref="D19"/>
    </sheetView>
  </sheetViews>
  <sheetFormatPr defaultRowHeight="15" x14ac:dyDescent="0.25"/>
  <cols>
    <col min="2" max="2" width="12.28515625" customWidth="1"/>
    <col min="3" max="3" width="11" style="106" customWidth="1"/>
    <col min="4" max="4" width="89.42578125" customWidth="1"/>
    <col min="5" max="5" width="8.85546875" customWidth="1"/>
    <col min="6" max="6" width="13.140625" customWidth="1"/>
    <col min="7" max="7" width="9.5703125" customWidth="1"/>
    <col min="8" max="8" width="11.5703125" style="106" customWidth="1"/>
    <col min="9" max="9" width="10.85546875" style="106" customWidth="1"/>
    <col min="10" max="10" width="4.28515625" customWidth="1"/>
    <col min="11" max="11" width="14.42578125" bestFit="1" customWidth="1"/>
    <col min="12" max="12" width="6.42578125" bestFit="1" customWidth="1"/>
    <col min="13" max="13" width="6.42578125" customWidth="1"/>
    <col min="14" max="14" width="13.140625" bestFit="1" customWidth="1"/>
    <col min="15" max="15" width="18.42578125" bestFit="1" customWidth="1"/>
    <col min="16" max="16" width="19" customWidth="1"/>
    <col min="17" max="17" width="16.28515625" customWidth="1"/>
    <col min="18" max="18" width="16.5703125" customWidth="1"/>
    <col min="19" max="19" width="14.5703125" customWidth="1"/>
    <col min="20" max="20" width="13.42578125" customWidth="1"/>
    <col min="21" max="21" width="9.140625" customWidth="1"/>
    <col min="22" max="22" width="11" customWidth="1"/>
    <col min="23" max="23" width="10.85546875" bestFit="1" customWidth="1"/>
    <col min="25" max="25" width="11.5703125" customWidth="1"/>
  </cols>
  <sheetData>
    <row r="1" spans="1:23" ht="30.75" customHeight="1" x14ac:dyDescent="0.25">
      <c r="A1" t="s">
        <v>231</v>
      </c>
      <c r="B1" t="s">
        <v>48</v>
      </c>
      <c r="C1" s="106" t="s">
        <v>47</v>
      </c>
      <c r="D1" t="s">
        <v>46</v>
      </c>
      <c r="E1" t="s">
        <v>38</v>
      </c>
      <c r="F1" t="s">
        <v>45</v>
      </c>
      <c r="G1" t="s">
        <v>44</v>
      </c>
      <c r="H1" s="106" t="s">
        <v>43</v>
      </c>
      <c r="I1" s="106" t="s">
        <v>144</v>
      </c>
      <c r="N1" t="s">
        <v>133</v>
      </c>
      <c r="O1" t="s">
        <v>134</v>
      </c>
      <c r="P1" t="s">
        <v>41</v>
      </c>
      <c r="Q1" t="s">
        <v>135</v>
      </c>
      <c r="R1" t="s">
        <v>136</v>
      </c>
      <c r="S1" s="86" t="s">
        <v>143</v>
      </c>
      <c r="T1" s="86" t="s">
        <v>141</v>
      </c>
      <c r="U1" s="80" t="s">
        <v>40</v>
      </c>
      <c r="V1" s="86" t="s">
        <v>142</v>
      </c>
      <c r="W1" s="86" t="s">
        <v>145</v>
      </c>
    </row>
    <row r="2" spans="1:23" x14ac:dyDescent="0.25">
      <c r="A2" s="73" t="str">
        <f t="shared" ref="A2:A33" si="0">MID(B2,8,3)</f>
        <v>574</v>
      </c>
      <c r="B2" s="106" t="s">
        <v>512</v>
      </c>
      <c r="C2" s="106" t="s">
        <v>34</v>
      </c>
      <c r="D2" s="106" t="s">
        <v>513</v>
      </c>
      <c r="E2" s="106">
        <v>2</v>
      </c>
      <c r="F2" s="106" t="s">
        <v>81</v>
      </c>
      <c r="G2" s="73" t="str">
        <f t="shared" ref="G2:G33" si="1">MID(B2,4,1)</f>
        <v>U</v>
      </c>
      <c r="H2" s="105"/>
      <c r="I2" s="109" t="s">
        <v>35</v>
      </c>
      <c r="N2" t="s">
        <v>2</v>
      </c>
      <c r="O2">
        <f>+O10-Table924313845[[#This Row],[Blocked]]</f>
        <v>58</v>
      </c>
      <c r="P2">
        <f>IF(ISERR(P10),0,P10)</f>
        <v>14</v>
      </c>
      <c r="Q2">
        <f>IF(ISERR(Q10),0,Q10)</f>
        <v>5</v>
      </c>
      <c r="R2">
        <f>+IF(ISERR(R14),0,R14)</f>
        <v>55</v>
      </c>
      <c r="S2" s="88">
        <f>Table924313845[[#This Row],[Completed]]/Table924313845[[#This Row],[Committed]]</f>
        <v>0.94827586206896552</v>
      </c>
      <c r="T2" s="83">
        <f>Table924313845[[#This Row],[Completed]]/(Table924313845[[#This Row],[Added]]+Table924313845[[#This Row],[Committed]])</f>
        <v>0.76388888888888884</v>
      </c>
      <c r="V2" s="84" t="str">
        <f>IF(ISERR(O14),0,O14) &amp; "  (" &amp;TEXT(IF(ISERR(O14),0,O14)/Table924313845[[#This Row],[Committed]],"#%") &amp; ")"</f>
        <v>46  (79%)</v>
      </c>
      <c r="W2" s="85" t="str">
        <f>+IF(ISERR(P14),0,P14) &amp; " (" &amp; TEXT(R18, "#%") &amp; ")"</f>
        <v>9 (64%)</v>
      </c>
    </row>
    <row r="3" spans="1:23" x14ac:dyDescent="0.25">
      <c r="A3" s="90" t="str">
        <f t="shared" si="0"/>
        <v>579</v>
      </c>
      <c r="B3" t="s">
        <v>79</v>
      </c>
      <c r="C3" s="106" t="s">
        <v>34</v>
      </c>
      <c r="D3" t="s">
        <v>80</v>
      </c>
      <c r="E3">
        <v>3</v>
      </c>
      <c r="F3" t="s">
        <v>81</v>
      </c>
      <c r="G3" s="90" t="str">
        <f t="shared" si="1"/>
        <v>U</v>
      </c>
      <c r="H3" s="105" t="s">
        <v>35</v>
      </c>
      <c r="I3" s="109" t="s">
        <v>35</v>
      </c>
      <c r="N3" t="s">
        <v>3</v>
      </c>
      <c r="O3">
        <f>+O11-Table924313845[[#This Row],[Blocked]]</f>
        <v>44</v>
      </c>
      <c r="P3">
        <f>IF(ISERR(P11),0,P11)</f>
        <v>9</v>
      </c>
      <c r="Q3">
        <f>IF(ISERR(Q11),0,Q11)</f>
        <v>0</v>
      </c>
      <c r="R3">
        <f>+IF(ISERR(R15),0,R15)</f>
        <v>40</v>
      </c>
      <c r="S3" s="88">
        <f>Table924313845[[#This Row],[Completed]]/Table924313845[[#This Row],[Committed]]</f>
        <v>0.90909090909090906</v>
      </c>
      <c r="T3" s="83">
        <f>Table924313845[[#This Row],[Completed]]/(Table924313845[[#This Row],[Added]]+Table924313845[[#This Row],[Committed]])</f>
        <v>0.75471698113207553</v>
      </c>
      <c r="V3" s="84" t="str">
        <f>IF(ISERR(O15),0,O15) &amp; "  (" &amp;TEXT(IF(ISERR(O15),0,O15)/Table924313845[[#This Row],[Committed]],"#%") &amp; ")"</f>
        <v>34  (77%)</v>
      </c>
      <c r="W3" s="85" t="str">
        <f>+IF(ISERR(P15),0,P15) &amp; " (" &amp; TEXT(R19, "#%") &amp; ")"</f>
        <v>6 (67%)</v>
      </c>
    </row>
    <row r="4" spans="1:23" x14ac:dyDescent="0.25">
      <c r="A4" s="90" t="str">
        <f t="shared" si="0"/>
        <v>776</v>
      </c>
      <c r="B4" s="106" t="s">
        <v>285</v>
      </c>
      <c r="C4" s="106" t="s">
        <v>33</v>
      </c>
      <c r="D4" s="106" t="s">
        <v>424</v>
      </c>
      <c r="E4" s="106">
        <v>2</v>
      </c>
      <c r="F4" s="117" t="s">
        <v>89</v>
      </c>
      <c r="G4" s="90" t="str">
        <f t="shared" si="1"/>
        <v>U</v>
      </c>
      <c r="H4" s="105"/>
      <c r="I4" s="109"/>
      <c r="N4" t="s">
        <v>303</v>
      </c>
      <c r="O4" s="68">
        <f>SUM(O2:O3)</f>
        <v>102</v>
      </c>
      <c r="P4">
        <f>SUM(P2:P3)</f>
        <v>23</v>
      </c>
      <c r="Q4" s="68">
        <f>SUM(Q2:Q3)</f>
        <v>5</v>
      </c>
      <c r="R4" s="68">
        <f>SUM(R2:R3)</f>
        <v>95</v>
      </c>
      <c r="S4" s="88">
        <f>Table924313845[[#This Row],[Completed]]/Table924313845[[#This Row],[Committed]]</f>
        <v>0.93137254901960786</v>
      </c>
      <c r="T4" s="83">
        <f>Table924313845[[#This Row],[Completed]]/(Table924313845[[#This Row],[Added]]+Table924313845[[#This Row],[Committed]])</f>
        <v>0.76</v>
      </c>
      <c r="V4" s="108" t="str">
        <f>IF(ISERR(SUM(O14:O15)),0,SUM(O14:O15)) &amp;"  ("&amp;TEXT(SUM(O14:O15)/O4,"#%") &amp;")"</f>
        <v>80  (78%)</v>
      </c>
      <c r="W4" s="85" t="str">
        <f>R4-SUM(O14:O15)&amp;" ("&amp;TEXT((R4-SUM(O14:O15))/IF(P4=0,1,P4),"#%")&amp;")"</f>
        <v>15 (65%)</v>
      </c>
    </row>
    <row r="5" spans="1:23" x14ac:dyDescent="0.25">
      <c r="A5" s="73" t="str">
        <f t="shared" si="0"/>
        <v>881</v>
      </c>
      <c r="B5" s="106" t="s">
        <v>510</v>
      </c>
      <c r="C5" s="106" t="s">
        <v>33</v>
      </c>
      <c r="D5" s="106" t="s">
        <v>511</v>
      </c>
      <c r="E5" s="106">
        <v>2</v>
      </c>
      <c r="F5" s="117" t="s">
        <v>112</v>
      </c>
      <c r="G5" s="73" t="str">
        <f t="shared" si="1"/>
        <v>U</v>
      </c>
      <c r="H5" s="105"/>
      <c r="I5" s="109"/>
      <c r="O5" t="s">
        <v>140</v>
      </c>
      <c r="S5" t="s">
        <v>220</v>
      </c>
    </row>
    <row r="6" spans="1:23" x14ac:dyDescent="0.25">
      <c r="A6" s="90" t="str">
        <f t="shared" si="0"/>
        <v>886</v>
      </c>
      <c r="B6" s="106" t="s">
        <v>508</v>
      </c>
      <c r="C6" s="106" t="s">
        <v>34</v>
      </c>
      <c r="D6" s="106" t="s">
        <v>509</v>
      </c>
      <c r="E6" s="106">
        <v>3</v>
      </c>
      <c r="F6" s="106"/>
      <c r="G6" s="90" t="str">
        <f t="shared" si="1"/>
        <v>U</v>
      </c>
      <c r="H6" s="105"/>
      <c r="I6" s="109" t="s">
        <v>35</v>
      </c>
    </row>
    <row r="7" spans="1:23" x14ac:dyDescent="0.25">
      <c r="A7" s="73" t="str">
        <f t="shared" si="0"/>
        <v>901</v>
      </c>
      <c r="B7" s="106" t="s">
        <v>506</v>
      </c>
      <c r="C7" s="106" t="s">
        <v>32</v>
      </c>
      <c r="D7" s="106" t="s">
        <v>507</v>
      </c>
      <c r="E7" s="106">
        <v>3</v>
      </c>
      <c r="F7" s="111" t="s">
        <v>92</v>
      </c>
      <c r="G7" t="str">
        <f t="shared" si="1"/>
        <v>U</v>
      </c>
      <c r="H7" s="105"/>
      <c r="I7" s="109"/>
      <c r="K7" s="72" t="s">
        <v>119</v>
      </c>
      <c r="L7" t="s">
        <v>120</v>
      </c>
    </row>
    <row r="8" spans="1:23" x14ac:dyDescent="0.25">
      <c r="A8" s="90" t="str">
        <f t="shared" si="0"/>
        <v>908</v>
      </c>
      <c r="B8" s="106" t="s">
        <v>504</v>
      </c>
      <c r="C8" s="106" t="s">
        <v>34</v>
      </c>
      <c r="D8" s="106" t="s">
        <v>505</v>
      </c>
      <c r="E8" s="106">
        <v>2</v>
      </c>
      <c r="F8" s="106" t="s">
        <v>72</v>
      </c>
      <c r="G8" s="90" t="str">
        <f t="shared" si="1"/>
        <v>U</v>
      </c>
      <c r="H8" s="105"/>
      <c r="I8" s="109" t="s">
        <v>35</v>
      </c>
      <c r="K8" s="69" t="s">
        <v>37</v>
      </c>
      <c r="L8" s="68">
        <v>77</v>
      </c>
      <c r="M8" s="68"/>
      <c r="N8" t="s">
        <v>139</v>
      </c>
      <c r="R8" t="s">
        <v>138</v>
      </c>
    </row>
    <row r="9" spans="1:23" x14ac:dyDescent="0.25">
      <c r="A9" s="73" t="str">
        <f t="shared" si="0"/>
        <v>910</v>
      </c>
      <c r="B9" s="106" t="s">
        <v>502</v>
      </c>
      <c r="C9" s="106" t="s">
        <v>32</v>
      </c>
      <c r="D9" s="106" t="s">
        <v>503</v>
      </c>
      <c r="E9" s="106">
        <v>3</v>
      </c>
      <c r="F9" s="111" t="s">
        <v>92</v>
      </c>
      <c r="G9" t="str">
        <f t="shared" si="1"/>
        <v>U</v>
      </c>
      <c r="H9" s="105"/>
      <c r="I9" s="109"/>
      <c r="K9" s="71" t="s">
        <v>32</v>
      </c>
      <c r="L9" s="68">
        <v>8</v>
      </c>
      <c r="M9" s="68"/>
      <c r="N9" t="s">
        <v>133</v>
      </c>
      <c r="O9" t="s">
        <v>42</v>
      </c>
      <c r="P9" t="s">
        <v>41</v>
      </c>
      <c r="Q9" s="82" t="s">
        <v>135</v>
      </c>
      <c r="R9" t="s">
        <v>128</v>
      </c>
    </row>
    <row r="10" spans="1:23" x14ac:dyDescent="0.25">
      <c r="A10" s="73" t="str">
        <f t="shared" si="0"/>
        <v>911</v>
      </c>
      <c r="B10" s="106" t="s">
        <v>500</v>
      </c>
      <c r="C10" s="106" t="s">
        <v>34</v>
      </c>
      <c r="D10" s="106" t="s">
        <v>501</v>
      </c>
      <c r="E10" s="106">
        <v>2</v>
      </c>
      <c r="F10" s="106" t="s">
        <v>89</v>
      </c>
      <c r="G10" t="str">
        <f t="shared" si="1"/>
        <v>U</v>
      </c>
      <c r="H10" s="105"/>
      <c r="I10" s="109" t="s">
        <v>35</v>
      </c>
      <c r="K10" s="71" t="s">
        <v>33</v>
      </c>
      <c r="L10" s="68">
        <v>9</v>
      </c>
      <c r="M10" s="68"/>
      <c r="N10" t="s">
        <v>2</v>
      </c>
      <c r="O10">
        <f>+GETPIVOTDATA("Story Points2",$K$20,"Project","A","Added After",)</f>
        <v>63</v>
      </c>
      <c r="P10">
        <f>+GETPIVOTDATA("Story Points2",$K$20,"Project","A","Added After","Y")</f>
        <v>14</v>
      </c>
      <c r="Q10" s="81">
        <f>IFERROR(T10,0)</f>
        <v>5</v>
      </c>
      <c r="R10">
        <f t="shared" ref="R10:R11" si="2">+IF(ISERR(P10),0,P10)+IF(ISERR(O10),0,O10)</f>
        <v>77</v>
      </c>
      <c r="T10">
        <f>GETPIVOTDATA("Story Points2",$K$7,"Status","Blocked","Project","A")</f>
        <v>5</v>
      </c>
    </row>
    <row r="11" spans="1:23" x14ac:dyDescent="0.25">
      <c r="A11" s="73" t="str">
        <f t="shared" si="0"/>
        <v>912</v>
      </c>
      <c r="B11" s="106" t="s">
        <v>498</v>
      </c>
      <c r="C11" s="106" t="s">
        <v>34</v>
      </c>
      <c r="D11" s="106" t="s">
        <v>499</v>
      </c>
      <c r="E11" s="106">
        <v>2</v>
      </c>
      <c r="F11" s="106" t="s">
        <v>112</v>
      </c>
      <c r="G11" t="str">
        <f t="shared" si="1"/>
        <v>U</v>
      </c>
      <c r="H11" s="105"/>
      <c r="I11" s="109" t="s">
        <v>35</v>
      </c>
      <c r="K11" s="71" t="s">
        <v>34</v>
      </c>
      <c r="L11" s="68">
        <v>55</v>
      </c>
      <c r="M11" s="68"/>
      <c r="N11" t="s">
        <v>3</v>
      </c>
      <c r="O11">
        <f>+GETPIVOTDATA("Story Points2",$K$20,"Project","U","Added After",)</f>
        <v>44</v>
      </c>
      <c r="P11">
        <f>+GETPIVOTDATA("Story Points2",$K$20,"Project","U","Added After","Y")</f>
        <v>9</v>
      </c>
      <c r="Q11" s="81">
        <f>IFERROR(T11,0)</f>
        <v>0</v>
      </c>
      <c r="R11">
        <f t="shared" si="2"/>
        <v>53</v>
      </c>
      <c r="T11" t="e">
        <f>GETPIVOTDATA("Story Points2",$K$7,"Status","Blocked","Project","U")</f>
        <v>#REF!</v>
      </c>
    </row>
    <row r="12" spans="1:23" x14ac:dyDescent="0.25">
      <c r="A12" s="73" t="str">
        <f t="shared" si="0"/>
        <v>913</v>
      </c>
      <c r="B12" s="106" t="s">
        <v>496</v>
      </c>
      <c r="C12" s="106" t="s">
        <v>34</v>
      </c>
      <c r="D12" s="106" t="s">
        <v>497</v>
      </c>
      <c r="E12" s="106">
        <v>2</v>
      </c>
      <c r="F12" s="106" t="s">
        <v>235</v>
      </c>
      <c r="G12" t="str">
        <f t="shared" si="1"/>
        <v>U</v>
      </c>
      <c r="H12" s="105"/>
      <c r="I12" s="109" t="s">
        <v>35</v>
      </c>
      <c r="K12" s="71" t="s">
        <v>135</v>
      </c>
      <c r="L12" s="68">
        <v>5</v>
      </c>
      <c r="M12" s="68"/>
    </row>
    <row r="13" spans="1:23" x14ac:dyDescent="0.25">
      <c r="A13" s="73" t="str">
        <f t="shared" si="0"/>
        <v>914</v>
      </c>
      <c r="B13" s="106" t="s">
        <v>494</v>
      </c>
      <c r="C13" s="106" t="s">
        <v>34</v>
      </c>
      <c r="D13" s="106" t="s">
        <v>495</v>
      </c>
      <c r="E13" s="106">
        <v>1</v>
      </c>
      <c r="F13" s="106" t="s">
        <v>235</v>
      </c>
      <c r="G13" t="str">
        <f t="shared" si="1"/>
        <v>U</v>
      </c>
      <c r="H13" s="105"/>
      <c r="I13" s="109" t="s">
        <v>35</v>
      </c>
      <c r="K13" s="69" t="s">
        <v>36</v>
      </c>
      <c r="L13" s="68">
        <v>53</v>
      </c>
      <c r="M13" s="68"/>
      <c r="N13" t="s">
        <v>34</v>
      </c>
      <c r="O13" t="s">
        <v>126</v>
      </c>
      <c r="P13" t="s">
        <v>125</v>
      </c>
      <c r="Q13" s="80" t="s">
        <v>40</v>
      </c>
      <c r="R13" t="s">
        <v>127</v>
      </c>
    </row>
    <row r="14" spans="1:23" x14ac:dyDescent="0.25">
      <c r="A14" s="73" t="str">
        <f t="shared" si="0"/>
        <v>915</v>
      </c>
      <c r="B14" s="106" t="s">
        <v>492</v>
      </c>
      <c r="C14" s="106" t="s">
        <v>34</v>
      </c>
      <c r="D14" s="106" t="s">
        <v>493</v>
      </c>
      <c r="E14" s="106">
        <v>3</v>
      </c>
      <c r="F14" s="106" t="s">
        <v>92</v>
      </c>
      <c r="G14" t="str">
        <f t="shared" si="1"/>
        <v>U</v>
      </c>
      <c r="H14" s="105"/>
      <c r="I14" s="109" t="s">
        <v>35</v>
      </c>
      <c r="K14" s="71" t="s">
        <v>32</v>
      </c>
      <c r="L14" s="68">
        <v>6</v>
      </c>
      <c r="M14" s="68"/>
      <c r="N14" t="s">
        <v>2</v>
      </c>
      <c r="O14">
        <f>+GETPIVOTDATA("Story Points2",$K$20,"Status","Done","Project","A","Added After",)</f>
        <v>46</v>
      </c>
      <c r="P14">
        <f>+GETPIVOTDATA("Story Points2",$K$20,"Status","Done","Project","A","Added After","Y")</f>
        <v>9</v>
      </c>
      <c r="R14">
        <f t="shared" ref="R14:R15" si="3">+IF(ISERR(P14),0,P14)+IF(ISERR(O14),0,O14)</f>
        <v>55</v>
      </c>
    </row>
    <row r="15" spans="1:23" x14ac:dyDescent="0.25">
      <c r="A15" s="73" t="str">
        <f t="shared" si="0"/>
        <v>916</v>
      </c>
      <c r="B15" s="106" t="s">
        <v>490</v>
      </c>
      <c r="C15" s="106" t="s">
        <v>34</v>
      </c>
      <c r="D15" s="106" t="s">
        <v>491</v>
      </c>
      <c r="E15" s="106">
        <v>3</v>
      </c>
      <c r="F15" s="106" t="s">
        <v>89</v>
      </c>
      <c r="G15" t="str">
        <f t="shared" si="1"/>
        <v>U</v>
      </c>
      <c r="H15" s="105"/>
      <c r="I15" s="109" t="s">
        <v>35</v>
      </c>
      <c r="K15" s="71" t="s">
        <v>33</v>
      </c>
      <c r="L15" s="68">
        <v>7</v>
      </c>
      <c r="N15" t="s">
        <v>3</v>
      </c>
      <c r="O15">
        <f>+GETPIVOTDATA("Story Points2",$K$20,"Status","Done","Project","U","Added After",)</f>
        <v>34</v>
      </c>
      <c r="P15">
        <f>+GETPIVOTDATA("Story Points2",$K$20,"Status","Done","Project","U","Added After","Y")</f>
        <v>6</v>
      </c>
      <c r="R15">
        <f t="shared" si="3"/>
        <v>40</v>
      </c>
    </row>
    <row r="16" spans="1:23" x14ac:dyDescent="0.25">
      <c r="A16" s="73" t="str">
        <f t="shared" si="0"/>
        <v>917</v>
      </c>
      <c r="B16" s="106" t="s">
        <v>488</v>
      </c>
      <c r="C16" s="106" t="s">
        <v>34</v>
      </c>
      <c r="D16" s="106" t="s">
        <v>489</v>
      </c>
      <c r="E16" s="106">
        <v>2</v>
      </c>
      <c r="F16" s="106" t="s">
        <v>112</v>
      </c>
      <c r="G16" t="str">
        <f t="shared" si="1"/>
        <v>U</v>
      </c>
      <c r="H16" s="105"/>
      <c r="I16" s="109" t="s">
        <v>35</v>
      </c>
      <c r="K16" s="71" t="s">
        <v>34</v>
      </c>
      <c r="L16" s="68">
        <v>40</v>
      </c>
    </row>
    <row r="17" spans="1:18" x14ac:dyDescent="0.25">
      <c r="A17" s="73" t="str">
        <f t="shared" si="0"/>
        <v>918</v>
      </c>
      <c r="B17" s="106" t="s">
        <v>487</v>
      </c>
      <c r="C17" s="106" t="s">
        <v>34</v>
      </c>
      <c r="D17" s="106" t="s">
        <v>374</v>
      </c>
      <c r="E17" s="106">
        <v>2</v>
      </c>
      <c r="F17" s="106" t="s">
        <v>81</v>
      </c>
      <c r="G17" t="str">
        <f t="shared" si="1"/>
        <v>U</v>
      </c>
      <c r="H17" s="105"/>
      <c r="I17" s="109" t="s">
        <v>35</v>
      </c>
      <c r="K17" s="69" t="s">
        <v>31</v>
      </c>
      <c r="L17" s="68">
        <v>130</v>
      </c>
      <c r="N17" t="s">
        <v>34</v>
      </c>
      <c r="O17" t="s">
        <v>123</v>
      </c>
      <c r="P17" t="s">
        <v>124</v>
      </c>
      <c r="Q17" t="s">
        <v>126</v>
      </c>
      <c r="R17" t="s">
        <v>125</v>
      </c>
    </row>
    <row r="18" spans="1:18" x14ac:dyDescent="0.25">
      <c r="A18" s="90" t="str">
        <f t="shared" si="0"/>
        <v>919</v>
      </c>
      <c r="B18" s="106" t="s">
        <v>485</v>
      </c>
      <c r="C18" s="106" t="s">
        <v>34</v>
      </c>
      <c r="D18" s="106" t="s">
        <v>486</v>
      </c>
      <c r="E18" s="106">
        <v>3</v>
      </c>
      <c r="F18" s="106" t="s">
        <v>84</v>
      </c>
      <c r="G18" t="str">
        <f t="shared" si="1"/>
        <v>U</v>
      </c>
      <c r="H18" s="105"/>
      <c r="I18" s="109" t="s">
        <v>35</v>
      </c>
      <c r="N18" t="s">
        <v>2</v>
      </c>
      <c r="O18" s="64">
        <f>+R14/O10</f>
        <v>0.87301587301587302</v>
      </c>
      <c r="P18" s="64">
        <f t="shared" ref="P18:P19" si="4">+R14/R10</f>
        <v>0.7142857142857143</v>
      </c>
      <c r="Q18" s="64">
        <f t="shared" ref="Q18:R19" si="5">+IF(ISERR(O14),0,O14)/IF(ISERR(O10),1,O10)</f>
        <v>0.73015873015873012</v>
      </c>
      <c r="R18" s="64">
        <f t="shared" si="5"/>
        <v>0.6428571428571429</v>
      </c>
    </row>
    <row r="19" spans="1:18" x14ac:dyDescent="0.25">
      <c r="A19" s="73" t="str">
        <f t="shared" si="0"/>
        <v>920</v>
      </c>
      <c r="B19" s="106" t="s">
        <v>483</v>
      </c>
      <c r="C19" s="106" t="s">
        <v>34</v>
      </c>
      <c r="D19" s="106" t="s">
        <v>484</v>
      </c>
      <c r="E19" s="106">
        <v>1</v>
      </c>
      <c r="F19" s="106" t="s">
        <v>84</v>
      </c>
      <c r="G19" t="str">
        <f t="shared" si="1"/>
        <v>U</v>
      </c>
      <c r="H19" s="105"/>
      <c r="I19" s="109" t="s">
        <v>35</v>
      </c>
      <c r="M19" s="68"/>
      <c r="N19" t="s">
        <v>3</v>
      </c>
      <c r="O19" s="64">
        <f>+R15/O11</f>
        <v>0.90909090909090906</v>
      </c>
      <c r="P19" s="64">
        <f t="shared" si="4"/>
        <v>0.75471698113207553</v>
      </c>
      <c r="Q19" s="64">
        <f t="shared" si="5"/>
        <v>0.77272727272727271</v>
      </c>
      <c r="R19" s="64">
        <f t="shared" si="5"/>
        <v>0.66666666666666663</v>
      </c>
    </row>
    <row r="20" spans="1:18" x14ac:dyDescent="0.25">
      <c r="A20" s="73" t="str">
        <f t="shared" si="0"/>
        <v>922</v>
      </c>
      <c r="B20" s="106" t="s">
        <v>481</v>
      </c>
      <c r="C20" s="106" t="s">
        <v>34</v>
      </c>
      <c r="D20" s="106" t="s">
        <v>482</v>
      </c>
      <c r="E20" s="106">
        <v>3</v>
      </c>
      <c r="F20" s="106" t="s">
        <v>84</v>
      </c>
      <c r="G20" t="str">
        <f t="shared" si="1"/>
        <v>U</v>
      </c>
      <c r="H20" s="105"/>
      <c r="I20" s="109" t="s">
        <v>35</v>
      </c>
      <c r="K20" s="72" t="s">
        <v>396</v>
      </c>
      <c r="L20" t="s">
        <v>120</v>
      </c>
      <c r="M20" s="68"/>
    </row>
    <row r="21" spans="1:18" x14ac:dyDescent="0.25">
      <c r="A21" s="73" t="str">
        <f t="shared" si="0"/>
        <v>923</v>
      </c>
      <c r="B21" s="106" t="s">
        <v>479</v>
      </c>
      <c r="C21" s="106" t="s">
        <v>34</v>
      </c>
      <c r="D21" s="106" t="s">
        <v>480</v>
      </c>
      <c r="E21" s="106">
        <v>2</v>
      </c>
      <c r="F21" s="106" t="s">
        <v>84</v>
      </c>
      <c r="G21" t="str">
        <f t="shared" si="1"/>
        <v>U</v>
      </c>
      <c r="H21" s="105"/>
      <c r="I21" s="109" t="s">
        <v>35</v>
      </c>
      <c r="K21" s="69" t="s">
        <v>122</v>
      </c>
      <c r="L21" s="68">
        <v>107</v>
      </c>
      <c r="M21" s="68"/>
      <c r="N21" t="s">
        <v>49</v>
      </c>
      <c r="O21" t="s">
        <v>126</v>
      </c>
      <c r="P21" t="s">
        <v>125</v>
      </c>
      <c r="Q21" s="80" t="s">
        <v>239</v>
      </c>
      <c r="R21" t="s">
        <v>129</v>
      </c>
    </row>
    <row r="22" spans="1:18" x14ac:dyDescent="0.25">
      <c r="A22" s="90" t="str">
        <f t="shared" si="0"/>
        <v>925</v>
      </c>
      <c r="B22" s="106" t="s">
        <v>537</v>
      </c>
      <c r="C22" s="106" t="s">
        <v>34</v>
      </c>
      <c r="D22" s="106" t="s">
        <v>538</v>
      </c>
      <c r="E22" s="106">
        <v>1</v>
      </c>
      <c r="F22" s="106" t="s">
        <v>81</v>
      </c>
      <c r="G22" s="90" t="str">
        <f t="shared" si="1"/>
        <v>U</v>
      </c>
      <c r="H22" s="105"/>
      <c r="I22" s="109" t="s">
        <v>35</v>
      </c>
      <c r="K22" s="71" t="s">
        <v>37</v>
      </c>
      <c r="L22" s="68">
        <v>63</v>
      </c>
      <c r="M22" s="68"/>
      <c r="N22" t="s">
        <v>2</v>
      </c>
      <c r="O22">
        <f>+GETPIVOTDATA("Story Points",$N$32,"Project","A","Added After",)</f>
        <v>46</v>
      </c>
      <c r="P22">
        <f>+GETPIVOTDATA("Story Points",$N$32,"Project","A","Added After","Y")</f>
        <v>9</v>
      </c>
      <c r="Q22">
        <f>+O10-IF(ISERR(Q10),0,Q10)-Table722293643[[#This Row],[Committed Done]]</f>
        <v>12</v>
      </c>
      <c r="R22">
        <f>+IF(ISERR(P22),0,P22)+IF(ISERR(O22),0,O22)</f>
        <v>55</v>
      </c>
    </row>
    <row r="23" spans="1:18" x14ac:dyDescent="0.25">
      <c r="A23" s="90" t="str">
        <f t="shared" si="0"/>
        <v>927</v>
      </c>
      <c r="B23" t="s">
        <v>560</v>
      </c>
      <c r="C23" s="106" t="s">
        <v>34</v>
      </c>
      <c r="D23" t="s">
        <v>561</v>
      </c>
      <c r="E23">
        <v>2</v>
      </c>
      <c r="F23" t="s">
        <v>81</v>
      </c>
      <c r="G23" s="73" t="str">
        <f t="shared" si="1"/>
        <v>U</v>
      </c>
      <c r="H23" s="105" t="s">
        <v>35</v>
      </c>
      <c r="I23" s="109" t="s">
        <v>35</v>
      </c>
      <c r="K23" s="70" t="s">
        <v>32</v>
      </c>
      <c r="L23" s="68">
        <v>8</v>
      </c>
      <c r="M23" s="68"/>
      <c r="N23" t="s">
        <v>3</v>
      </c>
      <c r="O23">
        <f>+GETPIVOTDATA("Story Points",$N$32,"Project","U","Added After",)</f>
        <v>34</v>
      </c>
      <c r="P23">
        <f>+GETPIVOTDATA("Story Points",$N$32,"Project","U","Added After","Y")</f>
        <v>6</v>
      </c>
      <c r="Q23">
        <f>+O11-IF(ISERR(Q11),0,Q11)-Table722293643[[#This Row],[Committed Done]]</f>
        <v>10</v>
      </c>
      <c r="R23">
        <f>+IF(ISERR(P23),0,P23)+IF(ISERR(O23),0,O23)</f>
        <v>40</v>
      </c>
    </row>
    <row r="24" spans="1:18" x14ac:dyDescent="0.25">
      <c r="A24" s="90" t="str">
        <f t="shared" si="0"/>
        <v>928</v>
      </c>
      <c r="B24" t="s">
        <v>562</v>
      </c>
      <c r="C24" s="106" t="s">
        <v>34</v>
      </c>
      <c r="D24" t="s">
        <v>563</v>
      </c>
      <c r="E24">
        <v>1</v>
      </c>
      <c r="F24" t="s">
        <v>92</v>
      </c>
      <c r="G24" s="73" t="str">
        <f t="shared" si="1"/>
        <v>U</v>
      </c>
      <c r="H24" s="105" t="s">
        <v>35</v>
      </c>
      <c r="I24" s="109" t="s">
        <v>35</v>
      </c>
      <c r="K24" s="70" t="s">
        <v>33</v>
      </c>
      <c r="L24" s="68">
        <v>9</v>
      </c>
      <c r="M24" s="68"/>
    </row>
    <row r="25" spans="1:18" x14ac:dyDescent="0.25">
      <c r="A25" s="90" t="str">
        <f t="shared" si="0"/>
        <v>930</v>
      </c>
      <c r="B25" t="s">
        <v>564</v>
      </c>
      <c r="C25" s="106" t="s">
        <v>33</v>
      </c>
      <c r="D25" t="s">
        <v>565</v>
      </c>
      <c r="E25">
        <v>3</v>
      </c>
      <c r="F25" s="95" t="s">
        <v>92</v>
      </c>
      <c r="G25" s="73" t="str">
        <f t="shared" si="1"/>
        <v>U</v>
      </c>
      <c r="H25" s="105" t="s">
        <v>35</v>
      </c>
      <c r="I25" s="109"/>
      <c r="K25" s="70" t="s">
        <v>34</v>
      </c>
      <c r="L25" s="68">
        <v>46</v>
      </c>
      <c r="M25" s="68"/>
      <c r="N25" t="s">
        <v>49</v>
      </c>
      <c r="O25" t="s">
        <v>123</v>
      </c>
      <c r="P25" t="s">
        <v>124</v>
      </c>
      <c r="Q25" t="s">
        <v>126</v>
      </c>
      <c r="R25" t="s">
        <v>130</v>
      </c>
    </row>
    <row r="26" spans="1:18" x14ac:dyDescent="0.25">
      <c r="A26" s="73" t="str">
        <f t="shared" si="0"/>
        <v>194</v>
      </c>
      <c r="B26" s="106" t="s">
        <v>532</v>
      </c>
      <c r="C26" s="106" t="s">
        <v>32</v>
      </c>
      <c r="D26" s="106" t="s">
        <v>533</v>
      </c>
      <c r="E26" s="106">
        <v>5</v>
      </c>
      <c r="F26" s="111" t="s">
        <v>236</v>
      </c>
      <c r="G26" t="str">
        <f t="shared" si="1"/>
        <v>A</v>
      </c>
      <c r="H26" s="105"/>
      <c r="I26" s="109"/>
      <c r="K26" s="71" t="s">
        <v>36</v>
      </c>
      <c r="L26" s="68">
        <v>44</v>
      </c>
      <c r="N26" t="s">
        <v>2</v>
      </c>
      <c r="O26" s="64">
        <f t="shared" ref="O26:O27" si="6">IF(ISERR(R22),0,R22)/IF(ISERR(O10), 1,O10)</f>
        <v>0.87301587301587302</v>
      </c>
      <c r="P26" s="64">
        <f t="shared" ref="P26:P27" si="7">IF(ISERR(R22),0,R22)/IF(ISERR(R10),1,R10)</f>
        <v>0.7142857142857143</v>
      </c>
      <c r="Q26" s="64">
        <f t="shared" ref="Q26:R27" si="8">+IF(ISERR(O22),0,O22)/IF(ISERR(O10),1,O10)</f>
        <v>0.73015873015873012</v>
      </c>
      <c r="R26" s="64">
        <f t="shared" si="8"/>
        <v>0.6428571428571429</v>
      </c>
    </row>
    <row r="27" spans="1:18" x14ac:dyDescent="0.25">
      <c r="A27" s="73" t="str">
        <f t="shared" si="0"/>
        <v>196</v>
      </c>
      <c r="B27" s="106" t="s">
        <v>530</v>
      </c>
      <c r="C27" s="106" t="s">
        <v>34</v>
      </c>
      <c r="D27" s="106" t="s">
        <v>531</v>
      </c>
      <c r="E27" s="106">
        <v>5</v>
      </c>
      <c r="F27" s="106" t="s">
        <v>72</v>
      </c>
      <c r="G27" t="str">
        <f t="shared" si="1"/>
        <v>A</v>
      </c>
      <c r="H27" s="105"/>
      <c r="I27" s="109" t="s">
        <v>35</v>
      </c>
      <c r="K27" s="70" t="s">
        <v>32</v>
      </c>
      <c r="L27" s="68">
        <v>6</v>
      </c>
      <c r="M27" s="68"/>
      <c r="N27" t="s">
        <v>3</v>
      </c>
      <c r="O27" s="64">
        <f t="shared" si="6"/>
        <v>0.90909090909090906</v>
      </c>
      <c r="P27" s="64">
        <f t="shared" si="7"/>
        <v>0.75471698113207553</v>
      </c>
      <c r="Q27" s="64">
        <f t="shared" si="8"/>
        <v>0.77272727272727271</v>
      </c>
      <c r="R27" s="64">
        <f t="shared" si="8"/>
        <v>0.66666666666666663</v>
      </c>
    </row>
    <row r="28" spans="1:18" x14ac:dyDescent="0.25">
      <c r="A28" s="90" t="str">
        <f t="shared" si="0"/>
        <v>199</v>
      </c>
      <c r="B28" s="106" t="s">
        <v>528</v>
      </c>
      <c r="C28" s="106" t="s">
        <v>34</v>
      </c>
      <c r="D28" s="106" t="s">
        <v>529</v>
      </c>
      <c r="E28" s="106">
        <v>5</v>
      </c>
      <c r="F28" s="106" t="s">
        <v>58</v>
      </c>
      <c r="G28" t="str">
        <f t="shared" si="1"/>
        <v>A</v>
      </c>
      <c r="H28" s="105"/>
      <c r="I28" s="109" t="s">
        <v>35</v>
      </c>
      <c r="K28" s="70" t="s">
        <v>33</v>
      </c>
      <c r="L28" s="68">
        <v>4</v>
      </c>
      <c r="M28" s="68"/>
    </row>
    <row r="29" spans="1:18" x14ac:dyDescent="0.25">
      <c r="A29" s="73" t="str">
        <f t="shared" si="0"/>
        <v>380</v>
      </c>
      <c r="B29" s="106" t="s">
        <v>453</v>
      </c>
      <c r="C29" s="106" t="s">
        <v>34</v>
      </c>
      <c r="D29" s="106" t="s">
        <v>454</v>
      </c>
      <c r="E29" s="106">
        <v>3</v>
      </c>
      <c r="F29" s="106" t="s">
        <v>112</v>
      </c>
      <c r="G29" t="str">
        <f t="shared" si="1"/>
        <v>A</v>
      </c>
      <c r="H29" s="105"/>
      <c r="I29" s="109" t="s">
        <v>35</v>
      </c>
      <c r="K29" s="70" t="s">
        <v>34</v>
      </c>
      <c r="L29" s="68">
        <v>34</v>
      </c>
      <c r="M29" s="68"/>
    </row>
    <row r="30" spans="1:18" x14ac:dyDescent="0.25">
      <c r="A30" s="90" t="str">
        <f t="shared" si="0"/>
        <v>399</v>
      </c>
      <c r="B30" s="106" t="s">
        <v>246</v>
      </c>
      <c r="C30" s="106" t="s">
        <v>34</v>
      </c>
      <c r="D30" s="106" t="s">
        <v>247</v>
      </c>
      <c r="E30" s="106">
        <v>3</v>
      </c>
      <c r="F30" s="106" t="s">
        <v>72</v>
      </c>
      <c r="G30" s="90" t="str">
        <f t="shared" si="1"/>
        <v>A</v>
      </c>
      <c r="H30" s="105"/>
      <c r="I30" s="109" t="s">
        <v>35</v>
      </c>
      <c r="K30" s="69" t="s">
        <v>35</v>
      </c>
      <c r="L30" s="68">
        <v>23</v>
      </c>
      <c r="M30" s="68"/>
      <c r="N30" s="72" t="s">
        <v>144</v>
      </c>
      <c r="O30" t="s">
        <v>35</v>
      </c>
    </row>
    <row r="31" spans="1:18" x14ac:dyDescent="0.25">
      <c r="A31" s="73" t="str">
        <f t="shared" si="0"/>
        <v>445</v>
      </c>
      <c r="B31" t="s">
        <v>552</v>
      </c>
      <c r="C31" s="106" t="s">
        <v>135</v>
      </c>
      <c r="D31" t="s">
        <v>553</v>
      </c>
      <c r="E31">
        <v>5</v>
      </c>
      <c r="F31" t="s">
        <v>58</v>
      </c>
      <c r="G31" t="str">
        <f t="shared" si="1"/>
        <v>A</v>
      </c>
      <c r="H31" s="106" t="s">
        <v>35</v>
      </c>
      <c r="I31" s="109"/>
      <c r="K31" s="71" t="s">
        <v>37</v>
      </c>
      <c r="L31" s="68">
        <v>14</v>
      </c>
      <c r="M31" s="68"/>
    </row>
    <row r="32" spans="1:18" x14ac:dyDescent="0.25">
      <c r="A32" s="90" t="str">
        <f t="shared" si="0"/>
        <v>508</v>
      </c>
      <c r="B32" s="106" t="s">
        <v>451</v>
      </c>
      <c r="C32" s="106" t="s">
        <v>34</v>
      </c>
      <c r="D32" s="106" t="s">
        <v>452</v>
      </c>
      <c r="E32" s="106">
        <v>3</v>
      </c>
      <c r="F32" s="111" t="s">
        <v>236</v>
      </c>
      <c r="G32" s="90" t="str">
        <f t="shared" si="1"/>
        <v>A</v>
      </c>
      <c r="H32" s="105"/>
      <c r="I32" s="109" t="s">
        <v>35</v>
      </c>
      <c r="K32" s="70" t="s">
        <v>34</v>
      </c>
      <c r="L32" s="68">
        <v>9</v>
      </c>
      <c r="N32" s="72" t="s">
        <v>39</v>
      </c>
      <c r="O32" t="s">
        <v>50</v>
      </c>
    </row>
    <row r="33" spans="1:15" x14ac:dyDescent="0.25">
      <c r="A33" s="90" t="str">
        <f t="shared" si="0"/>
        <v>520</v>
      </c>
      <c r="B33" s="106" t="s">
        <v>445</v>
      </c>
      <c r="C33" s="106" t="s">
        <v>33</v>
      </c>
      <c r="D33" s="106" t="s">
        <v>446</v>
      </c>
      <c r="E33" s="106">
        <v>3</v>
      </c>
      <c r="F33" s="117" t="s">
        <v>58</v>
      </c>
      <c r="G33" t="str">
        <f t="shared" si="1"/>
        <v>A</v>
      </c>
      <c r="H33" s="105"/>
      <c r="I33" s="109"/>
      <c r="K33" s="70" t="s">
        <v>135</v>
      </c>
      <c r="L33" s="68">
        <v>5</v>
      </c>
      <c r="N33" s="69" t="s">
        <v>37</v>
      </c>
      <c r="O33" s="68"/>
    </row>
    <row r="34" spans="1:15" x14ac:dyDescent="0.25">
      <c r="A34" s="90" t="str">
        <f t="shared" ref="A34:A50" si="9">MID(B34,8,3)</f>
        <v>539</v>
      </c>
      <c r="B34" s="106" t="s">
        <v>526</v>
      </c>
      <c r="C34" s="106" t="s">
        <v>34</v>
      </c>
      <c r="D34" s="106" t="s">
        <v>527</v>
      </c>
      <c r="E34" s="106">
        <v>3</v>
      </c>
      <c r="F34" s="106" t="s">
        <v>58</v>
      </c>
      <c r="G34" t="str">
        <f t="shared" ref="G34:G50" si="10">MID(B34,4,1)</f>
        <v>A</v>
      </c>
      <c r="H34" s="105"/>
      <c r="I34" s="109" t="s">
        <v>35</v>
      </c>
      <c r="K34" s="71" t="s">
        <v>36</v>
      </c>
      <c r="L34" s="68">
        <v>9</v>
      </c>
      <c r="N34" s="71" t="s">
        <v>122</v>
      </c>
      <c r="O34" s="68">
        <v>46</v>
      </c>
    </row>
    <row r="35" spans="1:15" x14ac:dyDescent="0.25">
      <c r="A35" s="90" t="str">
        <f t="shared" si="9"/>
        <v>540</v>
      </c>
      <c r="B35" t="s">
        <v>554</v>
      </c>
      <c r="C35" s="106" t="s">
        <v>34</v>
      </c>
      <c r="D35" t="s">
        <v>555</v>
      </c>
      <c r="E35">
        <v>3</v>
      </c>
      <c r="F35" t="s">
        <v>64</v>
      </c>
      <c r="G35" s="90" t="str">
        <f t="shared" si="10"/>
        <v>A</v>
      </c>
      <c r="H35" s="105" t="s">
        <v>35</v>
      </c>
      <c r="I35" s="109" t="s">
        <v>35</v>
      </c>
      <c r="K35" s="70" t="s">
        <v>33</v>
      </c>
      <c r="L35" s="68">
        <v>3</v>
      </c>
      <c r="N35" s="71" t="s">
        <v>35</v>
      </c>
      <c r="O35" s="68">
        <v>9</v>
      </c>
    </row>
    <row r="36" spans="1:15" x14ac:dyDescent="0.25">
      <c r="A36" s="90" t="str">
        <f t="shared" si="9"/>
        <v>555</v>
      </c>
      <c r="B36" s="106" t="s">
        <v>549</v>
      </c>
      <c r="C36" s="106" t="s">
        <v>34</v>
      </c>
      <c r="D36" s="106" t="s">
        <v>550</v>
      </c>
      <c r="E36" s="106">
        <v>3</v>
      </c>
      <c r="F36" s="106" t="s">
        <v>64</v>
      </c>
      <c r="G36" t="str">
        <f t="shared" si="10"/>
        <v>A</v>
      </c>
      <c r="H36" s="105"/>
      <c r="I36" s="109" t="s">
        <v>35</v>
      </c>
      <c r="K36" s="70" t="s">
        <v>34</v>
      </c>
      <c r="L36" s="68">
        <v>6</v>
      </c>
      <c r="N36" s="69" t="s">
        <v>131</v>
      </c>
      <c r="O36" s="68">
        <v>55</v>
      </c>
    </row>
    <row r="37" spans="1:15" x14ac:dyDescent="0.25">
      <c r="A37" s="90" t="str">
        <f t="shared" si="9"/>
        <v>560</v>
      </c>
      <c r="B37" t="s">
        <v>556</v>
      </c>
      <c r="C37" s="106" t="s">
        <v>34</v>
      </c>
      <c r="D37" t="s">
        <v>557</v>
      </c>
      <c r="E37">
        <v>3</v>
      </c>
      <c r="F37" t="s">
        <v>64</v>
      </c>
      <c r="G37" s="90" t="str">
        <f t="shared" si="10"/>
        <v>A</v>
      </c>
      <c r="H37" s="105" t="s">
        <v>35</v>
      </c>
      <c r="I37" s="109" t="s">
        <v>35</v>
      </c>
      <c r="K37" s="69" t="s">
        <v>31</v>
      </c>
      <c r="L37" s="68">
        <v>130</v>
      </c>
      <c r="N37" s="69" t="s">
        <v>36</v>
      </c>
      <c r="O37" s="68"/>
    </row>
    <row r="38" spans="1:15" x14ac:dyDescent="0.25">
      <c r="A38" s="90" t="str">
        <f t="shared" si="9"/>
        <v>570</v>
      </c>
      <c r="B38" s="106" t="s">
        <v>547</v>
      </c>
      <c r="C38" s="106" t="s">
        <v>34</v>
      </c>
      <c r="D38" s="106" t="s">
        <v>548</v>
      </c>
      <c r="E38" s="106">
        <v>3</v>
      </c>
      <c r="F38" s="106" t="s">
        <v>64</v>
      </c>
      <c r="G38" t="str">
        <f t="shared" si="10"/>
        <v>A</v>
      </c>
      <c r="H38" s="105"/>
      <c r="I38" s="109" t="s">
        <v>35</v>
      </c>
      <c r="N38" s="71" t="s">
        <v>122</v>
      </c>
      <c r="O38" s="68">
        <v>34</v>
      </c>
    </row>
    <row r="39" spans="1:15" x14ac:dyDescent="0.25">
      <c r="A39" s="73" t="str">
        <f t="shared" si="9"/>
        <v>586</v>
      </c>
      <c r="B39" s="106" t="s">
        <v>431</v>
      </c>
      <c r="C39" s="106" t="s">
        <v>34</v>
      </c>
      <c r="D39" s="106" t="s">
        <v>432</v>
      </c>
      <c r="E39" s="106">
        <v>3</v>
      </c>
      <c r="F39" s="106" t="s">
        <v>61</v>
      </c>
      <c r="G39" t="str">
        <f t="shared" si="10"/>
        <v>A</v>
      </c>
      <c r="H39" s="105"/>
      <c r="I39" s="109" t="s">
        <v>35</v>
      </c>
      <c r="M39" s="68"/>
      <c r="N39" s="71" t="s">
        <v>35</v>
      </c>
      <c r="O39" s="68">
        <v>6</v>
      </c>
    </row>
    <row r="40" spans="1:15" x14ac:dyDescent="0.25">
      <c r="A40" t="str">
        <f t="shared" si="9"/>
        <v>598</v>
      </c>
      <c r="B40" s="106" t="s">
        <v>524</v>
      </c>
      <c r="C40" s="106" t="s">
        <v>32</v>
      </c>
      <c r="D40" s="106" t="s">
        <v>525</v>
      </c>
      <c r="E40" s="106">
        <v>3</v>
      </c>
      <c r="F40" s="106" t="s">
        <v>61</v>
      </c>
      <c r="G40" t="str">
        <f t="shared" si="10"/>
        <v>A</v>
      </c>
      <c r="H40" s="105"/>
      <c r="I40" s="109"/>
      <c r="M40" s="68"/>
      <c r="N40" s="69" t="s">
        <v>132</v>
      </c>
      <c r="O40" s="68">
        <v>40</v>
      </c>
    </row>
    <row r="41" spans="1:15" x14ac:dyDescent="0.25">
      <c r="A41" s="73" t="str">
        <f t="shared" si="9"/>
        <v>600</v>
      </c>
      <c r="B41" s="106" t="s">
        <v>522</v>
      </c>
      <c r="C41" s="106" t="s">
        <v>34</v>
      </c>
      <c r="D41" s="106" t="s">
        <v>523</v>
      </c>
      <c r="E41" s="106">
        <v>3</v>
      </c>
      <c r="F41" s="106" t="s">
        <v>236</v>
      </c>
      <c r="G41" t="str">
        <f t="shared" si="10"/>
        <v>A</v>
      </c>
      <c r="H41" s="105"/>
      <c r="I41" s="109" t="s">
        <v>35</v>
      </c>
      <c r="M41" s="68"/>
      <c r="N41" s="69" t="s">
        <v>31</v>
      </c>
      <c r="O41" s="68">
        <v>95</v>
      </c>
    </row>
    <row r="42" spans="1:15" x14ac:dyDescent="0.25">
      <c r="A42" s="73" t="str">
        <f t="shared" si="9"/>
        <v>601</v>
      </c>
      <c r="B42" s="106" t="s">
        <v>520</v>
      </c>
      <c r="C42" s="106" t="s">
        <v>33</v>
      </c>
      <c r="D42" s="106" t="s">
        <v>521</v>
      </c>
      <c r="E42" s="106">
        <v>3</v>
      </c>
      <c r="F42" s="117" t="s">
        <v>112</v>
      </c>
      <c r="G42" t="str">
        <f t="shared" si="10"/>
        <v>A</v>
      </c>
      <c r="H42" s="105"/>
      <c r="I42" s="109"/>
      <c r="M42" s="68"/>
    </row>
    <row r="43" spans="1:15" x14ac:dyDescent="0.25">
      <c r="A43" s="90" t="str">
        <f t="shared" si="9"/>
        <v>605</v>
      </c>
      <c r="B43" s="106" t="s">
        <v>518</v>
      </c>
      <c r="C43" s="106" t="s">
        <v>33</v>
      </c>
      <c r="D43" s="106" t="s">
        <v>519</v>
      </c>
      <c r="E43" s="106">
        <v>3</v>
      </c>
      <c r="F43" s="111" t="s">
        <v>61</v>
      </c>
      <c r="G43" t="str">
        <f t="shared" si="10"/>
        <v>A</v>
      </c>
      <c r="H43" s="105"/>
      <c r="I43" s="109"/>
      <c r="M43" s="68"/>
    </row>
    <row r="44" spans="1:15" x14ac:dyDescent="0.25">
      <c r="A44" s="73" t="str">
        <f t="shared" si="9"/>
        <v>611</v>
      </c>
      <c r="B44" s="106" t="s">
        <v>545</v>
      </c>
      <c r="C44" s="106" t="s">
        <v>34</v>
      </c>
      <c r="D44" s="106" t="s">
        <v>546</v>
      </c>
      <c r="E44" s="106">
        <v>2</v>
      </c>
      <c r="F44" s="106" t="s">
        <v>72</v>
      </c>
      <c r="G44" t="str">
        <f t="shared" si="10"/>
        <v>A</v>
      </c>
      <c r="H44" s="105"/>
      <c r="I44" s="109" t="s">
        <v>35</v>
      </c>
      <c r="M44" s="68"/>
    </row>
    <row r="45" spans="1:15" x14ac:dyDescent="0.25">
      <c r="A45" s="73" t="str">
        <f t="shared" si="9"/>
        <v>612</v>
      </c>
      <c r="B45" s="106" t="s">
        <v>516</v>
      </c>
      <c r="C45" s="106" t="s">
        <v>34</v>
      </c>
      <c r="D45" s="106" t="s">
        <v>517</v>
      </c>
      <c r="E45" s="106">
        <v>3</v>
      </c>
      <c r="F45" s="106" t="s">
        <v>61</v>
      </c>
      <c r="G45" t="str">
        <f t="shared" si="10"/>
        <v>A</v>
      </c>
      <c r="H45" s="105"/>
      <c r="I45" s="109" t="s">
        <v>35</v>
      </c>
      <c r="M45" s="68"/>
    </row>
    <row r="46" spans="1:15" x14ac:dyDescent="0.25">
      <c r="A46" s="90" t="str">
        <f t="shared" si="9"/>
        <v>613</v>
      </c>
      <c r="B46" s="106" t="s">
        <v>514</v>
      </c>
      <c r="C46" s="106" t="s">
        <v>34</v>
      </c>
      <c r="D46" s="106" t="s">
        <v>515</v>
      </c>
      <c r="E46" s="106">
        <v>2</v>
      </c>
      <c r="F46" s="106" t="s">
        <v>61</v>
      </c>
      <c r="G46" s="90" t="str">
        <f t="shared" si="10"/>
        <v>A</v>
      </c>
      <c r="H46" s="105"/>
      <c r="I46" s="109" t="s">
        <v>35</v>
      </c>
      <c r="M46" s="68"/>
    </row>
    <row r="47" spans="1:15" x14ac:dyDescent="0.25">
      <c r="A47" s="90" t="str">
        <f t="shared" si="9"/>
        <v>614</v>
      </c>
      <c r="B47" t="s">
        <v>558</v>
      </c>
      <c r="C47" s="106" t="s">
        <v>34</v>
      </c>
      <c r="D47" t="s">
        <v>559</v>
      </c>
      <c r="E47">
        <v>3</v>
      </c>
      <c r="F47" t="s">
        <v>61</v>
      </c>
      <c r="G47" s="90" t="str">
        <f t="shared" si="10"/>
        <v>A</v>
      </c>
      <c r="H47" s="105" t="s">
        <v>35</v>
      </c>
      <c r="I47" s="109" t="s">
        <v>35</v>
      </c>
      <c r="M47" s="68"/>
    </row>
    <row r="48" spans="1:15" x14ac:dyDescent="0.25">
      <c r="A48" s="90" t="str">
        <f t="shared" si="9"/>
        <v>618</v>
      </c>
      <c r="B48" s="106" t="s">
        <v>543</v>
      </c>
      <c r="C48" s="106" t="s">
        <v>34</v>
      </c>
      <c r="D48" s="106" t="s">
        <v>544</v>
      </c>
      <c r="E48" s="106">
        <v>3</v>
      </c>
      <c r="F48" s="106"/>
      <c r="G48" s="90" t="str">
        <f t="shared" si="10"/>
        <v>A</v>
      </c>
      <c r="H48" s="105"/>
      <c r="I48" s="109" t="s">
        <v>35</v>
      </c>
    </row>
    <row r="49" spans="1:13" x14ac:dyDescent="0.25">
      <c r="A49" s="73" t="str">
        <f t="shared" si="9"/>
        <v>620</v>
      </c>
      <c r="B49" s="106" t="s">
        <v>541</v>
      </c>
      <c r="C49" s="106" t="s">
        <v>34</v>
      </c>
      <c r="D49" s="106" t="s">
        <v>542</v>
      </c>
      <c r="E49" s="106">
        <v>1</v>
      </c>
      <c r="F49" s="106" t="s">
        <v>236</v>
      </c>
      <c r="G49" s="73" t="str">
        <f t="shared" si="10"/>
        <v>A</v>
      </c>
      <c r="H49" s="105"/>
      <c r="I49" s="109" t="s">
        <v>35</v>
      </c>
    </row>
    <row r="50" spans="1:13" x14ac:dyDescent="0.25">
      <c r="A50" s="73" t="str">
        <f t="shared" si="9"/>
        <v>621</v>
      </c>
      <c r="B50" s="106" t="s">
        <v>539</v>
      </c>
      <c r="C50" s="106" t="s">
        <v>34</v>
      </c>
      <c r="D50" s="106" t="s">
        <v>540</v>
      </c>
      <c r="E50" s="106">
        <v>1</v>
      </c>
      <c r="F50" s="106" t="s">
        <v>236</v>
      </c>
      <c r="G50" s="73" t="str">
        <f t="shared" si="10"/>
        <v>A</v>
      </c>
      <c r="H50" s="105"/>
      <c r="I50" s="109" t="s">
        <v>35</v>
      </c>
    </row>
    <row r="54" spans="1:13" x14ac:dyDescent="0.25">
      <c r="M54" s="68"/>
    </row>
    <row r="55" spans="1:13" x14ac:dyDescent="0.25">
      <c r="M55" s="68"/>
    </row>
    <row r="56" spans="1:13" x14ac:dyDescent="0.25">
      <c r="K56" s="71"/>
      <c r="L56" s="68"/>
      <c r="M56" s="68"/>
    </row>
    <row r="57" spans="1:13" x14ac:dyDescent="0.25">
      <c r="K57" s="69"/>
      <c r="L57" s="68"/>
    </row>
    <row r="58" spans="1:13" x14ac:dyDescent="0.25">
      <c r="K58" s="69"/>
      <c r="L58" s="68"/>
    </row>
  </sheetData>
  <sheetProtection sheet="1" sort="0" autoFilter="0" pivotTables="0"/>
  <conditionalFormatting sqref="I2:I50">
    <cfRule type="expression" dxfId="269" priority="8">
      <formula>$C2="Done"</formula>
    </cfRule>
  </conditionalFormatting>
  <conditionalFormatting sqref="C2:C50">
    <cfRule type="expression" dxfId="268" priority="6">
      <formula>C2="Blocked"</formula>
    </cfRule>
    <cfRule type="expression" dxfId="267" priority="7">
      <formula>C2="Done"</formula>
    </cfRule>
  </conditionalFormatting>
  <conditionalFormatting sqref="I2:I50">
    <cfRule type="expression" dxfId="266" priority="5" stopIfTrue="1">
      <formula>IF(C2="Done", IF(I2&lt;&gt;"Y",TRUE,FALSE),FALSE)</formula>
    </cfRule>
  </conditionalFormatting>
  <conditionalFormatting sqref="S2:S4">
    <cfRule type="expression" dxfId="265" priority="2">
      <formula>IF(S2&lt;0.8, TRUE, IF(S2&gt;1.2, TRUE, FALSE))</formula>
    </cfRule>
  </conditionalFormatting>
  <conditionalFormatting sqref="A31:I31">
    <cfRule type="expression" dxfId="264" priority="1">
      <formula>$C31="Blocked"</formula>
    </cfRule>
  </conditionalFormatting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7" name="Button 1">
              <controlPr defaultSize="0" print="0" autoFill="0" autoPict="0" macro="[0]!ResetAndLock">
                <anchor moveWithCells="1" sizeWithCells="1">
                  <from>
                    <xdr:col>18</xdr:col>
                    <xdr:colOff>942975</xdr:colOff>
                    <xdr:row>7</xdr:row>
                    <xdr:rowOff>133350</xdr:rowOff>
                  </from>
                  <to>
                    <xdr:col>22</xdr:col>
                    <xdr:colOff>714375</xdr:colOff>
                    <xdr:row>11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7">
    <tablePart r:id="rId8"/>
    <tablePart r:id="rId9"/>
    <tablePart r:id="rId10"/>
    <tablePart r:id="rId11"/>
    <tablePart r:id="rId12"/>
    <tablePart r:id="rId13"/>
    <tablePart r:id="rId14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W58"/>
  <sheetViews>
    <sheetView topLeftCell="E1" workbookViewId="0">
      <selection activeCell="H19" sqref="H19:H21"/>
    </sheetView>
  </sheetViews>
  <sheetFormatPr defaultRowHeight="15" x14ac:dyDescent="0.25"/>
  <cols>
    <col min="2" max="2" width="12.28515625" customWidth="1"/>
    <col min="3" max="3" width="11" style="106" customWidth="1"/>
    <col min="4" max="4" width="89.42578125" customWidth="1"/>
    <col min="5" max="5" width="8.85546875" customWidth="1"/>
    <col min="6" max="6" width="13.140625" customWidth="1"/>
    <col min="7" max="7" width="9.5703125" customWidth="1"/>
    <col min="8" max="8" width="11.5703125" style="106" customWidth="1"/>
    <col min="9" max="9" width="10.85546875" style="106" customWidth="1"/>
    <col min="10" max="10" width="4.28515625" customWidth="1"/>
    <col min="11" max="11" width="16.7109375" bestFit="1" customWidth="1"/>
    <col min="12" max="12" width="6.42578125" bestFit="1" customWidth="1"/>
    <col min="13" max="13" width="6.42578125" customWidth="1"/>
    <col min="14" max="14" width="13.140625" bestFit="1" customWidth="1"/>
    <col min="15" max="15" width="18.42578125" bestFit="1" customWidth="1"/>
    <col min="16" max="16" width="19" customWidth="1"/>
    <col min="17" max="17" width="16.28515625" customWidth="1"/>
    <col min="18" max="18" width="16.5703125" customWidth="1"/>
    <col min="19" max="19" width="14.5703125" customWidth="1"/>
    <col min="20" max="20" width="13.42578125" customWidth="1"/>
    <col min="21" max="21" width="9.140625" customWidth="1"/>
    <col min="22" max="22" width="11" customWidth="1"/>
    <col min="23" max="23" width="10.85546875" bestFit="1" customWidth="1"/>
    <col min="25" max="25" width="11.5703125" customWidth="1"/>
  </cols>
  <sheetData>
    <row r="1" spans="1:23" ht="30.75" customHeight="1" x14ac:dyDescent="0.25">
      <c r="A1" t="s">
        <v>231</v>
      </c>
      <c r="B1" t="s">
        <v>48</v>
      </c>
      <c r="C1" s="106" t="s">
        <v>47</v>
      </c>
      <c r="D1" t="s">
        <v>46</v>
      </c>
      <c r="E1" t="s">
        <v>38</v>
      </c>
      <c r="F1" t="s">
        <v>45</v>
      </c>
      <c r="G1" t="s">
        <v>44</v>
      </c>
      <c r="H1" s="106" t="s">
        <v>43</v>
      </c>
      <c r="I1" s="106" t="s">
        <v>144</v>
      </c>
      <c r="N1" t="s">
        <v>133</v>
      </c>
      <c r="O1" t="s">
        <v>134</v>
      </c>
      <c r="P1" t="s">
        <v>41</v>
      </c>
      <c r="Q1" t="s">
        <v>135</v>
      </c>
      <c r="R1" t="s">
        <v>136</v>
      </c>
      <c r="S1" s="86" t="s">
        <v>143</v>
      </c>
      <c r="T1" s="86" t="s">
        <v>141</v>
      </c>
      <c r="U1" s="80" t="s">
        <v>40</v>
      </c>
      <c r="V1" s="86" t="s">
        <v>142</v>
      </c>
      <c r="W1" s="86" t="s">
        <v>145</v>
      </c>
    </row>
    <row r="2" spans="1:23" x14ac:dyDescent="0.25">
      <c r="A2" s="90" t="str">
        <f t="shared" ref="A2:A46" si="0">MID(B2,8,3)</f>
        <v>254</v>
      </c>
      <c r="B2" t="s">
        <v>343</v>
      </c>
      <c r="C2" s="106" t="s">
        <v>34</v>
      </c>
      <c r="D2" t="s">
        <v>344</v>
      </c>
      <c r="E2">
        <v>5</v>
      </c>
      <c r="F2" t="s">
        <v>84</v>
      </c>
      <c r="G2" s="90" t="str">
        <f t="shared" ref="G2:G46" si="1">MID(B2,4,1)</f>
        <v>U</v>
      </c>
      <c r="H2" s="105" t="s">
        <v>35</v>
      </c>
      <c r="I2" s="109" t="s">
        <v>35</v>
      </c>
      <c r="N2" t="s">
        <v>2</v>
      </c>
      <c r="O2">
        <f>+O10-Table9243138[[#This Row],[Blocked]]</f>
        <v>55</v>
      </c>
      <c r="P2">
        <f>IF(ISERR(P10),0,P10)</f>
        <v>9</v>
      </c>
      <c r="Q2">
        <f>IF(ISERR(Q10),0,Q10)</f>
        <v>3</v>
      </c>
      <c r="R2">
        <f>+IF(ISERR(R14),0,R14)</f>
        <v>52</v>
      </c>
      <c r="S2" s="88">
        <f>Table9243138[[#This Row],[Completed]]/Table9243138[[#This Row],[Committed]]</f>
        <v>0.94545454545454544</v>
      </c>
      <c r="T2" s="83">
        <f>Table9243138[[#This Row],[Completed]]/(Table9243138[[#This Row],[Added]]+Table9243138[[#This Row],[Committed]])</f>
        <v>0.8125</v>
      </c>
      <c r="V2" s="84" t="str">
        <f>IF(ISERR(O14),0,O14) &amp; "  (" &amp;TEXT(IF(ISERR(O14),0,O14)/Table9243138[[#This Row],[Committed]],"#%") &amp; ")"</f>
        <v>43  (78%)</v>
      </c>
      <c r="W2" s="85" t="str">
        <f>+IF(ISERR(P14),0,P14) &amp; " (" &amp; TEXT(R18, "#%") &amp; ")"</f>
        <v>9 (100%)</v>
      </c>
    </row>
    <row r="3" spans="1:23" x14ac:dyDescent="0.25">
      <c r="A3" s="73" t="str">
        <f t="shared" si="0"/>
        <v>776</v>
      </c>
      <c r="B3" t="s">
        <v>285</v>
      </c>
      <c r="C3" s="106" t="s">
        <v>33</v>
      </c>
      <c r="D3" t="s">
        <v>424</v>
      </c>
      <c r="E3">
        <v>2</v>
      </c>
      <c r="F3" t="s">
        <v>89</v>
      </c>
      <c r="G3" t="str">
        <f t="shared" si="1"/>
        <v>U</v>
      </c>
      <c r="I3" s="109"/>
      <c r="N3" t="s">
        <v>3</v>
      </c>
      <c r="O3">
        <f>+O11-Table9243138[[#This Row],[Blocked]]</f>
        <v>44</v>
      </c>
      <c r="P3">
        <f>IF(ISERR(P11),0,P11)</f>
        <v>15</v>
      </c>
      <c r="Q3">
        <f>IF(ISERR(Q11),0,Q11)</f>
        <v>6</v>
      </c>
      <c r="R3">
        <f>+IF(ISERR(R15),0,R15)</f>
        <v>57</v>
      </c>
      <c r="S3" s="83">
        <f>Table9243138[[#This Row],[Completed]]/Table9243138[[#This Row],[Committed]]</f>
        <v>1.2954545454545454</v>
      </c>
      <c r="T3" s="83">
        <f>Table9243138[[#This Row],[Completed]]/(Table9243138[[#This Row],[Added]]+Table9243138[[#This Row],[Committed]])</f>
        <v>0.96610169491525422</v>
      </c>
      <c r="V3" s="84" t="str">
        <f>IF(ISERR(O15),0,O15) &amp; "  (" &amp;TEXT(IF(ISERR(O15),0,O15)/Table9243138[[#This Row],[Committed]],"#%") &amp; ")"</f>
        <v>42  (95%)</v>
      </c>
      <c r="W3" s="85" t="str">
        <f>+IF(ISERR(P15),0,P15) &amp; " (" &amp; TEXT(R19, "#%") &amp; ")"</f>
        <v>15 (100%)</v>
      </c>
    </row>
    <row r="4" spans="1:23" x14ac:dyDescent="0.25">
      <c r="A4" s="73" t="str">
        <f t="shared" si="0"/>
        <v>787</v>
      </c>
      <c r="B4" t="s">
        <v>422</v>
      </c>
      <c r="C4" s="106" t="s">
        <v>34</v>
      </c>
      <c r="D4" t="s">
        <v>423</v>
      </c>
      <c r="E4">
        <v>2</v>
      </c>
      <c r="F4" t="s">
        <v>72</v>
      </c>
      <c r="G4" t="str">
        <f t="shared" si="1"/>
        <v>U</v>
      </c>
      <c r="I4" s="109" t="s">
        <v>35</v>
      </c>
      <c r="N4" t="s">
        <v>303</v>
      </c>
      <c r="O4" s="68">
        <f>SUM(O2:O3)</f>
        <v>99</v>
      </c>
      <c r="P4">
        <f>SUM(P2:P3)</f>
        <v>24</v>
      </c>
      <c r="Q4" s="68">
        <f>SUM(Q2:Q3)</f>
        <v>9</v>
      </c>
      <c r="R4" s="68">
        <f>SUM(R2:R3)</f>
        <v>109</v>
      </c>
      <c r="S4" s="83">
        <f>Table9243138[[#This Row],[Completed]]/Table9243138[[#This Row],[Committed]]</f>
        <v>1.101010101010101</v>
      </c>
      <c r="T4" s="83">
        <f>Table9243138[[#This Row],[Completed]]/(Table9243138[[#This Row],[Added]]+Table9243138[[#This Row],[Committed]])</f>
        <v>0.88617886178861793</v>
      </c>
      <c r="V4" s="108" t="str">
        <f>IF(ISERR(SUM(O14:O15)),0,SUM(O14:O15)) &amp;"  ("&amp;TEXT(SUM(O14:O15)/O4,"#%") &amp;")"</f>
        <v>85  (86%)</v>
      </c>
      <c r="W4" s="85" t="str">
        <f>R4-SUM(O14:O15)&amp;" ("&amp;TEXT((R4-SUM(O14:O15))/IF(P4=0,1,P4),"#%")&amp;")"</f>
        <v>24 (100%)</v>
      </c>
    </row>
    <row r="5" spans="1:23" x14ac:dyDescent="0.25">
      <c r="A5" s="73" t="str">
        <f t="shared" si="0"/>
        <v>844</v>
      </c>
      <c r="B5" t="s">
        <v>375</v>
      </c>
      <c r="C5" s="106" t="s">
        <v>34</v>
      </c>
      <c r="D5" t="s">
        <v>376</v>
      </c>
      <c r="E5">
        <v>2</v>
      </c>
      <c r="F5" t="s">
        <v>81</v>
      </c>
      <c r="G5" t="str">
        <f t="shared" si="1"/>
        <v>U</v>
      </c>
      <c r="I5" s="109" t="s">
        <v>35</v>
      </c>
      <c r="O5" t="s">
        <v>140</v>
      </c>
      <c r="S5" t="s">
        <v>220</v>
      </c>
    </row>
    <row r="6" spans="1:23" x14ac:dyDescent="0.25">
      <c r="A6" s="90" t="str">
        <f t="shared" si="0"/>
        <v>865</v>
      </c>
      <c r="B6" t="s">
        <v>420</v>
      </c>
      <c r="C6" s="106" t="s">
        <v>34</v>
      </c>
      <c r="D6" t="s">
        <v>421</v>
      </c>
      <c r="E6">
        <v>3</v>
      </c>
      <c r="F6" t="s">
        <v>81</v>
      </c>
      <c r="G6" t="str">
        <f t="shared" si="1"/>
        <v>U</v>
      </c>
      <c r="I6" s="109" t="s">
        <v>35</v>
      </c>
    </row>
    <row r="7" spans="1:23" x14ac:dyDescent="0.25">
      <c r="A7" s="73" t="str">
        <f t="shared" si="0"/>
        <v>867</v>
      </c>
      <c r="B7" t="s">
        <v>392</v>
      </c>
      <c r="C7" s="106" t="s">
        <v>135</v>
      </c>
      <c r="D7" t="s">
        <v>393</v>
      </c>
      <c r="E7">
        <v>3</v>
      </c>
      <c r="F7" t="s">
        <v>89</v>
      </c>
      <c r="G7" t="str">
        <f t="shared" si="1"/>
        <v>U</v>
      </c>
      <c r="I7" s="109"/>
      <c r="K7" s="72" t="s">
        <v>119</v>
      </c>
      <c r="L7" t="s">
        <v>120</v>
      </c>
    </row>
    <row r="8" spans="1:23" x14ac:dyDescent="0.25">
      <c r="A8" s="73" t="str">
        <f t="shared" si="0"/>
        <v>873</v>
      </c>
      <c r="B8" t="s">
        <v>418</v>
      </c>
      <c r="C8" s="106" t="s">
        <v>34</v>
      </c>
      <c r="D8" t="s">
        <v>419</v>
      </c>
      <c r="E8">
        <v>2</v>
      </c>
      <c r="F8" t="s">
        <v>81</v>
      </c>
      <c r="G8" t="str">
        <f t="shared" si="1"/>
        <v>U</v>
      </c>
      <c r="I8" s="109" t="s">
        <v>35</v>
      </c>
      <c r="K8" s="69" t="s">
        <v>37</v>
      </c>
      <c r="L8" s="68">
        <v>67</v>
      </c>
      <c r="M8" s="68"/>
      <c r="N8" t="s">
        <v>139</v>
      </c>
      <c r="R8" t="s">
        <v>138</v>
      </c>
    </row>
    <row r="9" spans="1:23" x14ac:dyDescent="0.25">
      <c r="A9" s="73" t="str">
        <f t="shared" si="0"/>
        <v>874</v>
      </c>
      <c r="B9" t="s">
        <v>416</v>
      </c>
      <c r="C9" s="106" t="s">
        <v>34</v>
      </c>
      <c r="D9" t="s">
        <v>417</v>
      </c>
      <c r="E9">
        <v>3</v>
      </c>
      <c r="F9" t="s">
        <v>89</v>
      </c>
      <c r="G9" t="str">
        <f t="shared" si="1"/>
        <v>U</v>
      </c>
      <c r="I9" s="109" t="s">
        <v>35</v>
      </c>
      <c r="K9" s="71" t="s">
        <v>32</v>
      </c>
      <c r="L9" s="68">
        <v>6</v>
      </c>
      <c r="M9" s="68"/>
      <c r="N9" t="s">
        <v>133</v>
      </c>
      <c r="O9" t="s">
        <v>42</v>
      </c>
      <c r="P9" t="s">
        <v>41</v>
      </c>
      <c r="Q9" s="82" t="s">
        <v>135</v>
      </c>
      <c r="R9" t="s">
        <v>128</v>
      </c>
    </row>
    <row r="10" spans="1:23" x14ac:dyDescent="0.25">
      <c r="A10" s="90" t="str">
        <f t="shared" si="0"/>
        <v>879</v>
      </c>
      <c r="B10" s="105" t="s">
        <v>535</v>
      </c>
      <c r="C10" s="105" t="s">
        <v>34</v>
      </c>
      <c r="D10" s="115" t="s">
        <v>536</v>
      </c>
      <c r="E10" s="105">
        <v>2</v>
      </c>
      <c r="F10" s="105" t="s">
        <v>112</v>
      </c>
      <c r="G10" s="90" t="str">
        <f t="shared" si="1"/>
        <v>U</v>
      </c>
      <c r="H10" s="105"/>
      <c r="I10" s="109" t="s">
        <v>35</v>
      </c>
      <c r="K10" s="71" t="s">
        <v>33</v>
      </c>
      <c r="L10" s="68">
        <v>6</v>
      </c>
      <c r="M10" s="68"/>
      <c r="N10" t="s">
        <v>2</v>
      </c>
      <c r="O10">
        <f>+GETPIVOTDATA("Story Points2",$K$20,"Project","A","Added After",)</f>
        <v>58</v>
      </c>
      <c r="P10">
        <f>+GETPIVOTDATA("Story Points2",$K$20,"Project","A","Added After","Y")</f>
        <v>9</v>
      </c>
      <c r="Q10" s="81">
        <f>GETPIVOTDATA("Story Points2",$K$7,"Status","Blocked","Project","A")</f>
        <v>3</v>
      </c>
      <c r="R10">
        <f t="shared" ref="R10:R11" si="2">+IF(ISERR(P10),0,P10)+IF(ISERR(O10),0,O10)</f>
        <v>67</v>
      </c>
    </row>
    <row r="11" spans="1:23" x14ac:dyDescent="0.25">
      <c r="A11" s="73" t="str">
        <f t="shared" si="0"/>
        <v>880</v>
      </c>
      <c r="B11" t="s">
        <v>414</v>
      </c>
      <c r="C11" s="106" t="s">
        <v>34</v>
      </c>
      <c r="D11" t="s">
        <v>415</v>
      </c>
      <c r="E11">
        <v>3</v>
      </c>
      <c r="F11" t="s">
        <v>112</v>
      </c>
      <c r="G11" t="str">
        <f t="shared" si="1"/>
        <v>U</v>
      </c>
      <c r="I11" s="109" t="s">
        <v>35</v>
      </c>
      <c r="K11" s="71" t="s">
        <v>135</v>
      </c>
      <c r="L11" s="68">
        <v>3</v>
      </c>
      <c r="M11" s="68"/>
      <c r="N11" t="s">
        <v>3</v>
      </c>
      <c r="O11">
        <f>+GETPIVOTDATA("Story Points2",$K$20,"Project","U","Added After",)</f>
        <v>50</v>
      </c>
      <c r="P11">
        <f>+GETPIVOTDATA("Story Points2",$K$20,"Project","U","Added After","Y")</f>
        <v>15</v>
      </c>
      <c r="Q11" s="81">
        <f>GETPIVOTDATA("Story Points2",$K$7,"Status","Blocked","Project","U")</f>
        <v>6</v>
      </c>
      <c r="R11">
        <f t="shared" si="2"/>
        <v>65</v>
      </c>
    </row>
    <row r="12" spans="1:23" x14ac:dyDescent="0.25">
      <c r="A12" s="73" t="str">
        <f t="shared" si="0"/>
        <v>882</v>
      </c>
      <c r="B12" t="s">
        <v>412</v>
      </c>
      <c r="C12" s="106" t="s">
        <v>34</v>
      </c>
      <c r="D12" t="s">
        <v>413</v>
      </c>
      <c r="E12">
        <v>2</v>
      </c>
      <c r="F12" t="s">
        <v>112</v>
      </c>
      <c r="G12" t="str">
        <f t="shared" si="1"/>
        <v>U</v>
      </c>
      <c r="I12" s="109" t="s">
        <v>35</v>
      </c>
      <c r="K12" s="71" t="s">
        <v>34</v>
      </c>
      <c r="L12" s="68">
        <v>52</v>
      </c>
      <c r="M12" s="68"/>
    </row>
    <row r="13" spans="1:23" x14ac:dyDescent="0.25">
      <c r="A13" s="73" t="str">
        <f t="shared" si="0"/>
        <v>883</v>
      </c>
      <c r="B13" t="s">
        <v>410</v>
      </c>
      <c r="C13" s="106" t="s">
        <v>34</v>
      </c>
      <c r="D13" t="s">
        <v>411</v>
      </c>
      <c r="E13">
        <v>3</v>
      </c>
      <c r="F13" t="s">
        <v>92</v>
      </c>
      <c r="G13" t="str">
        <f t="shared" si="1"/>
        <v>U</v>
      </c>
      <c r="I13" s="109" t="s">
        <v>35</v>
      </c>
      <c r="K13" s="69" t="s">
        <v>36</v>
      </c>
      <c r="L13" s="68">
        <v>65</v>
      </c>
      <c r="M13" s="68"/>
      <c r="N13" t="s">
        <v>34</v>
      </c>
      <c r="O13" t="s">
        <v>126</v>
      </c>
      <c r="P13" t="s">
        <v>125</v>
      </c>
      <c r="Q13" s="80" t="s">
        <v>40</v>
      </c>
      <c r="R13" t="s">
        <v>127</v>
      </c>
    </row>
    <row r="14" spans="1:23" x14ac:dyDescent="0.25">
      <c r="A14" s="73" t="str">
        <f t="shared" si="0"/>
        <v>884</v>
      </c>
      <c r="B14" t="s">
        <v>408</v>
      </c>
      <c r="C14" s="106" t="s">
        <v>34</v>
      </c>
      <c r="D14" t="s">
        <v>409</v>
      </c>
      <c r="E14">
        <v>2</v>
      </c>
      <c r="F14" t="s">
        <v>235</v>
      </c>
      <c r="G14" t="str">
        <f t="shared" si="1"/>
        <v>U</v>
      </c>
      <c r="I14" s="109" t="s">
        <v>35</v>
      </c>
      <c r="K14" s="71" t="s">
        <v>33</v>
      </c>
      <c r="L14" s="68">
        <v>2</v>
      </c>
      <c r="M14" s="68"/>
      <c r="N14" t="s">
        <v>2</v>
      </c>
      <c r="O14">
        <f>+GETPIVOTDATA("Story Points2",$K$20,"Status","Done","Project","A","Added After",)</f>
        <v>43</v>
      </c>
      <c r="P14">
        <f>+GETPIVOTDATA("Story Points2",$K$20,"Status","Done","Project","A","Added After","Y")</f>
        <v>9</v>
      </c>
      <c r="R14">
        <f t="shared" ref="R14:R15" si="3">+IF(ISERR(P14),0,P14)+IF(ISERR(O14),0,O14)</f>
        <v>52</v>
      </c>
    </row>
    <row r="15" spans="1:23" x14ac:dyDescent="0.25">
      <c r="A15" s="73" t="str">
        <f t="shared" si="0"/>
        <v>885</v>
      </c>
      <c r="B15" t="s">
        <v>406</v>
      </c>
      <c r="C15" s="106" t="s">
        <v>34</v>
      </c>
      <c r="D15" t="s">
        <v>407</v>
      </c>
      <c r="E15">
        <v>3</v>
      </c>
      <c r="G15" t="str">
        <f t="shared" si="1"/>
        <v>U</v>
      </c>
      <c r="I15" s="109" t="s">
        <v>35</v>
      </c>
      <c r="K15" s="71" t="s">
        <v>135</v>
      </c>
      <c r="L15" s="68">
        <v>6</v>
      </c>
      <c r="N15" t="s">
        <v>3</v>
      </c>
      <c r="O15">
        <f>+GETPIVOTDATA("Story Points2",$K$20,"Status","Done","Project","U","Added After",)</f>
        <v>42</v>
      </c>
      <c r="P15">
        <f>+GETPIVOTDATA("Story Points2",$K$20,"Status","Done","Project","U","Added After","Y")</f>
        <v>15</v>
      </c>
      <c r="R15">
        <f t="shared" si="3"/>
        <v>57</v>
      </c>
    </row>
    <row r="16" spans="1:23" x14ac:dyDescent="0.25">
      <c r="A16" s="73" t="str">
        <f t="shared" si="0"/>
        <v>887</v>
      </c>
      <c r="B16" t="s">
        <v>404</v>
      </c>
      <c r="C16" s="106" t="s">
        <v>34</v>
      </c>
      <c r="D16" t="s">
        <v>405</v>
      </c>
      <c r="E16">
        <v>2</v>
      </c>
      <c r="F16" t="s">
        <v>81</v>
      </c>
      <c r="G16" t="str">
        <f t="shared" si="1"/>
        <v>U</v>
      </c>
      <c r="I16" s="109" t="s">
        <v>35</v>
      </c>
      <c r="K16" s="71" t="s">
        <v>34</v>
      </c>
      <c r="L16" s="68">
        <v>57</v>
      </c>
    </row>
    <row r="17" spans="1:18" x14ac:dyDescent="0.25">
      <c r="A17" s="90" t="str">
        <f t="shared" si="0"/>
        <v>890</v>
      </c>
      <c r="B17" t="s">
        <v>469</v>
      </c>
      <c r="C17" s="106" t="s">
        <v>34</v>
      </c>
      <c r="D17" s="116" t="s">
        <v>470</v>
      </c>
      <c r="E17">
        <v>3</v>
      </c>
      <c r="F17" t="s">
        <v>72</v>
      </c>
      <c r="G17" s="90" t="str">
        <f t="shared" si="1"/>
        <v>U</v>
      </c>
      <c r="H17" s="105"/>
      <c r="I17" s="109" t="s">
        <v>35</v>
      </c>
      <c r="K17" s="69" t="s">
        <v>31</v>
      </c>
      <c r="L17" s="68">
        <v>132</v>
      </c>
      <c r="N17" t="s">
        <v>34</v>
      </c>
      <c r="O17" t="s">
        <v>123</v>
      </c>
      <c r="P17" t="s">
        <v>124</v>
      </c>
      <c r="Q17" t="s">
        <v>126</v>
      </c>
      <c r="R17" t="s">
        <v>125</v>
      </c>
    </row>
    <row r="18" spans="1:18" x14ac:dyDescent="0.25">
      <c r="A18" s="73" t="str">
        <f t="shared" si="0"/>
        <v>891</v>
      </c>
      <c r="B18" t="s">
        <v>402</v>
      </c>
      <c r="C18" s="106" t="s">
        <v>135</v>
      </c>
      <c r="D18" t="s">
        <v>403</v>
      </c>
      <c r="E18">
        <v>3</v>
      </c>
      <c r="F18" t="s">
        <v>235</v>
      </c>
      <c r="G18" t="str">
        <f t="shared" si="1"/>
        <v>U</v>
      </c>
      <c r="I18" s="109" t="s">
        <v>35</v>
      </c>
      <c r="N18" t="s">
        <v>2</v>
      </c>
      <c r="O18" s="87">
        <f>+R14/O10</f>
        <v>0.89655172413793105</v>
      </c>
      <c r="P18" s="64">
        <f t="shared" ref="P18:P19" si="4">+R14/R10</f>
        <v>0.77611940298507465</v>
      </c>
      <c r="Q18" s="64">
        <f t="shared" ref="Q18:R19" si="5">+IF(ISERR(O14),0,O14)/IF(ISERR(O10),1,O10)</f>
        <v>0.74137931034482762</v>
      </c>
      <c r="R18" s="64">
        <f t="shared" si="5"/>
        <v>1</v>
      </c>
    </row>
    <row r="19" spans="1:18" x14ac:dyDescent="0.25">
      <c r="A19" s="90" t="str">
        <f t="shared" si="0"/>
        <v>893</v>
      </c>
      <c r="B19" t="s">
        <v>467</v>
      </c>
      <c r="C19" s="106" t="s">
        <v>34</v>
      </c>
      <c r="D19" s="116" t="s">
        <v>468</v>
      </c>
      <c r="E19">
        <v>5</v>
      </c>
      <c r="F19" t="s">
        <v>84</v>
      </c>
      <c r="G19" s="90" t="str">
        <f t="shared" si="1"/>
        <v>U</v>
      </c>
      <c r="H19" s="105"/>
      <c r="I19" s="109" t="s">
        <v>35</v>
      </c>
      <c r="M19" s="68"/>
      <c r="N19" t="s">
        <v>3</v>
      </c>
      <c r="O19" s="64">
        <f>+R15/O11</f>
        <v>1.1399999999999999</v>
      </c>
      <c r="P19" s="64">
        <f t="shared" si="4"/>
        <v>0.87692307692307692</v>
      </c>
      <c r="Q19" s="64">
        <f t="shared" si="5"/>
        <v>0.84</v>
      </c>
      <c r="R19" s="64">
        <f t="shared" si="5"/>
        <v>1</v>
      </c>
    </row>
    <row r="20" spans="1:18" x14ac:dyDescent="0.25">
      <c r="A20" s="73" t="str">
        <f t="shared" si="0"/>
        <v>894</v>
      </c>
      <c r="B20" t="s">
        <v>465</v>
      </c>
      <c r="C20" s="106" t="s">
        <v>34</v>
      </c>
      <c r="D20" s="116" t="s">
        <v>466</v>
      </c>
      <c r="E20">
        <v>3</v>
      </c>
      <c r="F20" t="s">
        <v>84</v>
      </c>
      <c r="G20" s="73" t="str">
        <f t="shared" si="1"/>
        <v>U</v>
      </c>
      <c r="H20" s="105"/>
      <c r="I20" s="109" t="s">
        <v>35</v>
      </c>
      <c r="K20" s="72" t="s">
        <v>396</v>
      </c>
      <c r="L20" t="s">
        <v>120</v>
      </c>
      <c r="M20" s="68"/>
    </row>
    <row r="21" spans="1:18" x14ac:dyDescent="0.25">
      <c r="A21" s="90" t="str">
        <f t="shared" si="0"/>
        <v>895</v>
      </c>
      <c r="B21" t="s">
        <v>463</v>
      </c>
      <c r="C21" s="106" t="s">
        <v>34</v>
      </c>
      <c r="D21" s="116" t="s">
        <v>464</v>
      </c>
      <c r="E21">
        <v>2</v>
      </c>
      <c r="F21" t="s">
        <v>89</v>
      </c>
      <c r="G21" s="90" t="str">
        <f t="shared" si="1"/>
        <v>U</v>
      </c>
      <c r="H21" s="105"/>
      <c r="I21" s="109" t="s">
        <v>35</v>
      </c>
      <c r="K21" s="69" t="s">
        <v>122</v>
      </c>
      <c r="L21" s="68">
        <v>108</v>
      </c>
      <c r="M21" s="68"/>
      <c r="N21" t="s">
        <v>49</v>
      </c>
      <c r="O21" t="s">
        <v>126</v>
      </c>
      <c r="P21" t="s">
        <v>125</v>
      </c>
      <c r="Q21" s="80" t="s">
        <v>239</v>
      </c>
      <c r="R21" t="s">
        <v>129</v>
      </c>
    </row>
    <row r="22" spans="1:18" x14ac:dyDescent="0.25">
      <c r="A22" s="73" t="str">
        <f t="shared" si="0"/>
        <v>898</v>
      </c>
      <c r="B22" t="s">
        <v>461</v>
      </c>
      <c r="C22" s="106" t="s">
        <v>34</v>
      </c>
      <c r="D22" t="s">
        <v>462</v>
      </c>
      <c r="E22">
        <v>1</v>
      </c>
      <c r="F22" t="s">
        <v>92</v>
      </c>
      <c r="G22" s="73" t="str">
        <f t="shared" si="1"/>
        <v>U</v>
      </c>
      <c r="H22" s="105" t="s">
        <v>35</v>
      </c>
      <c r="I22" s="109" t="s">
        <v>35</v>
      </c>
      <c r="K22" s="71" t="s">
        <v>37</v>
      </c>
      <c r="L22" s="68">
        <v>58</v>
      </c>
      <c r="M22" s="68"/>
      <c r="N22" t="s">
        <v>2</v>
      </c>
      <c r="O22">
        <f>+GETPIVOTDATA("Story Points",$N$32,"Project","A","Added After",)</f>
        <v>43</v>
      </c>
      <c r="P22">
        <f>+GETPIVOTDATA("Story Points",$N$32,"Project","A","Added After","Y")</f>
        <v>9</v>
      </c>
      <c r="Q22">
        <f>+O10-IF(ISERR(Q10),0,Q10)-Table7222936[[#This Row],[Committed Done]]</f>
        <v>12</v>
      </c>
      <c r="R22">
        <f>+IF(ISERR(P22),0,P22)+IF(ISERR(O22),0,O22)</f>
        <v>52</v>
      </c>
    </row>
    <row r="23" spans="1:18" x14ac:dyDescent="0.25">
      <c r="A23" s="73" t="str">
        <f t="shared" si="0"/>
        <v>899</v>
      </c>
      <c r="B23" t="s">
        <v>459</v>
      </c>
      <c r="C23" s="106" t="s">
        <v>34</v>
      </c>
      <c r="D23" t="s">
        <v>460</v>
      </c>
      <c r="E23">
        <v>1</v>
      </c>
      <c r="F23" t="s">
        <v>92</v>
      </c>
      <c r="G23" s="73" t="str">
        <f t="shared" si="1"/>
        <v>U</v>
      </c>
      <c r="H23" s="105" t="s">
        <v>35</v>
      </c>
      <c r="I23" s="109" t="s">
        <v>35</v>
      </c>
      <c r="K23" s="70" t="s">
        <v>32</v>
      </c>
      <c r="L23" s="68">
        <v>6</v>
      </c>
      <c r="M23" s="68"/>
      <c r="N23" t="s">
        <v>3</v>
      </c>
      <c r="O23">
        <f>+GETPIVOTDATA("Story Points",$N$32,"Project","U","Added After",)</f>
        <v>45</v>
      </c>
      <c r="P23">
        <f>+GETPIVOTDATA("Story Points",$N$32,"Project","U","Added After","Y")</f>
        <v>15</v>
      </c>
      <c r="Q23">
        <f>+O11-IF(ISERR(Q11),0,Q11)-Table7222936[[#This Row],[Committed Done]]</f>
        <v>-1</v>
      </c>
      <c r="R23">
        <f>+IF(ISERR(P23),0,P23)+IF(ISERR(O23),0,O23)</f>
        <v>60</v>
      </c>
    </row>
    <row r="24" spans="1:18" x14ac:dyDescent="0.25">
      <c r="A24" s="73" t="str">
        <f t="shared" si="0"/>
        <v>900</v>
      </c>
      <c r="B24" t="s">
        <v>457</v>
      </c>
      <c r="C24" s="106" t="s">
        <v>34</v>
      </c>
      <c r="D24" t="s">
        <v>458</v>
      </c>
      <c r="E24">
        <v>2</v>
      </c>
      <c r="F24" t="s">
        <v>84</v>
      </c>
      <c r="G24" s="73" t="str">
        <f t="shared" si="1"/>
        <v>U</v>
      </c>
      <c r="H24" s="105" t="s">
        <v>35</v>
      </c>
      <c r="I24" s="109" t="s">
        <v>35</v>
      </c>
      <c r="K24" s="70" t="s">
        <v>33</v>
      </c>
      <c r="L24" s="68">
        <v>6</v>
      </c>
      <c r="M24" s="68"/>
    </row>
    <row r="25" spans="1:18" x14ac:dyDescent="0.25">
      <c r="A25" s="90" t="str">
        <f t="shared" si="0"/>
        <v>903</v>
      </c>
      <c r="B25" t="s">
        <v>455</v>
      </c>
      <c r="C25" s="106" t="s">
        <v>34</v>
      </c>
      <c r="D25" t="s">
        <v>456</v>
      </c>
      <c r="E25">
        <v>3</v>
      </c>
      <c r="F25" t="s">
        <v>84</v>
      </c>
      <c r="G25" s="90" t="str">
        <f t="shared" si="1"/>
        <v>U</v>
      </c>
      <c r="H25" s="105" t="s">
        <v>35</v>
      </c>
      <c r="I25" s="109" t="s">
        <v>35</v>
      </c>
      <c r="K25" s="70" t="s">
        <v>135</v>
      </c>
      <c r="L25" s="68">
        <v>3</v>
      </c>
      <c r="M25" s="68"/>
      <c r="N25" t="s">
        <v>49</v>
      </c>
      <c r="O25" t="s">
        <v>123</v>
      </c>
      <c r="P25" t="s">
        <v>124</v>
      </c>
      <c r="Q25" t="s">
        <v>126</v>
      </c>
      <c r="R25" t="s">
        <v>130</v>
      </c>
    </row>
    <row r="26" spans="1:18" x14ac:dyDescent="0.25">
      <c r="A26" s="90" t="str">
        <f t="shared" si="0"/>
        <v>909</v>
      </c>
      <c r="B26" s="114" t="s">
        <v>473</v>
      </c>
      <c r="C26" s="114" t="s">
        <v>34</v>
      </c>
      <c r="D26" s="114" t="s">
        <v>478</v>
      </c>
      <c r="E26" s="114">
        <v>3</v>
      </c>
      <c r="F26" s="105" t="s">
        <v>112</v>
      </c>
      <c r="G26" s="90" t="str">
        <f t="shared" si="1"/>
        <v>U</v>
      </c>
      <c r="H26" s="105" t="s">
        <v>35</v>
      </c>
      <c r="I26" s="109" t="s">
        <v>35</v>
      </c>
      <c r="K26" s="70" t="s">
        <v>34</v>
      </c>
      <c r="L26" s="68">
        <v>43</v>
      </c>
      <c r="N26" t="s">
        <v>2</v>
      </c>
      <c r="O26" s="64">
        <f t="shared" ref="O26:O27" si="6">IF(ISERR(R22),0,R22)/IF(ISERR(O10), 1,O10)</f>
        <v>0.89655172413793105</v>
      </c>
      <c r="P26" s="64">
        <f t="shared" ref="P26:P27" si="7">IF(ISERR(R22),0,R22)/IF(ISERR(R10),1,R10)</f>
        <v>0.77611940298507465</v>
      </c>
      <c r="Q26" s="64">
        <f t="shared" ref="Q26:R27" si="8">+IF(ISERR(O22),0,O22)/IF(ISERR(O10),1,O10)</f>
        <v>0.74137931034482762</v>
      </c>
      <c r="R26" s="64">
        <f t="shared" si="8"/>
        <v>1</v>
      </c>
    </row>
    <row r="27" spans="1:18" x14ac:dyDescent="0.25">
      <c r="A27" s="73" t="str">
        <f t="shared" si="0"/>
        <v>380</v>
      </c>
      <c r="B27" t="s">
        <v>453</v>
      </c>
      <c r="C27" s="106" t="s">
        <v>33</v>
      </c>
      <c r="D27" t="s">
        <v>454</v>
      </c>
      <c r="E27">
        <v>3</v>
      </c>
      <c r="F27" t="s">
        <v>112</v>
      </c>
      <c r="G27" t="str">
        <f t="shared" si="1"/>
        <v>A</v>
      </c>
      <c r="I27" s="109"/>
      <c r="K27" s="71" t="s">
        <v>36</v>
      </c>
      <c r="L27" s="68">
        <v>50</v>
      </c>
      <c r="M27" s="68"/>
      <c r="N27" t="s">
        <v>3</v>
      </c>
      <c r="O27" s="64">
        <f t="shared" si="6"/>
        <v>1.2</v>
      </c>
      <c r="P27" s="64">
        <f t="shared" si="7"/>
        <v>0.92307692307692313</v>
      </c>
      <c r="Q27" s="64">
        <f t="shared" si="8"/>
        <v>0.9</v>
      </c>
      <c r="R27" s="64">
        <f t="shared" si="8"/>
        <v>1</v>
      </c>
    </row>
    <row r="28" spans="1:18" x14ac:dyDescent="0.25">
      <c r="A28" s="73" t="str">
        <f t="shared" si="0"/>
        <v>397</v>
      </c>
      <c r="B28" t="s">
        <v>366</v>
      </c>
      <c r="C28" s="106" t="s">
        <v>34</v>
      </c>
      <c r="D28" t="s">
        <v>367</v>
      </c>
      <c r="E28">
        <v>3</v>
      </c>
      <c r="F28" t="s">
        <v>72</v>
      </c>
      <c r="G28" t="str">
        <f t="shared" si="1"/>
        <v>A</v>
      </c>
      <c r="I28" s="109" t="s">
        <v>35</v>
      </c>
      <c r="K28" s="70" t="s">
        <v>33</v>
      </c>
      <c r="L28" s="68">
        <v>2</v>
      </c>
      <c r="M28" s="68"/>
    </row>
    <row r="29" spans="1:18" x14ac:dyDescent="0.25">
      <c r="A29" s="90" t="str">
        <f t="shared" si="0"/>
        <v>398</v>
      </c>
      <c r="B29" t="s">
        <v>364</v>
      </c>
      <c r="C29" s="106" t="s">
        <v>34</v>
      </c>
      <c r="D29" t="s">
        <v>365</v>
      </c>
      <c r="E29">
        <v>3</v>
      </c>
      <c r="F29" t="s">
        <v>61</v>
      </c>
      <c r="G29" t="str">
        <f t="shared" si="1"/>
        <v>A</v>
      </c>
      <c r="I29" s="109" t="s">
        <v>35</v>
      </c>
      <c r="K29" s="70" t="s">
        <v>135</v>
      </c>
      <c r="L29" s="68">
        <v>6</v>
      </c>
      <c r="M29" s="68"/>
    </row>
    <row r="30" spans="1:18" x14ac:dyDescent="0.25">
      <c r="A30" s="73" t="str">
        <f t="shared" si="0"/>
        <v>508</v>
      </c>
      <c r="B30" t="s">
        <v>451</v>
      </c>
      <c r="C30" s="106" t="s">
        <v>32</v>
      </c>
      <c r="D30" t="s">
        <v>452</v>
      </c>
      <c r="E30">
        <v>3</v>
      </c>
      <c r="F30" t="s">
        <v>236</v>
      </c>
      <c r="G30" t="str">
        <f t="shared" si="1"/>
        <v>A</v>
      </c>
      <c r="I30" s="109"/>
      <c r="K30" s="70" t="s">
        <v>34</v>
      </c>
      <c r="L30" s="68">
        <v>42</v>
      </c>
      <c r="M30" s="68"/>
      <c r="N30" s="72" t="s">
        <v>144</v>
      </c>
      <c r="O30" t="s">
        <v>35</v>
      </c>
    </row>
    <row r="31" spans="1:18" x14ac:dyDescent="0.25">
      <c r="A31" s="73" t="str">
        <f t="shared" si="0"/>
        <v>509</v>
      </c>
      <c r="B31" t="s">
        <v>449</v>
      </c>
      <c r="C31" s="106" t="s">
        <v>34</v>
      </c>
      <c r="D31" t="s">
        <v>450</v>
      </c>
      <c r="E31">
        <v>3</v>
      </c>
      <c r="F31" t="s">
        <v>236</v>
      </c>
      <c r="G31" t="str">
        <f t="shared" si="1"/>
        <v>A</v>
      </c>
      <c r="I31" s="109" t="s">
        <v>35</v>
      </c>
      <c r="K31" s="69" t="s">
        <v>35</v>
      </c>
      <c r="L31" s="68">
        <v>24</v>
      </c>
      <c r="M31" s="68"/>
    </row>
    <row r="32" spans="1:18" x14ac:dyDescent="0.25">
      <c r="A32" t="str">
        <f t="shared" si="0"/>
        <v>519</v>
      </c>
      <c r="B32" t="s">
        <v>447</v>
      </c>
      <c r="C32" s="106" t="s">
        <v>33</v>
      </c>
      <c r="D32" t="s">
        <v>448</v>
      </c>
      <c r="E32">
        <v>3</v>
      </c>
      <c r="F32" t="s">
        <v>58</v>
      </c>
      <c r="G32" t="str">
        <f t="shared" si="1"/>
        <v>A</v>
      </c>
      <c r="I32" s="109"/>
      <c r="K32" s="71" t="s">
        <v>37</v>
      </c>
      <c r="L32" s="68">
        <v>9</v>
      </c>
      <c r="N32" s="72" t="s">
        <v>39</v>
      </c>
      <c r="O32" t="s">
        <v>50</v>
      </c>
    </row>
    <row r="33" spans="1:15" x14ac:dyDescent="0.25">
      <c r="A33" s="73" t="str">
        <f t="shared" si="0"/>
        <v>520</v>
      </c>
      <c r="B33" t="s">
        <v>445</v>
      </c>
      <c r="C33" s="106" t="s">
        <v>32</v>
      </c>
      <c r="D33" t="s">
        <v>446</v>
      </c>
      <c r="E33">
        <v>3</v>
      </c>
      <c r="F33" t="s">
        <v>58</v>
      </c>
      <c r="G33" t="str">
        <f t="shared" si="1"/>
        <v>A</v>
      </c>
      <c r="I33" s="109"/>
      <c r="K33" s="70" t="s">
        <v>34</v>
      </c>
      <c r="L33" s="68">
        <v>9</v>
      </c>
      <c r="N33" s="69" t="s">
        <v>37</v>
      </c>
      <c r="O33" s="68"/>
    </row>
    <row r="34" spans="1:15" x14ac:dyDescent="0.25">
      <c r="A34" s="90" t="str">
        <f t="shared" si="0"/>
        <v>526</v>
      </c>
      <c r="B34" t="s">
        <v>443</v>
      </c>
      <c r="C34" s="106" t="s">
        <v>34</v>
      </c>
      <c r="D34" t="s">
        <v>444</v>
      </c>
      <c r="E34">
        <v>5</v>
      </c>
      <c r="F34" t="s">
        <v>64</v>
      </c>
      <c r="G34" t="str">
        <f t="shared" si="1"/>
        <v>A</v>
      </c>
      <c r="I34" s="109" t="s">
        <v>35</v>
      </c>
      <c r="K34" s="71" t="s">
        <v>36</v>
      </c>
      <c r="L34" s="68">
        <v>15</v>
      </c>
      <c r="N34" s="71" t="s">
        <v>122</v>
      </c>
      <c r="O34" s="68">
        <v>43</v>
      </c>
    </row>
    <row r="35" spans="1:15" x14ac:dyDescent="0.25">
      <c r="A35" s="90" t="str">
        <f t="shared" si="0"/>
        <v>530</v>
      </c>
      <c r="B35" t="s">
        <v>441</v>
      </c>
      <c r="C35" s="106" t="s">
        <v>34</v>
      </c>
      <c r="D35" t="s">
        <v>442</v>
      </c>
      <c r="E35">
        <v>5</v>
      </c>
      <c r="F35" t="s">
        <v>64</v>
      </c>
      <c r="G35" t="str">
        <f t="shared" si="1"/>
        <v>A</v>
      </c>
      <c r="I35" s="109" t="s">
        <v>35</v>
      </c>
      <c r="K35" s="70" t="s">
        <v>34</v>
      </c>
      <c r="L35" s="68">
        <v>15</v>
      </c>
      <c r="N35" s="71" t="s">
        <v>35</v>
      </c>
      <c r="O35" s="68">
        <v>9</v>
      </c>
    </row>
    <row r="36" spans="1:15" x14ac:dyDescent="0.25">
      <c r="A36" s="90" t="str">
        <f t="shared" si="0"/>
        <v>536</v>
      </c>
      <c r="B36" t="s">
        <v>439</v>
      </c>
      <c r="C36" s="106" t="s">
        <v>34</v>
      </c>
      <c r="D36" t="s">
        <v>440</v>
      </c>
      <c r="E36">
        <v>5</v>
      </c>
      <c r="F36" t="s">
        <v>58</v>
      </c>
      <c r="G36" t="str">
        <f t="shared" si="1"/>
        <v>A</v>
      </c>
      <c r="I36" s="109" t="s">
        <v>35</v>
      </c>
      <c r="K36" s="69" t="s">
        <v>31</v>
      </c>
      <c r="L36" s="68">
        <v>132</v>
      </c>
      <c r="N36" s="69" t="s">
        <v>131</v>
      </c>
      <c r="O36" s="68">
        <v>52</v>
      </c>
    </row>
    <row r="37" spans="1:15" x14ac:dyDescent="0.25">
      <c r="A37" s="90" t="str">
        <f t="shared" si="0"/>
        <v>537</v>
      </c>
      <c r="B37" t="s">
        <v>437</v>
      </c>
      <c r="C37" s="106" t="s">
        <v>34</v>
      </c>
      <c r="D37" t="s">
        <v>438</v>
      </c>
      <c r="E37">
        <v>5</v>
      </c>
      <c r="F37" t="s">
        <v>58</v>
      </c>
      <c r="G37" t="str">
        <f t="shared" si="1"/>
        <v>A</v>
      </c>
      <c r="I37" s="109" t="s">
        <v>35</v>
      </c>
      <c r="N37" s="69" t="s">
        <v>36</v>
      </c>
      <c r="O37" s="68"/>
    </row>
    <row r="38" spans="1:15" x14ac:dyDescent="0.25">
      <c r="A38" s="90" t="str">
        <f t="shared" si="0"/>
        <v>538</v>
      </c>
      <c r="B38" s="105" t="s">
        <v>474</v>
      </c>
      <c r="C38" s="105" t="s">
        <v>34</v>
      </c>
      <c r="D38" s="105" t="s">
        <v>475</v>
      </c>
      <c r="E38" s="105">
        <v>3</v>
      </c>
      <c r="F38" s="105" t="s">
        <v>58</v>
      </c>
      <c r="G38" s="90" t="str">
        <f t="shared" si="1"/>
        <v>A</v>
      </c>
      <c r="H38" s="105" t="s">
        <v>35</v>
      </c>
      <c r="I38" s="109" t="s">
        <v>35</v>
      </c>
      <c r="N38" s="71" t="s">
        <v>122</v>
      </c>
      <c r="O38" s="68">
        <v>45</v>
      </c>
    </row>
    <row r="39" spans="1:15" x14ac:dyDescent="0.25">
      <c r="A39" s="90" t="str">
        <f t="shared" si="0"/>
        <v>548</v>
      </c>
      <c r="B39" t="s">
        <v>471</v>
      </c>
      <c r="C39" s="106" t="s">
        <v>34</v>
      </c>
      <c r="D39" t="s">
        <v>472</v>
      </c>
      <c r="E39">
        <v>3</v>
      </c>
      <c r="F39" t="s">
        <v>64</v>
      </c>
      <c r="G39" s="90" t="str">
        <f t="shared" si="1"/>
        <v>A</v>
      </c>
      <c r="H39" s="105" t="s">
        <v>35</v>
      </c>
      <c r="I39" s="109" t="s">
        <v>35</v>
      </c>
      <c r="M39" s="68"/>
      <c r="N39" s="71" t="s">
        <v>35</v>
      </c>
      <c r="O39" s="68">
        <v>15</v>
      </c>
    </row>
    <row r="40" spans="1:15" x14ac:dyDescent="0.25">
      <c r="A40" s="73" t="str">
        <f t="shared" si="0"/>
        <v>577</v>
      </c>
      <c r="B40" t="s">
        <v>435</v>
      </c>
      <c r="C40" s="106" t="s">
        <v>34</v>
      </c>
      <c r="D40" t="s">
        <v>436</v>
      </c>
      <c r="E40">
        <v>5</v>
      </c>
      <c r="F40" t="s">
        <v>72</v>
      </c>
      <c r="G40" t="str">
        <f t="shared" si="1"/>
        <v>A</v>
      </c>
      <c r="I40" s="109" t="s">
        <v>35</v>
      </c>
      <c r="M40" s="68"/>
      <c r="N40" s="69" t="s">
        <v>132</v>
      </c>
      <c r="O40" s="68">
        <v>60</v>
      </c>
    </row>
    <row r="41" spans="1:15" x14ac:dyDescent="0.25">
      <c r="A41" s="90" t="str">
        <f t="shared" si="0"/>
        <v>582</v>
      </c>
      <c r="B41" t="s">
        <v>433</v>
      </c>
      <c r="C41" s="106" t="s">
        <v>34</v>
      </c>
      <c r="D41" t="s">
        <v>434</v>
      </c>
      <c r="E41">
        <v>3</v>
      </c>
      <c r="F41" t="s">
        <v>61</v>
      </c>
      <c r="G41" t="str">
        <f t="shared" si="1"/>
        <v>A</v>
      </c>
      <c r="I41" s="109" t="s">
        <v>35</v>
      </c>
      <c r="M41" s="68"/>
      <c r="N41" s="69" t="s">
        <v>31</v>
      </c>
      <c r="O41" s="68">
        <v>112</v>
      </c>
    </row>
    <row r="42" spans="1:15" x14ac:dyDescent="0.25">
      <c r="A42" s="73" t="str">
        <f t="shared" si="0"/>
        <v>586</v>
      </c>
      <c r="B42" t="s">
        <v>431</v>
      </c>
      <c r="C42" s="106" t="s">
        <v>135</v>
      </c>
      <c r="D42" t="s">
        <v>432</v>
      </c>
      <c r="E42">
        <v>3</v>
      </c>
      <c r="F42" t="s">
        <v>61</v>
      </c>
      <c r="G42" t="str">
        <f t="shared" si="1"/>
        <v>A</v>
      </c>
      <c r="I42" s="109"/>
      <c r="M42" s="68"/>
    </row>
    <row r="43" spans="1:15" x14ac:dyDescent="0.25">
      <c r="A43" s="73" t="str">
        <f t="shared" si="0"/>
        <v>590</v>
      </c>
      <c r="B43" t="s">
        <v>429</v>
      </c>
      <c r="C43" s="106" t="s">
        <v>34</v>
      </c>
      <c r="D43" t="s">
        <v>430</v>
      </c>
      <c r="E43">
        <v>1</v>
      </c>
      <c r="F43" t="s">
        <v>236</v>
      </c>
      <c r="G43" t="str">
        <f t="shared" si="1"/>
        <v>A</v>
      </c>
      <c r="I43" s="109" t="s">
        <v>35</v>
      </c>
      <c r="M43" s="68"/>
    </row>
    <row r="44" spans="1:15" x14ac:dyDescent="0.25">
      <c r="A44" s="73" t="str">
        <f t="shared" si="0"/>
        <v>591</v>
      </c>
      <c r="B44" t="s">
        <v>427</v>
      </c>
      <c r="C44" s="106" t="s">
        <v>34</v>
      </c>
      <c r="D44" t="s">
        <v>428</v>
      </c>
      <c r="E44">
        <v>2</v>
      </c>
      <c r="F44" t="s">
        <v>236</v>
      </c>
      <c r="G44" t="str">
        <f t="shared" si="1"/>
        <v>A</v>
      </c>
      <c r="I44" s="109" t="s">
        <v>35</v>
      </c>
      <c r="M44" s="68"/>
    </row>
    <row r="45" spans="1:15" x14ac:dyDescent="0.25">
      <c r="A45" s="73" t="str">
        <f t="shared" si="0"/>
        <v>592</v>
      </c>
      <c r="B45" t="s">
        <v>425</v>
      </c>
      <c r="C45" s="106" t="s">
        <v>34</v>
      </c>
      <c r="D45" t="s">
        <v>426</v>
      </c>
      <c r="E45">
        <v>3</v>
      </c>
      <c r="G45" t="str">
        <f t="shared" si="1"/>
        <v>A</v>
      </c>
      <c r="I45" s="109" t="s">
        <v>35</v>
      </c>
      <c r="M45" s="68"/>
    </row>
    <row r="46" spans="1:15" x14ac:dyDescent="0.25">
      <c r="A46" s="90" t="str">
        <f t="shared" si="0"/>
        <v>594</v>
      </c>
      <c r="B46" s="114" t="s">
        <v>476</v>
      </c>
      <c r="C46" s="114" t="s">
        <v>34</v>
      </c>
      <c r="D46" s="114" t="s">
        <v>477</v>
      </c>
      <c r="E46" s="114">
        <v>3</v>
      </c>
      <c r="F46" s="105" t="s">
        <v>58</v>
      </c>
      <c r="G46" s="90" t="str">
        <f t="shared" si="1"/>
        <v>A</v>
      </c>
      <c r="H46" s="105" t="s">
        <v>35</v>
      </c>
      <c r="I46" s="109" t="s">
        <v>35</v>
      </c>
      <c r="M46" s="68"/>
    </row>
    <row r="47" spans="1:15" x14ac:dyDescent="0.25">
      <c r="M47" s="68"/>
    </row>
    <row r="54" spans="11:13" x14ac:dyDescent="0.25">
      <c r="M54" s="68"/>
    </row>
    <row r="55" spans="11:13" x14ac:dyDescent="0.25">
      <c r="M55" s="68"/>
    </row>
    <row r="56" spans="11:13" x14ac:dyDescent="0.25">
      <c r="K56" s="71"/>
      <c r="L56" s="68"/>
      <c r="M56" s="68"/>
    </row>
    <row r="57" spans="11:13" x14ac:dyDescent="0.25">
      <c r="K57" s="69"/>
      <c r="L57" s="68"/>
    </row>
    <row r="58" spans="11:13" x14ac:dyDescent="0.25">
      <c r="K58" s="69"/>
      <c r="L58" s="68"/>
    </row>
  </sheetData>
  <sheetProtection sheet="1" sort="0" autoFilter="0" pivotTables="0"/>
  <conditionalFormatting sqref="I2:I46">
    <cfRule type="expression" dxfId="230" priority="4">
      <formula>$C2="Done"</formula>
    </cfRule>
  </conditionalFormatting>
  <conditionalFormatting sqref="C2:C46">
    <cfRule type="expression" dxfId="229" priority="2">
      <formula>C2="Blocked"</formula>
    </cfRule>
    <cfRule type="expression" dxfId="228" priority="3">
      <formula>C2="Done"</formula>
    </cfRule>
  </conditionalFormatting>
  <conditionalFormatting sqref="I2:I46">
    <cfRule type="expression" dxfId="227" priority="1" stopIfTrue="1">
      <formula>IF(C2="Done", IF(I2&lt;&gt;"Y",TRUE,FALSE),FALSE)</formula>
    </cfRule>
  </conditionalFormatting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7" name="Button 1">
              <controlPr defaultSize="0" print="0" autoFill="0" autoPict="0" macro="[0]!ResetSprintData">
                <anchor moveWithCells="1" sizeWithCells="1">
                  <from>
                    <xdr:col>18</xdr:col>
                    <xdr:colOff>952500</xdr:colOff>
                    <xdr:row>8</xdr:row>
                    <xdr:rowOff>9525</xdr:rowOff>
                  </from>
                  <to>
                    <xdr:col>23</xdr:col>
                    <xdr:colOff>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7">
    <tablePart r:id="rId8"/>
    <tablePart r:id="rId9"/>
    <tablePart r:id="rId10"/>
    <tablePart r:id="rId11"/>
    <tablePart r:id="rId12"/>
    <tablePart r:id="rId13"/>
    <tablePart r:id="rId14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/>
  <dimension ref="A1:X58"/>
  <sheetViews>
    <sheetView topLeftCell="A2" workbookViewId="0">
      <selection activeCell="J30" sqref="J30"/>
    </sheetView>
  </sheetViews>
  <sheetFormatPr defaultRowHeight="15" x14ac:dyDescent="0.25"/>
  <cols>
    <col min="2" max="2" width="12.28515625" customWidth="1"/>
    <col min="3" max="3" width="11" customWidth="1"/>
    <col min="4" max="4" width="89.42578125" customWidth="1"/>
    <col min="5" max="5" width="8.85546875" customWidth="1"/>
    <col min="6" max="6" width="13.140625" customWidth="1"/>
    <col min="7" max="7" width="9.5703125" customWidth="1"/>
    <col min="8" max="8" width="11.5703125" customWidth="1"/>
    <col min="9" max="9" width="10.85546875" customWidth="1"/>
    <col min="10" max="10" width="12" customWidth="1"/>
    <col min="11" max="11" width="10.85546875" customWidth="1"/>
    <col min="12" max="12" width="11.7109375" bestFit="1" customWidth="1"/>
    <col min="13" max="13" width="6.42578125" bestFit="1" customWidth="1"/>
    <col min="14" max="14" width="6.42578125" customWidth="1"/>
    <col min="15" max="15" width="13.140625" bestFit="1" customWidth="1"/>
    <col min="16" max="16" width="18.42578125" bestFit="1" customWidth="1"/>
    <col min="17" max="17" width="19" customWidth="1"/>
    <col min="18" max="18" width="16.28515625" customWidth="1"/>
    <col min="19" max="19" width="16.5703125" customWidth="1"/>
    <col min="20" max="20" width="14.5703125" customWidth="1"/>
    <col min="21" max="21" width="13.42578125" customWidth="1"/>
    <col min="22" max="22" width="9.140625" customWidth="1"/>
    <col min="23" max="23" width="11" customWidth="1"/>
    <col min="24" max="24" width="10.85546875" bestFit="1" customWidth="1"/>
    <col min="26" max="26" width="11.5703125" customWidth="1"/>
  </cols>
  <sheetData>
    <row r="1" spans="1:24" ht="30.75" customHeight="1" x14ac:dyDescent="0.25">
      <c r="A1" t="s">
        <v>231</v>
      </c>
      <c r="B1" t="s">
        <v>48</v>
      </c>
      <c r="C1" t="s">
        <v>47</v>
      </c>
      <c r="D1" t="s">
        <v>46</v>
      </c>
      <c r="E1" t="s">
        <v>38</v>
      </c>
      <c r="F1" t="s">
        <v>45</v>
      </c>
      <c r="G1" t="s">
        <v>44</v>
      </c>
      <c r="H1" t="s">
        <v>43</v>
      </c>
      <c r="I1" t="s">
        <v>144</v>
      </c>
      <c r="J1" t="s">
        <v>40</v>
      </c>
      <c r="O1" t="s">
        <v>133</v>
      </c>
      <c r="P1" t="s">
        <v>134</v>
      </c>
      <c r="Q1" t="s">
        <v>41</v>
      </c>
      <c r="R1" t="s">
        <v>135</v>
      </c>
      <c r="S1" t="s">
        <v>136</v>
      </c>
      <c r="T1" s="86" t="s">
        <v>143</v>
      </c>
      <c r="U1" s="86" t="s">
        <v>141</v>
      </c>
      <c r="V1" s="80" t="s">
        <v>40</v>
      </c>
      <c r="W1" s="86" t="s">
        <v>142</v>
      </c>
      <c r="X1" s="86" t="s">
        <v>145</v>
      </c>
    </row>
    <row r="2" spans="1:24" x14ac:dyDescent="0.25">
      <c r="A2" s="73" t="str">
        <f t="shared" ref="A2:A41" si="0">MID(B2,8,3)</f>
        <v>254</v>
      </c>
      <c r="B2" s="106" t="s">
        <v>343</v>
      </c>
      <c r="C2" s="106" t="s">
        <v>32</v>
      </c>
      <c r="D2" s="106" t="s">
        <v>344</v>
      </c>
      <c r="E2" s="106">
        <v>5</v>
      </c>
      <c r="F2" s="106" t="s">
        <v>84</v>
      </c>
      <c r="G2" s="73" t="str">
        <f t="shared" ref="G2:G41" si="1">MID(B2,4,1)</f>
        <v>U</v>
      </c>
      <c r="H2" s="105"/>
      <c r="I2" s="111"/>
      <c r="J2" s="79" t="str">
        <f t="shared" ref="J2:J23" si="2">IF(C2="Done", IF(I2&lt;&gt;"Y", "ERR",""),"")</f>
        <v/>
      </c>
      <c r="O2" t="s">
        <v>2</v>
      </c>
      <c r="P2">
        <f>+P10-Table92431[[#This Row],[Blocked]]</f>
        <v>49</v>
      </c>
      <c r="Q2">
        <f>IF(ISERR(Q10),0,Q10)</f>
        <v>3</v>
      </c>
      <c r="R2">
        <f>IF(ISERR(R10),0,R10)</f>
        <v>0</v>
      </c>
      <c r="S2">
        <f>+IF(ISERR(S14),0,S14)</f>
        <v>43</v>
      </c>
      <c r="T2" s="88">
        <f>Table92431[[#This Row],[Completed]]/Table92431[[#This Row],[Committed]]</f>
        <v>0.87755102040816324</v>
      </c>
      <c r="U2" s="83">
        <f>Table92431[[#This Row],[Completed]]/(Table92431[[#This Row],[Added]]+Table92431[[#This Row],[Committed]])</f>
        <v>0.82692307692307687</v>
      </c>
      <c r="W2" s="84" t="str">
        <f>IF(ISERR(P14),0,P14) &amp; "  (" &amp;TEXT(IF(ISERR(P14),0,P14)/Table92431[[#This Row],[Committed]],"#%") &amp; ")"</f>
        <v>40  (82%)</v>
      </c>
      <c r="X2" s="85" t="str">
        <f>+IF(ISERR(Q14),0,Q14) &amp; " (" &amp; TEXT(S18, "#%") &amp; ")"</f>
        <v>3 (100%)</v>
      </c>
    </row>
    <row r="3" spans="1:24" x14ac:dyDescent="0.25">
      <c r="A3" s="73" t="str">
        <f t="shared" si="0"/>
        <v>694</v>
      </c>
      <c r="B3" s="106" t="s">
        <v>341</v>
      </c>
      <c r="C3" s="106" t="s">
        <v>34</v>
      </c>
      <c r="D3" s="106" t="s">
        <v>342</v>
      </c>
      <c r="E3" s="106">
        <v>1</v>
      </c>
      <c r="F3" s="106" t="s">
        <v>84</v>
      </c>
      <c r="G3" s="73" t="str">
        <f t="shared" si="1"/>
        <v>U</v>
      </c>
      <c r="H3" s="105"/>
      <c r="I3" s="106" t="s">
        <v>35</v>
      </c>
      <c r="J3" s="79" t="str">
        <f t="shared" si="2"/>
        <v/>
      </c>
      <c r="O3" t="s">
        <v>3</v>
      </c>
      <c r="P3">
        <f>+P11-Table92431[[#This Row],[Blocked]]</f>
        <v>54</v>
      </c>
      <c r="Q3">
        <f>IF(ISERR(Q11),0,Q11)</f>
        <v>5</v>
      </c>
      <c r="R3">
        <f>IF(ISERR(R11),0,R11)</f>
        <v>5</v>
      </c>
      <c r="S3">
        <f>+IF(ISERR(S15),0,S15)</f>
        <v>51</v>
      </c>
      <c r="T3" s="83">
        <f>Table92431[[#This Row],[Completed]]/Table92431[[#This Row],[Committed]]</f>
        <v>0.94444444444444442</v>
      </c>
      <c r="U3" s="83">
        <f>Table92431[[#This Row],[Completed]]/(Table92431[[#This Row],[Added]]+Table92431[[#This Row],[Committed]])</f>
        <v>0.86440677966101698</v>
      </c>
      <c r="W3" s="84" t="str">
        <f>IF(ISERR(P15),0,P15) &amp; "  (" &amp;TEXT(IF(ISERR(P15),0,P15)/Table92431[[#This Row],[Committed]],"#%") &amp; ")"</f>
        <v>49  (91%)</v>
      </c>
      <c r="X3" s="85" t="str">
        <f>+IF(ISERR(Q15),0,Q15) &amp; " (" &amp; TEXT(S19, "#%") &amp; ")"</f>
        <v>2 (40%)</v>
      </c>
    </row>
    <row r="4" spans="1:24" x14ac:dyDescent="0.25">
      <c r="A4" s="73" t="str">
        <f t="shared" si="0"/>
        <v>838</v>
      </c>
      <c r="B4" s="106" t="s">
        <v>339</v>
      </c>
      <c r="C4" s="106" t="s">
        <v>34</v>
      </c>
      <c r="D4" s="106" t="s">
        <v>340</v>
      </c>
      <c r="E4" s="106">
        <v>3</v>
      </c>
      <c r="F4" s="106" t="s">
        <v>112</v>
      </c>
      <c r="G4" s="73" t="str">
        <f t="shared" si="1"/>
        <v>U</v>
      </c>
      <c r="H4" s="105"/>
      <c r="I4" s="106" t="s">
        <v>35</v>
      </c>
      <c r="J4" s="79" t="str">
        <f t="shared" si="2"/>
        <v/>
      </c>
      <c r="O4" t="s">
        <v>303</v>
      </c>
      <c r="P4" s="68">
        <f>SUM(P2:P3)</f>
        <v>103</v>
      </c>
      <c r="Q4">
        <f>SUM(Q2:Q3)</f>
        <v>8</v>
      </c>
      <c r="R4" s="68">
        <f>SUM(R2:R3)</f>
        <v>5</v>
      </c>
      <c r="S4" s="68">
        <f>SUM(S2:S3)</f>
        <v>94</v>
      </c>
      <c r="T4" s="83">
        <f>Table92431[[#This Row],[Completed]]/Table92431[[#This Row],[Committed]]</f>
        <v>0.91262135922330101</v>
      </c>
      <c r="U4" s="83">
        <f>Table92431[[#This Row],[Completed]]/(Table92431[[#This Row],[Added]]+Table92431[[#This Row],[Committed]])</f>
        <v>0.84684684684684686</v>
      </c>
      <c r="W4" s="108" t="str">
        <f>IF(ISERR(SUM(P14:P15)),0,SUM(P14:P15)) &amp;"  ("&amp;TEXT(SUM(P14:P15)/P4,"#%") &amp;")"</f>
        <v>89  (86%)</v>
      </c>
      <c r="X4" s="85" t="str">
        <f>S4-SUM(P14:P15)&amp;" ("&amp;TEXT((S4-SUM(P14:P15))/IF(Q4=0,1,Q4),"#%")&amp;")"</f>
        <v>5 (63%)</v>
      </c>
    </row>
    <row r="5" spans="1:24" x14ac:dyDescent="0.25">
      <c r="A5" s="73" t="str">
        <f t="shared" si="0"/>
        <v>839</v>
      </c>
      <c r="B5" s="106" t="s">
        <v>337</v>
      </c>
      <c r="C5" s="106" t="s">
        <v>32</v>
      </c>
      <c r="D5" s="106" t="s">
        <v>338</v>
      </c>
      <c r="E5" s="106">
        <v>3</v>
      </c>
      <c r="F5" s="106" t="s">
        <v>112</v>
      </c>
      <c r="G5" s="73" t="str">
        <f t="shared" si="1"/>
        <v>U</v>
      </c>
      <c r="H5" s="105"/>
      <c r="I5" s="106"/>
      <c r="J5" s="79" t="str">
        <f t="shared" si="2"/>
        <v/>
      </c>
      <c r="P5" t="s">
        <v>140</v>
      </c>
      <c r="T5" t="s">
        <v>220</v>
      </c>
    </row>
    <row r="6" spans="1:24" x14ac:dyDescent="0.25">
      <c r="A6" s="73" t="str">
        <f t="shared" si="0"/>
        <v>841</v>
      </c>
      <c r="B6" s="106" t="s">
        <v>335</v>
      </c>
      <c r="C6" s="106" t="s">
        <v>34</v>
      </c>
      <c r="D6" s="106" t="s">
        <v>336</v>
      </c>
      <c r="E6" s="106">
        <v>3</v>
      </c>
      <c r="F6" s="106" t="s">
        <v>112</v>
      </c>
      <c r="G6" s="73" t="str">
        <f t="shared" si="1"/>
        <v>U</v>
      </c>
      <c r="H6" s="105"/>
      <c r="I6" s="106" t="s">
        <v>35</v>
      </c>
      <c r="J6" s="79" t="str">
        <f t="shared" si="2"/>
        <v/>
      </c>
    </row>
    <row r="7" spans="1:24" x14ac:dyDescent="0.25">
      <c r="A7" s="73" t="str">
        <f t="shared" si="0"/>
        <v>842</v>
      </c>
      <c r="B7" s="106" t="s">
        <v>333</v>
      </c>
      <c r="C7" s="106" t="s">
        <v>34</v>
      </c>
      <c r="D7" s="106" t="s">
        <v>334</v>
      </c>
      <c r="E7" s="106">
        <v>3</v>
      </c>
      <c r="F7" s="106" t="s">
        <v>112</v>
      </c>
      <c r="G7" s="73" t="str">
        <f t="shared" si="1"/>
        <v>U</v>
      </c>
      <c r="H7" s="105"/>
      <c r="I7" s="106" t="s">
        <v>35</v>
      </c>
      <c r="J7" s="79" t="str">
        <f t="shared" si="2"/>
        <v/>
      </c>
      <c r="L7" s="72" t="s">
        <v>119</v>
      </c>
      <c r="M7" t="s">
        <v>120</v>
      </c>
    </row>
    <row r="8" spans="1:24" x14ac:dyDescent="0.25">
      <c r="A8" s="73" t="str">
        <f t="shared" si="0"/>
        <v>843</v>
      </c>
      <c r="B8" t="s">
        <v>373</v>
      </c>
      <c r="C8" s="106" t="s">
        <v>34</v>
      </c>
      <c r="D8" s="106" t="s">
        <v>374</v>
      </c>
      <c r="E8" s="106">
        <v>2</v>
      </c>
      <c r="F8" s="106" t="s">
        <v>81</v>
      </c>
      <c r="G8" s="73" t="str">
        <f t="shared" si="1"/>
        <v>U</v>
      </c>
      <c r="H8" s="105"/>
      <c r="I8" s="106" t="s">
        <v>35</v>
      </c>
      <c r="J8" s="79" t="str">
        <f t="shared" si="2"/>
        <v/>
      </c>
      <c r="L8" s="69" t="s">
        <v>37</v>
      </c>
      <c r="M8" s="68">
        <v>52</v>
      </c>
      <c r="N8" s="68"/>
      <c r="O8" t="s">
        <v>139</v>
      </c>
      <c r="S8" t="s">
        <v>138</v>
      </c>
    </row>
    <row r="9" spans="1:24" x14ac:dyDescent="0.25">
      <c r="A9" s="73" t="str">
        <f t="shared" si="0"/>
        <v>844</v>
      </c>
      <c r="B9" s="95" t="s">
        <v>375</v>
      </c>
      <c r="C9" s="111" t="s">
        <v>135</v>
      </c>
      <c r="D9" s="111" t="s">
        <v>376</v>
      </c>
      <c r="E9" s="111">
        <v>2</v>
      </c>
      <c r="F9" s="111" t="s">
        <v>81</v>
      </c>
      <c r="G9" s="95" t="str">
        <f t="shared" si="1"/>
        <v>U</v>
      </c>
      <c r="H9" s="111"/>
      <c r="I9" s="111"/>
      <c r="J9" s="95" t="str">
        <f t="shared" si="2"/>
        <v/>
      </c>
      <c r="L9" s="71" t="s">
        <v>32</v>
      </c>
      <c r="M9" s="68">
        <v>9</v>
      </c>
      <c r="N9" s="68"/>
      <c r="O9" t="s">
        <v>133</v>
      </c>
      <c r="P9" t="s">
        <v>42</v>
      </c>
      <c r="Q9" t="s">
        <v>41</v>
      </c>
      <c r="R9" s="82" t="s">
        <v>135</v>
      </c>
      <c r="S9" t="s">
        <v>128</v>
      </c>
    </row>
    <row r="10" spans="1:24" x14ac:dyDescent="0.25">
      <c r="A10" s="73" t="str">
        <f t="shared" si="0"/>
        <v>846</v>
      </c>
      <c r="B10" s="106" t="s">
        <v>331</v>
      </c>
      <c r="C10" s="106" t="s">
        <v>34</v>
      </c>
      <c r="D10" s="106" t="s">
        <v>332</v>
      </c>
      <c r="E10" s="106">
        <v>3</v>
      </c>
      <c r="F10" s="106" t="s">
        <v>112</v>
      </c>
      <c r="G10" s="73" t="str">
        <f t="shared" si="1"/>
        <v>U</v>
      </c>
      <c r="H10" s="105"/>
      <c r="I10" s="106" t="s">
        <v>35</v>
      </c>
      <c r="J10" s="79" t="str">
        <f t="shared" si="2"/>
        <v/>
      </c>
      <c r="L10" s="71" t="s">
        <v>34</v>
      </c>
      <c r="M10" s="68">
        <v>43</v>
      </c>
      <c r="N10" s="68"/>
      <c r="O10" t="s">
        <v>2</v>
      </c>
      <c r="P10">
        <f>+GETPIVOTDATA("Story Points2",$L$20,"Project","A","Added After",)</f>
        <v>49</v>
      </c>
      <c r="Q10">
        <f>+GETPIVOTDATA("Story Points2",$L$20,"Project","A","Added After","Y")</f>
        <v>3</v>
      </c>
      <c r="R10" s="81" t="e">
        <f>GETPIVOTDATA("Story Points2",$L$7,"Status","Blocked","Project","A")</f>
        <v>#REF!</v>
      </c>
      <c r="S10">
        <f t="shared" ref="S10:S11" si="3">+IF(ISERR(Q10),0,Q10)+IF(ISERR(P10),0,P10)</f>
        <v>52</v>
      </c>
    </row>
    <row r="11" spans="1:24" x14ac:dyDescent="0.25">
      <c r="A11" s="73" t="str">
        <f t="shared" si="0"/>
        <v>847</v>
      </c>
      <c r="B11" s="106" t="s">
        <v>329</v>
      </c>
      <c r="C11" s="106" t="s">
        <v>34</v>
      </c>
      <c r="D11" s="106" t="s">
        <v>330</v>
      </c>
      <c r="E11" s="106">
        <v>3</v>
      </c>
      <c r="F11" s="106"/>
      <c r="G11" s="73" t="str">
        <f t="shared" si="1"/>
        <v>U</v>
      </c>
      <c r="H11" s="105"/>
      <c r="I11" s="106" t="s">
        <v>35</v>
      </c>
      <c r="J11" s="79" t="str">
        <f t="shared" si="2"/>
        <v/>
      </c>
      <c r="L11" s="69" t="s">
        <v>36</v>
      </c>
      <c r="M11" s="68">
        <v>64</v>
      </c>
      <c r="N11" s="68"/>
      <c r="O11" t="s">
        <v>3</v>
      </c>
      <c r="P11">
        <f>+GETPIVOTDATA("Story Points2",$L$20,"Project","U","Added After",)</f>
        <v>59</v>
      </c>
      <c r="Q11">
        <f>+GETPIVOTDATA("Story Points2",$L$20,"Project","U","Added After","Y")</f>
        <v>5</v>
      </c>
      <c r="R11" s="81">
        <f>GETPIVOTDATA("Story Points2",$L$7,"Status","Blocked","Project","U")</f>
        <v>5</v>
      </c>
      <c r="S11">
        <f t="shared" si="3"/>
        <v>64</v>
      </c>
    </row>
    <row r="12" spans="1:24" x14ac:dyDescent="0.25">
      <c r="A12" s="90" t="str">
        <f t="shared" si="0"/>
        <v>848</v>
      </c>
      <c r="B12" s="106" t="s">
        <v>327</v>
      </c>
      <c r="C12" s="106" t="s">
        <v>34</v>
      </c>
      <c r="D12" s="106" t="s">
        <v>328</v>
      </c>
      <c r="E12" s="106">
        <v>3</v>
      </c>
      <c r="F12" s="106" t="s">
        <v>89</v>
      </c>
      <c r="G12" s="90" t="str">
        <f t="shared" si="1"/>
        <v>U</v>
      </c>
      <c r="H12" s="105"/>
      <c r="I12" s="106" t="s">
        <v>35</v>
      </c>
      <c r="J12" s="91" t="str">
        <f t="shared" si="2"/>
        <v/>
      </c>
      <c r="L12" s="71" t="s">
        <v>32</v>
      </c>
      <c r="M12" s="68">
        <v>8</v>
      </c>
      <c r="N12" s="68"/>
    </row>
    <row r="13" spans="1:24" x14ac:dyDescent="0.25">
      <c r="A13" s="73" t="str">
        <f t="shared" si="0"/>
        <v>849</v>
      </c>
      <c r="B13" s="106" t="s">
        <v>325</v>
      </c>
      <c r="C13" s="106" t="s">
        <v>34</v>
      </c>
      <c r="D13" s="106" t="s">
        <v>326</v>
      </c>
      <c r="E13" s="106">
        <v>5</v>
      </c>
      <c r="F13" s="106" t="s">
        <v>92</v>
      </c>
      <c r="G13" s="73" t="str">
        <f t="shared" si="1"/>
        <v>U</v>
      </c>
      <c r="H13" s="105"/>
      <c r="I13" s="106" t="s">
        <v>35</v>
      </c>
      <c r="J13" s="79" t="str">
        <f t="shared" si="2"/>
        <v/>
      </c>
      <c r="L13" s="71" t="s">
        <v>34</v>
      </c>
      <c r="M13" s="68">
        <v>51</v>
      </c>
      <c r="N13" s="68"/>
      <c r="O13" t="s">
        <v>34</v>
      </c>
      <c r="P13" t="s">
        <v>126</v>
      </c>
      <c r="Q13" t="s">
        <v>125</v>
      </c>
      <c r="R13" s="80" t="s">
        <v>40</v>
      </c>
      <c r="S13" t="s">
        <v>127</v>
      </c>
    </row>
    <row r="14" spans="1:24" x14ac:dyDescent="0.25">
      <c r="A14" s="73" t="str">
        <f t="shared" si="0"/>
        <v>850</v>
      </c>
      <c r="B14" s="106" t="s">
        <v>323</v>
      </c>
      <c r="C14" s="106" t="s">
        <v>34</v>
      </c>
      <c r="D14" s="106" t="s">
        <v>324</v>
      </c>
      <c r="E14" s="106">
        <v>3</v>
      </c>
      <c r="F14" s="106" t="s">
        <v>92</v>
      </c>
      <c r="G14" s="73" t="str">
        <f t="shared" si="1"/>
        <v>U</v>
      </c>
      <c r="H14" s="105"/>
      <c r="I14" s="111" t="s">
        <v>35</v>
      </c>
      <c r="J14" s="79" t="str">
        <f t="shared" si="2"/>
        <v/>
      </c>
      <c r="L14" s="71" t="s">
        <v>135</v>
      </c>
      <c r="M14" s="68">
        <v>5</v>
      </c>
      <c r="N14" s="68"/>
      <c r="O14" t="s">
        <v>2</v>
      </c>
      <c r="P14">
        <f>+GETPIVOTDATA("Story Points2",$L$20,"Status","Done","Project","A","Added After",)</f>
        <v>40</v>
      </c>
      <c r="Q14">
        <f>+GETPIVOTDATA("Story Points2",$L$20,"Status","Done","Project","A","Added After","Y")</f>
        <v>3</v>
      </c>
      <c r="S14">
        <f t="shared" ref="S14:S15" si="4">+IF(ISERR(Q14),0,Q14)+IF(ISERR(P14),0,P14)</f>
        <v>43</v>
      </c>
    </row>
    <row r="15" spans="1:24" x14ac:dyDescent="0.25">
      <c r="A15" s="73" t="str">
        <f t="shared" si="0"/>
        <v>851</v>
      </c>
      <c r="B15" s="106" t="s">
        <v>321</v>
      </c>
      <c r="C15" s="106" t="s">
        <v>34</v>
      </c>
      <c r="D15" s="106" t="s">
        <v>322</v>
      </c>
      <c r="E15" s="106">
        <v>3</v>
      </c>
      <c r="F15" s="106" t="s">
        <v>89</v>
      </c>
      <c r="G15" s="73" t="str">
        <f t="shared" si="1"/>
        <v>U</v>
      </c>
      <c r="H15" s="105"/>
      <c r="I15" s="106" t="s">
        <v>35</v>
      </c>
      <c r="J15" s="79" t="str">
        <f t="shared" si="2"/>
        <v/>
      </c>
      <c r="L15" s="69" t="s">
        <v>31</v>
      </c>
      <c r="M15" s="68">
        <v>116</v>
      </c>
      <c r="O15" t="s">
        <v>3</v>
      </c>
      <c r="P15">
        <f>+GETPIVOTDATA("Story Points2",$L$20,"Status","Done","Project","U","Added After",)</f>
        <v>49</v>
      </c>
      <c r="Q15">
        <f>+GETPIVOTDATA("Story Points2",$L$20,"Status","Done","Project","U","Added After","Y")</f>
        <v>2</v>
      </c>
      <c r="S15">
        <f t="shared" si="4"/>
        <v>51</v>
      </c>
    </row>
    <row r="16" spans="1:24" x14ac:dyDescent="0.25">
      <c r="A16" s="73" t="str">
        <f t="shared" si="0"/>
        <v>852</v>
      </c>
      <c r="B16" t="s">
        <v>377</v>
      </c>
      <c r="C16" s="106" t="s">
        <v>34</v>
      </c>
      <c r="D16" s="106" t="s">
        <v>378</v>
      </c>
      <c r="E16" s="106">
        <v>3</v>
      </c>
      <c r="F16" s="106" t="s">
        <v>81</v>
      </c>
      <c r="G16" s="73" t="str">
        <f t="shared" si="1"/>
        <v>U</v>
      </c>
      <c r="H16" s="105"/>
      <c r="I16" s="106" t="s">
        <v>35</v>
      </c>
      <c r="J16" s="79" t="str">
        <f t="shared" si="2"/>
        <v/>
      </c>
    </row>
    <row r="17" spans="1:19" x14ac:dyDescent="0.25">
      <c r="A17" s="73" t="str">
        <f t="shared" si="0"/>
        <v>853</v>
      </c>
      <c r="B17" t="s">
        <v>379</v>
      </c>
      <c r="C17" s="106" t="s">
        <v>34</v>
      </c>
      <c r="D17" s="106" t="s">
        <v>380</v>
      </c>
      <c r="E17" s="106">
        <v>5</v>
      </c>
      <c r="F17" s="106" t="s">
        <v>235</v>
      </c>
      <c r="G17" s="73" t="str">
        <f t="shared" si="1"/>
        <v>U</v>
      </c>
      <c r="H17" s="105"/>
      <c r="I17" s="106" t="s">
        <v>35</v>
      </c>
      <c r="J17" s="79" t="str">
        <f t="shared" si="2"/>
        <v/>
      </c>
      <c r="O17" t="s">
        <v>34</v>
      </c>
      <c r="P17" t="s">
        <v>123</v>
      </c>
      <c r="Q17" t="s">
        <v>124</v>
      </c>
      <c r="R17" t="s">
        <v>126</v>
      </c>
      <c r="S17" t="s">
        <v>125</v>
      </c>
    </row>
    <row r="18" spans="1:19" x14ac:dyDescent="0.25">
      <c r="A18" s="73" t="str">
        <f t="shared" si="0"/>
        <v>854</v>
      </c>
      <c r="B18" t="s">
        <v>381</v>
      </c>
      <c r="C18" s="106" t="s">
        <v>34</v>
      </c>
      <c r="D18" s="106" t="s">
        <v>296</v>
      </c>
      <c r="E18" s="106">
        <v>3</v>
      </c>
      <c r="F18" s="106" t="s">
        <v>235</v>
      </c>
      <c r="G18" s="73" t="str">
        <f t="shared" si="1"/>
        <v>U</v>
      </c>
      <c r="H18" s="105"/>
      <c r="I18" s="106" t="s">
        <v>35</v>
      </c>
      <c r="J18" s="79" t="str">
        <f t="shared" si="2"/>
        <v/>
      </c>
      <c r="L18" s="69"/>
      <c r="M18" s="68"/>
      <c r="O18" t="s">
        <v>2</v>
      </c>
      <c r="P18" s="87">
        <f>+S14/P10</f>
        <v>0.87755102040816324</v>
      </c>
      <c r="Q18" s="64">
        <f t="shared" ref="Q18:Q19" si="5">+S14/S10</f>
        <v>0.82692307692307687</v>
      </c>
      <c r="R18" s="64">
        <f t="shared" ref="R18:S19" si="6">+IF(ISERR(P14),0,P14)/IF(ISERR(P10),1,P10)</f>
        <v>0.81632653061224492</v>
      </c>
      <c r="S18" s="64">
        <f t="shared" si="6"/>
        <v>1</v>
      </c>
    </row>
    <row r="19" spans="1:19" x14ac:dyDescent="0.25">
      <c r="A19" s="73" t="str">
        <f t="shared" si="0"/>
        <v>855</v>
      </c>
      <c r="B19" t="s">
        <v>382</v>
      </c>
      <c r="C19" s="106" t="s">
        <v>34</v>
      </c>
      <c r="D19" s="106" t="s">
        <v>383</v>
      </c>
      <c r="E19" s="106">
        <v>1</v>
      </c>
      <c r="F19" s="106" t="s">
        <v>81</v>
      </c>
      <c r="G19" s="73" t="str">
        <f t="shared" si="1"/>
        <v>U</v>
      </c>
      <c r="H19" s="105" t="s">
        <v>35</v>
      </c>
      <c r="I19" s="106" t="s">
        <v>35</v>
      </c>
      <c r="J19" s="79" t="str">
        <f t="shared" si="2"/>
        <v/>
      </c>
      <c r="N19" s="68"/>
      <c r="O19" t="s">
        <v>3</v>
      </c>
      <c r="P19" s="64">
        <f>+S15/P11</f>
        <v>0.86440677966101698</v>
      </c>
      <c r="Q19" s="64">
        <f t="shared" si="5"/>
        <v>0.796875</v>
      </c>
      <c r="R19" s="64">
        <f t="shared" si="6"/>
        <v>0.83050847457627119</v>
      </c>
      <c r="S19" s="64">
        <f t="shared" si="6"/>
        <v>0.4</v>
      </c>
    </row>
    <row r="20" spans="1:19" x14ac:dyDescent="0.25">
      <c r="A20" s="90" t="str">
        <f t="shared" si="0"/>
        <v>857</v>
      </c>
      <c r="B20" s="105" t="s">
        <v>400</v>
      </c>
      <c r="C20" s="105" t="s">
        <v>34</v>
      </c>
      <c r="D20" s="105" t="s">
        <v>401</v>
      </c>
      <c r="E20" s="105">
        <v>1</v>
      </c>
      <c r="F20" s="105" t="s">
        <v>152</v>
      </c>
      <c r="G20" s="90" t="str">
        <f t="shared" si="1"/>
        <v>U</v>
      </c>
      <c r="H20" s="105" t="s">
        <v>35</v>
      </c>
      <c r="I20" s="109" t="s">
        <v>35</v>
      </c>
      <c r="J20" s="91" t="str">
        <f t="shared" si="2"/>
        <v/>
      </c>
      <c r="L20" s="72" t="s">
        <v>396</v>
      </c>
      <c r="M20" t="s">
        <v>120</v>
      </c>
      <c r="N20" s="68"/>
    </row>
    <row r="21" spans="1:19" x14ac:dyDescent="0.25">
      <c r="A21" s="73" t="str">
        <f t="shared" si="0"/>
        <v>859</v>
      </c>
      <c r="B21" t="s">
        <v>384</v>
      </c>
      <c r="C21" s="106" t="s">
        <v>34</v>
      </c>
      <c r="D21" s="106" t="s">
        <v>385</v>
      </c>
      <c r="E21" s="106">
        <v>1</v>
      </c>
      <c r="F21" s="106" t="s">
        <v>72</v>
      </c>
      <c r="G21" s="73" t="str">
        <f t="shared" si="1"/>
        <v>U</v>
      </c>
      <c r="H21" s="105"/>
      <c r="I21" s="106" t="s">
        <v>35</v>
      </c>
      <c r="J21" s="79" t="str">
        <f t="shared" si="2"/>
        <v/>
      </c>
      <c r="L21" s="69" t="s">
        <v>122</v>
      </c>
      <c r="M21" s="68">
        <v>108</v>
      </c>
      <c r="N21" s="68"/>
      <c r="O21" t="s">
        <v>49</v>
      </c>
      <c r="P21" t="s">
        <v>126</v>
      </c>
      <c r="Q21" t="s">
        <v>125</v>
      </c>
      <c r="R21" s="80" t="s">
        <v>239</v>
      </c>
      <c r="S21" t="s">
        <v>129</v>
      </c>
    </row>
    <row r="22" spans="1:19" x14ac:dyDescent="0.25">
      <c r="A22" s="90" t="str">
        <f t="shared" si="0"/>
        <v>860</v>
      </c>
      <c r="B22" t="s">
        <v>386</v>
      </c>
      <c r="C22" s="106" t="s">
        <v>34</v>
      </c>
      <c r="D22" s="106" t="s">
        <v>387</v>
      </c>
      <c r="E22" s="106">
        <v>1</v>
      </c>
      <c r="F22" s="106" t="s">
        <v>72</v>
      </c>
      <c r="G22" s="90" t="str">
        <f t="shared" si="1"/>
        <v>U</v>
      </c>
      <c r="H22" s="105"/>
      <c r="I22" s="109" t="s">
        <v>35</v>
      </c>
      <c r="J22" s="91" t="str">
        <f t="shared" si="2"/>
        <v/>
      </c>
      <c r="L22" s="71" t="s">
        <v>37</v>
      </c>
      <c r="M22" s="68">
        <v>49</v>
      </c>
      <c r="N22" s="68"/>
      <c r="O22" t="s">
        <v>2</v>
      </c>
      <c r="P22">
        <f>+GETPIVOTDATA("Story Points",$O$32,"Project","A","Added After",)</f>
        <v>40</v>
      </c>
      <c r="Q22">
        <f>+GETPIVOTDATA("Story Points",$O$32,"Project","A","Added After","Y")</f>
        <v>3</v>
      </c>
      <c r="R22">
        <f>+P10-IF(ISERR(R10),0,R10)-Table72229[[#This Row],[Committed Done]]</f>
        <v>9</v>
      </c>
      <c r="S22">
        <f>+IF(ISERR(Q22),0,Q22)+IF(ISERR(P22),0,P22)</f>
        <v>43</v>
      </c>
    </row>
    <row r="23" spans="1:19" x14ac:dyDescent="0.25">
      <c r="A23" s="90" t="str">
        <f t="shared" si="0"/>
        <v>861</v>
      </c>
      <c r="B23" t="s">
        <v>388</v>
      </c>
      <c r="C23" s="106" t="s">
        <v>34</v>
      </c>
      <c r="D23" s="106" t="s">
        <v>389</v>
      </c>
      <c r="E23" s="106">
        <v>1</v>
      </c>
      <c r="F23" s="106" t="s">
        <v>72</v>
      </c>
      <c r="G23" s="90" t="str">
        <f t="shared" si="1"/>
        <v>U</v>
      </c>
      <c r="H23" s="105"/>
      <c r="I23" s="106" t="s">
        <v>35</v>
      </c>
      <c r="J23" s="91" t="str">
        <f t="shared" si="2"/>
        <v/>
      </c>
      <c r="L23" s="70" t="s">
        <v>32</v>
      </c>
      <c r="M23" s="68">
        <v>9</v>
      </c>
      <c r="N23" s="68"/>
      <c r="O23" t="s">
        <v>3</v>
      </c>
      <c r="P23">
        <f>+GETPIVOTDATA("Story Points",$O$32,"Project","U","Added After",)</f>
        <v>46</v>
      </c>
      <c r="Q23">
        <f>+GETPIVOTDATA("Story Points",$O$32,"Project","U","Added After","Y")</f>
        <v>2</v>
      </c>
      <c r="R23">
        <f>+P11-IF(ISERR(R11),0,R11)-Table72229[[#This Row],[Committed Done]]</f>
        <v>8</v>
      </c>
      <c r="S23">
        <f>+IF(ISERR(Q23),0,Q23)+IF(ISERR(P23),0,P23)</f>
        <v>48</v>
      </c>
    </row>
    <row r="24" spans="1:19" x14ac:dyDescent="0.25">
      <c r="A24" s="90" t="str">
        <f t="shared" si="0"/>
        <v>863</v>
      </c>
      <c r="B24" t="s">
        <v>390</v>
      </c>
      <c r="C24" s="106" t="s">
        <v>34</v>
      </c>
      <c r="D24" s="106" t="s">
        <v>391</v>
      </c>
      <c r="E24" s="106">
        <v>3</v>
      </c>
      <c r="F24" s="106" t="s">
        <v>84</v>
      </c>
      <c r="G24" s="90" t="str">
        <f t="shared" si="1"/>
        <v>U</v>
      </c>
      <c r="H24" s="105"/>
      <c r="I24" s="111"/>
      <c r="J24" s="91"/>
      <c r="L24" s="70" t="s">
        <v>34</v>
      </c>
      <c r="M24" s="68">
        <v>40</v>
      </c>
      <c r="N24" s="68"/>
    </row>
    <row r="25" spans="1:19" x14ac:dyDescent="0.25">
      <c r="A25" s="90" t="str">
        <f t="shared" si="0"/>
        <v>867</v>
      </c>
      <c r="B25" s="95" t="s">
        <v>392</v>
      </c>
      <c r="C25" s="111" t="s">
        <v>135</v>
      </c>
      <c r="D25" s="111" t="s">
        <v>393</v>
      </c>
      <c r="E25" s="111">
        <v>3</v>
      </c>
      <c r="F25" s="111" t="s">
        <v>89</v>
      </c>
      <c r="G25" s="112" t="str">
        <f t="shared" si="1"/>
        <v>U</v>
      </c>
      <c r="H25" s="111" t="s">
        <v>35</v>
      </c>
      <c r="I25" s="111"/>
      <c r="J25" s="91" t="str">
        <f t="shared" ref="J25:J41" si="7">IF(C25="Done", IF(I25&lt;&gt;"Y", "ERR",""),"")</f>
        <v/>
      </c>
      <c r="L25" s="71" t="s">
        <v>36</v>
      </c>
      <c r="M25" s="68">
        <v>59</v>
      </c>
      <c r="N25" s="68"/>
      <c r="O25" t="s">
        <v>49</v>
      </c>
      <c r="P25" t="s">
        <v>123</v>
      </c>
      <c r="Q25" t="s">
        <v>124</v>
      </c>
      <c r="R25" t="s">
        <v>126</v>
      </c>
      <c r="S25" t="s">
        <v>130</v>
      </c>
    </row>
    <row r="26" spans="1:19" x14ac:dyDescent="0.25">
      <c r="A26" s="73" t="str">
        <f t="shared" si="0"/>
        <v>2</v>
      </c>
      <c r="B26" s="106" t="s">
        <v>370</v>
      </c>
      <c r="C26" s="106" t="s">
        <v>34</v>
      </c>
      <c r="D26" s="106" t="s">
        <v>371</v>
      </c>
      <c r="E26" s="106">
        <v>5</v>
      </c>
      <c r="F26" s="106" t="s">
        <v>64</v>
      </c>
      <c r="G26" s="73" t="str">
        <f t="shared" si="1"/>
        <v>A</v>
      </c>
      <c r="H26" s="105"/>
      <c r="I26" s="106" t="s">
        <v>35</v>
      </c>
      <c r="J26" s="79" t="str">
        <f t="shared" si="7"/>
        <v/>
      </c>
      <c r="L26" s="70" t="s">
        <v>32</v>
      </c>
      <c r="M26" s="68">
        <v>8</v>
      </c>
      <c r="O26" t="s">
        <v>2</v>
      </c>
      <c r="P26" s="64">
        <f t="shared" ref="P26:P27" si="8">IF(ISERR(S22),0,S22)/IF(ISERR(P10), 1,P10)</f>
        <v>0.87755102040816324</v>
      </c>
      <c r="Q26" s="64">
        <f t="shared" ref="Q26:Q27" si="9">IF(ISERR(S22),0,S22)/IF(ISERR(S10),1,S10)</f>
        <v>0.82692307692307687</v>
      </c>
      <c r="R26" s="64">
        <f t="shared" ref="R26:S27" si="10">+IF(ISERR(P22),0,P22)/IF(ISERR(P10),1,P10)</f>
        <v>0.81632653061224492</v>
      </c>
      <c r="S26" s="64">
        <f t="shared" si="10"/>
        <v>1</v>
      </c>
    </row>
    <row r="27" spans="1:19" x14ac:dyDescent="0.25">
      <c r="A27" t="str">
        <f t="shared" si="0"/>
        <v>263</v>
      </c>
      <c r="B27" t="s">
        <v>368</v>
      </c>
      <c r="C27" s="106" t="s">
        <v>34</v>
      </c>
      <c r="D27" s="106" t="s">
        <v>369</v>
      </c>
      <c r="E27" s="106">
        <v>5</v>
      </c>
      <c r="F27" s="106" t="s">
        <v>61</v>
      </c>
      <c r="G27" t="str">
        <f t="shared" si="1"/>
        <v>A</v>
      </c>
      <c r="I27" s="106" t="s">
        <v>35</v>
      </c>
      <c r="J27" s="79" t="str">
        <f t="shared" si="7"/>
        <v/>
      </c>
      <c r="L27" s="70" t="s">
        <v>34</v>
      </c>
      <c r="M27" s="68">
        <v>49</v>
      </c>
      <c r="N27" s="68"/>
      <c r="O27" t="s">
        <v>3</v>
      </c>
      <c r="P27" s="64">
        <f t="shared" si="8"/>
        <v>0.81355932203389836</v>
      </c>
      <c r="Q27" s="64">
        <f t="shared" si="9"/>
        <v>0.75</v>
      </c>
      <c r="R27" s="64">
        <f t="shared" si="10"/>
        <v>0.77966101694915257</v>
      </c>
      <c r="S27" s="64">
        <f t="shared" si="10"/>
        <v>0.4</v>
      </c>
    </row>
    <row r="28" spans="1:19" x14ac:dyDescent="0.25">
      <c r="A28" s="73" t="str">
        <f t="shared" si="0"/>
        <v>397</v>
      </c>
      <c r="B28" s="106" t="s">
        <v>366</v>
      </c>
      <c r="C28" s="106" t="s">
        <v>32</v>
      </c>
      <c r="D28" s="106" t="s">
        <v>367</v>
      </c>
      <c r="E28" s="106">
        <v>3</v>
      </c>
      <c r="F28" s="106" t="s">
        <v>72</v>
      </c>
      <c r="G28" s="73" t="str">
        <f t="shared" si="1"/>
        <v>A</v>
      </c>
      <c r="H28" s="105"/>
      <c r="I28" s="106"/>
      <c r="J28" s="79" t="str">
        <f t="shared" si="7"/>
        <v/>
      </c>
      <c r="L28" s="70" t="s">
        <v>135</v>
      </c>
      <c r="M28" s="68">
        <v>2</v>
      </c>
      <c r="N28" s="68"/>
    </row>
    <row r="29" spans="1:19" x14ac:dyDescent="0.25">
      <c r="A29" s="73" t="str">
        <f t="shared" si="0"/>
        <v>398</v>
      </c>
      <c r="B29" s="106" t="s">
        <v>364</v>
      </c>
      <c r="C29" s="106" t="s">
        <v>32</v>
      </c>
      <c r="D29" s="106" t="s">
        <v>365</v>
      </c>
      <c r="E29" s="106">
        <v>3</v>
      </c>
      <c r="F29" s="106" t="s">
        <v>58</v>
      </c>
      <c r="G29" s="73" t="str">
        <f t="shared" si="1"/>
        <v>A</v>
      </c>
      <c r="H29" s="107"/>
      <c r="I29" s="106"/>
      <c r="J29" s="79" t="str">
        <f t="shared" si="7"/>
        <v/>
      </c>
      <c r="L29" s="69" t="s">
        <v>35</v>
      </c>
      <c r="M29" s="68">
        <v>8</v>
      </c>
      <c r="N29" s="68"/>
    </row>
    <row r="30" spans="1:19" x14ac:dyDescent="0.25">
      <c r="A30" s="90" t="str">
        <f t="shared" si="0"/>
        <v>452</v>
      </c>
      <c r="B30" t="s">
        <v>394</v>
      </c>
      <c r="C30" s="106" t="s">
        <v>32</v>
      </c>
      <c r="D30" s="106" t="s">
        <v>395</v>
      </c>
      <c r="E30" s="106">
        <v>3</v>
      </c>
      <c r="F30" s="106" t="s">
        <v>61</v>
      </c>
      <c r="G30" s="90" t="str">
        <f t="shared" si="1"/>
        <v>A</v>
      </c>
      <c r="H30" s="105"/>
      <c r="I30" s="109"/>
      <c r="J30" s="91" t="str">
        <f t="shared" si="7"/>
        <v/>
      </c>
      <c r="L30" s="71" t="s">
        <v>37</v>
      </c>
      <c r="M30" s="68">
        <v>3</v>
      </c>
      <c r="N30" s="68"/>
      <c r="O30" s="72" t="s">
        <v>144</v>
      </c>
      <c r="P30" t="s">
        <v>35</v>
      </c>
    </row>
    <row r="31" spans="1:19" x14ac:dyDescent="0.25">
      <c r="A31" s="73" t="str">
        <f t="shared" si="0"/>
        <v>501</v>
      </c>
      <c r="B31" s="106" t="s">
        <v>362</v>
      </c>
      <c r="C31" s="106" t="s">
        <v>34</v>
      </c>
      <c r="D31" s="106" t="s">
        <v>363</v>
      </c>
      <c r="E31" s="106">
        <v>3</v>
      </c>
      <c r="F31" s="106" t="s">
        <v>64</v>
      </c>
      <c r="G31" s="73" t="str">
        <f t="shared" si="1"/>
        <v>A</v>
      </c>
      <c r="H31" s="105"/>
      <c r="I31" s="106" t="s">
        <v>35</v>
      </c>
      <c r="J31" s="79" t="str">
        <f t="shared" si="7"/>
        <v/>
      </c>
      <c r="L31" s="70" t="s">
        <v>34</v>
      </c>
      <c r="M31" s="68">
        <v>3</v>
      </c>
      <c r="N31" s="68"/>
    </row>
    <row r="32" spans="1:19" x14ac:dyDescent="0.25">
      <c r="A32" s="73" t="str">
        <f t="shared" si="0"/>
        <v>503</v>
      </c>
      <c r="B32" s="106" t="s">
        <v>360</v>
      </c>
      <c r="C32" s="106" t="s">
        <v>34</v>
      </c>
      <c r="D32" s="106" t="s">
        <v>361</v>
      </c>
      <c r="E32" s="106">
        <v>3</v>
      </c>
      <c r="F32" s="106" t="s">
        <v>236</v>
      </c>
      <c r="G32" s="73" t="str">
        <f t="shared" si="1"/>
        <v>A</v>
      </c>
      <c r="H32" s="105"/>
      <c r="I32" s="106" t="s">
        <v>35</v>
      </c>
      <c r="J32" s="79" t="str">
        <f t="shared" si="7"/>
        <v/>
      </c>
      <c r="L32" s="71" t="s">
        <v>36</v>
      </c>
      <c r="M32" s="68">
        <v>5</v>
      </c>
      <c r="O32" s="72" t="s">
        <v>39</v>
      </c>
      <c r="P32" t="s">
        <v>50</v>
      </c>
    </row>
    <row r="33" spans="1:16" x14ac:dyDescent="0.25">
      <c r="A33" s="90" t="str">
        <f t="shared" si="0"/>
        <v>504</v>
      </c>
      <c r="B33" s="106" t="s">
        <v>358</v>
      </c>
      <c r="C33" s="106" t="s">
        <v>34</v>
      </c>
      <c r="D33" s="106" t="s">
        <v>359</v>
      </c>
      <c r="E33" s="106">
        <v>1</v>
      </c>
      <c r="F33" s="106" t="s">
        <v>236</v>
      </c>
      <c r="G33" s="90" t="str">
        <f t="shared" si="1"/>
        <v>A</v>
      </c>
      <c r="H33" s="105"/>
      <c r="I33" s="106" t="s">
        <v>35</v>
      </c>
      <c r="J33" s="91" t="str">
        <f t="shared" si="7"/>
        <v/>
      </c>
      <c r="L33" s="70" t="s">
        <v>34</v>
      </c>
      <c r="M33" s="68">
        <v>2</v>
      </c>
      <c r="O33" s="69" t="s">
        <v>37</v>
      </c>
      <c r="P33" s="68"/>
    </row>
    <row r="34" spans="1:16" x14ac:dyDescent="0.25">
      <c r="A34" s="73" t="str">
        <f t="shared" si="0"/>
        <v>510</v>
      </c>
      <c r="B34" s="106" t="s">
        <v>356</v>
      </c>
      <c r="C34" s="106" t="s">
        <v>34</v>
      </c>
      <c r="D34" s="106" t="s">
        <v>357</v>
      </c>
      <c r="E34" s="106">
        <v>3</v>
      </c>
      <c r="F34" s="106" t="s">
        <v>236</v>
      </c>
      <c r="G34" s="73" t="str">
        <f t="shared" si="1"/>
        <v>A</v>
      </c>
      <c r="H34" s="105"/>
      <c r="I34" s="106" t="s">
        <v>35</v>
      </c>
      <c r="J34" s="79" t="str">
        <f t="shared" si="7"/>
        <v/>
      </c>
      <c r="L34" s="70" t="s">
        <v>135</v>
      </c>
      <c r="M34" s="68">
        <v>3</v>
      </c>
      <c r="O34" s="71" t="s">
        <v>122</v>
      </c>
      <c r="P34" s="68">
        <v>40</v>
      </c>
    </row>
    <row r="35" spans="1:16" x14ac:dyDescent="0.25">
      <c r="A35" s="73" t="str">
        <f t="shared" si="0"/>
        <v>511</v>
      </c>
      <c r="B35" s="106" t="s">
        <v>354</v>
      </c>
      <c r="C35" s="106" t="s">
        <v>34</v>
      </c>
      <c r="D35" s="106" t="s">
        <v>355</v>
      </c>
      <c r="E35" s="106">
        <v>3</v>
      </c>
      <c r="F35" s="106" t="s">
        <v>236</v>
      </c>
      <c r="G35" s="73" t="str">
        <f t="shared" si="1"/>
        <v>A</v>
      </c>
      <c r="H35" s="105"/>
      <c r="I35" s="106" t="s">
        <v>35</v>
      </c>
      <c r="J35" s="79" t="str">
        <f t="shared" si="7"/>
        <v/>
      </c>
      <c r="L35" s="69" t="s">
        <v>31</v>
      </c>
      <c r="M35" s="68">
        <v>116</v>
      </c>
      <c r="O35" s="71" t="s">
        <v>35</v>
      </c>
      <c r="P35" s="68">
        <v>3</v>
      </c>
    </row>
    <row r="36" spans="1:16" x14ac:dyDescent="0.25">
      <c r="A36" s="73" t="str">
        <f t="shared" si="0"/>
        <v>514</v>
      </c>
      <c r="B36" s="106" t="s">
        <v>352</v>
      </c>
      <c r="C36" s="106" t="s">
        <v>34</v>
      </c>
      <c r="D36" s="106" t="s">
        <v>353</v>
      </c>
      <c r="E36" s="106">
        <v>3</v>
      </c>
      <c r="F36" s="106" t="s">
        <v>112</v>
      </c>
      <c r="G36" s="73" t="str">
        <f t="shared" si="1"/>
        <v>A</v>
      </c>
      <c r="H36" s="105"/>
      <c r="I36" s="106" t="s">
        <v>35</v>
      </c>
      <c r="J36" s="79" t="str">
        <f t="shared" si="7"/>
        <v/>
      </c>
      <c r="O36" s="69" t="s">
        <v>131</v>
      </c>
      <c r="P36" s="68">
        <v>43</v>
      </c>
    </row>
    <row r="37" spans="1:16" x14ac:dyDescent="0.25">
      <c r="A37" s="90" t="str">
        <f t="shared" si="0"/>
        <v>515</v>
      </c>
      <c r="B37" s="106" t="s">
        <v>351</v>
      </c>
      <c r="C37" s="106" t="s">
        <v>34</v>
      </c>
      <c r="D37" s="106" t="s">
        <v>397</v>
      </c>
      <c r="E37" s="106">
        <v>3</v>
      </c>
      <c r="F37" s="106" t="s">
        <v>72</v>
      </c>
      <c r="G37" s="90" t="str">
        <f t="shared" si="1"/>
        <v>A</v>
      </c>
      <c r="H37" s="105"/>
      <c r="I37" s="106" t="s">
        <v>35</v>
      </c>
      <c r="J37" s="91" t="str">
        <f t="shared" si="7"/>
        <v/>
      </c>
      <c r="O37" s="69" t="s">
        <v>36</v>
      </c>
      <c r="P37" s="68"/>
    </row>
    <row r="38" spans="1:16" x14ac:dyDescent="0.25">
      <c r="A38" s="73" t="str">
        <f t="shared" si="0"/>
        <v>517</v>
      </c>
      <c r="B38" s="106" t="s">
        <v>349</v>
      </c>
      <c r="C38" s="106" t="s">
        <v>34</v>
      </c>
      <c r="D38" s="106" t="s">
        <v>350</v>
      </c>
      <c r="E38" s="106">
        <v>3</v>
      </c>
      <c r="F38" s="106"/>
      <c r="G38" s="73" t="str">
        <f t="shared" si="1"/>
        <v>A</v>
      </c>
      <c r="H38" s="105"/>
      <c r="I38" s="106" t="s">
        <v>35</v>
      </c>
      <c r="J38" s="79" t="str">
        <f t="shared" si="7"/>
        <v/>
      </c>
      <c r="O38" s="71" t="s">
        <v>122</v>
      </c>
      <c r="P38" s="68">
        <v>46</v>
      </c>
    </row>
    <row r="39" spans="1:16" x14ac:dyDescent="0.25">
      <c r="A39" s="90" t="str">
        <f t="shared" si="0"/>
        <v>518</v>
      </c>
      <c r="B39" s="106" t="s">
        <v>347</v>
      </c>
      <c r="C39" s="106" t="s">
        <v>34</v>
      </c>
      <c r="D39" s="106" t="s">
        <v>348</v>
      </c>
      <c r="E39" s="106">
        <v>5</v>
      </c>
      <c r="F39" s="106" t="s">
        <v>58</v>
      </c>
      <c r="G39" s="90" t="str">
        <f t="shared" si="1"/>
        <v>A</v>
      </c>
      <c r="H39" s="105"/>
      <c r="I39" s="109" t="s">
        <v>35</v>
      </c>
      <c r="J39" s="91" t="str">
        <f t="shared" si="7"/>
        <v/>
      </c>
      <c r="N39" s="68"/>
      <c r="O39" s="71" t="s">
        <v>35</v>
      </c>
      <c r="P39" s="68">
        <v>2</v>
      </c>
    </row>
    <row r="40" spans="1:16" x14ac:dyDescent="0.25">
      <c r="A40" s="90" t="str">
        <f t="shared" si="0"/>
        <v>521</v>
      </c>
      <c r="B40" s="106" t="s">
        <v>345</v>
      </c>
      <c r="C40" s="106" t="s">
        <v>34</v>
      </c>
      <c r="D40" s="106" t="s">
        <v>346</v>
      </c>
      <c r="E40" s="106">
        <v>3</v>
      </c>
      <c r="F40" s="106" t="s">
        <v>61</v>
      </c>
      <c r="G40" s="90" t="str">
        <f t="shared" si="1"/>
        <v>A</v>
      </c>
      <c r="H40" s="105"/>
      <c r="I40" s="106" t="s">
        <v>35</v>
      </c>
      <c r="J40" s="91" t="str">
        <f t="shared" si="7"/>
        <v/>
      </c>
      <c r="N40" s="68"/>
      <c r="O40" s="69" t="s">
        <v>132</v>
      </c>
      <c r="P40" s="68">
        <v>48</v>
      </c>
    </row>
    <row r="41" spans="1:16" x14ac:dyDescent="0.25">
      <c r="A41" s="90" t="str">
        <f t="shared" si="0"/>
        <v>576</v>
      </c>
      <c r="B41" t="s">
        <v>398</v>
      </c>
      <c r="C41" s="106" t="s">
        <v>34</v>
      </c>
      <c r="D41" s="106" t="s">
        <v>399</v>
      </c>
      <c r="E41" s="106">
        <v>3</v>
      </c>
      <c r="F41" s="105" t="s">
        <v>64</v>
      </c>
      <c r="G41" s="90" t="str">
        <f t="shared" si="1"/>
        <v>A</v>
      </c>
      <c r="H41" s="105" t="s">
        <v>35</v>
      </c>
      <c r="I41" s="109" t="s">
        <v>35</v>
      </c>
      <c r="J41" s="91" t="str">
        <f t="shared" si="7"/>
        <v/>
      </c>
      <c r="N41" s="68"/>
      <c r="O41" s="69" t="s">
        <v>31</v>
      </c>
      <c r="P41" s="68">
        <v>91</v>
      </c>
    </row>
    <row r="42" spans="1:16" x14ac:dyDescent="0.25">
      <c r="N42" s="68"/>
    </row>
    <row r="43" spans="1:16" x14ac:dyDescent="0.25">
      <c r="N43" s="68"/>
    </row>
    <row r="44" spans="1:16" x14ac:dyDescent="0.25">
      <c r="N44" s="68"/>
    </row>
    <row r="45" spans="1:16" x14ac:dyDescent="0.25">
      <c r="N45" s="68"/>
    </row>
    <row r="46" spans="1:16" x14ac:dyDescent="0.25">
      <c r="N46" s="68"/>
    </row>
    <row r="47" spans="1:16" x14ac:dyDescent="0.25">
      <c r="N47" s="68"/>
    </row>
    <row r="54" spans="12:14" x14ac:dyDescent="0.25">
      <c r="N54" s="68"/>
    </row>
    <row r="55" spans="12:14" x14ac:dyDescent="0.25">
      <c r="N55" s="68"/>
    </row>
    <row r="56" spans="12:14" x14ac:dyDescent="0.25">
      <c r="L56" s="71"/>
      <c r="M56" s="68"/>
      <c r="N56" s="68"/>
    </row>
    <row r="57" spans="12:14" x14ac:dyDescent="0.25">
      <c r="L57" s="69"/>
      <c r="M57" s="68"/>
    </row>
    <row r="58" spans="12:14" x14ac:dyDescent="0.25">
      <c r="L58" s="69"/>
      <c r="M58" s="68"/>
    </row>
  </sheetData>
  <sheetProtection sheet="1" sort="0" autoFilter="0" pivotTables="0"/>
  <conditionalFormatting sqref="I2:I41">
    <cfRule type="expression" dxfId="194" priority="2">
      <formula>$C2="Done"</formula>
    </cfRule>
  </conditionalFormatting>
  <conditionalFormatting sqref="C2:C41">
    <cfRule type="expression" dxfId="193" priority="1">
      <formula>C2="Done"</formula>
    </cfRule>
  </conditionalFormatting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7" name="Button 1">
              <controlPr defaultSize="0" print="0" autoFill="0" autoPict="0" macro="[0]!ResetSprintData">
                <anchor moveWithCells="1" sizeWithCells="1">
                  <from>
                    <xdr:col>19</xdr:col>
                    <xdr:colOff>952500</xdr:colOff>
                    <xdr:row>8</xdr:row>
                    <xdr:rowOff>9525</xdr:rowOff>
                  </from>
                  <to>
                    <xdr:col>24</xdr:col>
                    <xdr:colOff>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7">
    <tablePart r:id="rId8"/>
    <tablePart r:id="rId9"/>
    <tablePart r:id="rId10"/>
    <tablePart r:id="rId11"/>
    <tablePart r:id="rId12"/>
    <tablePart r:id="rId13"/>
    <tablePart r:id="rId14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6"/>
  <dimension ref="A1:X56"/>
  <sheetViews>
    <sheetView topLeftCell="G1" workbookViewId="0">
      <selection activeCell="P2" sqref="P2:X3"/>
    </sheetView>
  </sheetViews>
  <sheetFormatPr defaultRowHeight="15" x14ac:dyDescent="0.25"/>
  <cols>
    <col min="2" max="2" width="12.28515625" customWidth="1"/>
    <col min="3" max="3" width="11" customWidth="1"/>
    <col min="4" max="4" width="89.42578125" customWidth="1"/>
    <col min="5" max="5" width="8.85546875" customWidth="1"/>
    <col min="6" max="6" width="13.140625" customWidth="1"/>
    <col min="7" max="7" width="9.5703125" bestFit="1" customWidth="1"/>
    <col min="8" max="8" width="11.5703125" customWidth="1"/>
    <col min="9" max="9" width="10.85546875" bestFit="1" customWidth="1"/>
    <col min="10" max="10" width="12" customWidth="1"/>
    <col min="11" max="11" width="10.85546875" customWidth="1"/>
    <col min="12" max="12" width="13.140625" bestFit="1" customWidth="1"/>
    <col min="13" max="13" width="18.42578125" bestFit="1" customWidth="1"/>
    <col min="14" max="14" width="6.42578125" customWidth="1"/>
    <col min="15" max="15" width="16.5703125" customWidth="1"/>
    <col min="16" max="16" width="22.7109375" customWidth="1"/>
    <col min="17" max="17" width="19" customWidth="1"/>
    <col min="18" max="18" width="16.28515625" customWidth="1"/>
    <col min="19" max="19" width="16.5703125" customWidth="1"/>
    <col min="20" max="20" width="14.5703125" customWidth="1"/>
    <col min="21" max="21" width="13.42578125" customWidth="1"/>
    <col min="22" max="22" width="9.140625" customWidth="1"/>
    <col min="23" max="23" width="11" customWidth="1"/>
    <col min="24" max="24" width="9.140625" customWidth="1"/>
    <col min="26" max="26" width="11.5703125" customWidth="1"/>
  </cols>
  <sheetData>
    <row r="1" spans="1:24" ht="30.75" customHeight="1" x14ac:dyDescent="0.25">
      <c r="A1" t="s">
        <v>231</v>
      </c>
      <c r="B1" t="s">
        <v>48</v>
      </c>
      <c r="C1" t="s">
        <v>47</v>
      </c>
      <c r="D1" t="s">
        <v>46</v>
      </c>
      <c r="E1" t="s">
        <v>38</v>
      </c>
      <c r="F1" t="s">
        <v>45</v>
      </c>
      <c r="G1" t="s">
        <v>44</v>
      </c>
      <c r="H1" t="s">
        <v>43</v>
      </c>
      <c r="I1" t="s">
        <v>144</v>
      </c>
      <c r="J1" t="s">
        <v>40</v>
      </c>
      <c r="O1" t="s">
        <v>133</v>
      </c>
      <c r="P1" t="s">
        <v>134</v>
      </c>
      <c r="Q1" t="s">
        <v>41</v>
      </c>
      <c r="R1" t="s">
        <v>135</v>
      </c>
      <c r="S1" t="s">
        <v>136</v>
      </c>
      <c r="T1" s="86" t="s">
        <v>143</v>
      </c>
      <c r="U1" s="86" t="s">
        <v>141</v>
      </c>
      <c r="V1" s="80" t="s">
        <v>40</v>
      </c>
      <c r="W1" s="86" t="s">
        <v>142</v>
      </c>
      <c r="X1" s="86" t="s">
        <v>145</v>
      </c>
    </row>
    <row r="2" spans="1:24" x14ac:dyDescent="0.25">
      <c r="A2" s="73" t="str">
        <f t="shared" ref="A2:A37" si="0">MID(B2,8,3)</f>
        <v>9</v>
      </c>
      <c r="B2" t="s">
        <v>56</v>
      </c>
      <c r="C2" t="s">
        <v>34</v>
      </c>
      <c r="D2" t="s">
        <v>245</v>
      </c>
      <c r="E2">
        <v>8</v>
      </c>
      <c r="F2" t="s">
        <v>58</v>
      </c>
      <c r="G2" s="73" t="str">
        <f t="shared" ref="G2:G37" si="1">MID(B2,4,1)</f>
        <v>A</v>
      </c>
      <c r="H2" s="105"/>
      <c r="I2" s="106" t="s">
        <v>35</v>
      </c>
      <c r="J2" s="79" t="str">
        <f t="shared" ref="J2:J37" si="2">IF(C2="Done", IF(I2&lt;&gt;"Y", "ERR",""),"")</f>
        <v/>
      </c>
      <c r="O2" t="s">
        <v>2</v>
      </c>
      <c r="P2">
        <f>+P10-Table924[[#This Row],[Blocked]]</f>
        <v>41</v>
      </c>
      <c r="Q2">
        <f>IF(ISERR(Q10),0,Q10)</f>
        <v>13</v>
      </c>
      <c r="R2">
        <f>IF(ISERR(R10),0,R10)</f>
        <v>0</v>
      </c>
      <c r="S2">
        <f>+IF(ISERR(S14),0,S14)</f>
        <v>51</v>
      </c>
      <c r="T2" s="88">
        <f>Table924[[#This Row],[Completed]]/Table924[[#This Row],[Committed]]</f>
        <v>1.2439024390243902</v>
      </c>
      <c r="U2" s="83">
        <f>Table924[[#This Row],[Completed]]/(Table924[[#This Row],[Added]]+Table924[[#This Row],[Committed]])</f>
        <v>0.94444444444444442</v>
      </c>
      <c r="W2" s="84" t="str">
        <f>IF(ISERR(P14),0,P14) &amp; "  (" &amp;TEXT(IF(ISERR(P14),0,P14)/Table924[[#This Row],[Committed]],"#%") &amp; ")"</f>
        <v>38  (93%)</v>
      </c>
      <c r="X2" s="85" t="str">
        <f>+IF(ISERR(Q14),0,Q14) &amp; " (" &amp; TEXT(S18, "#%") &amp; ")"</f>
        <v>13 (100%)</v>
      </c>
    </row>
    <row r="3" spans="1:24" x14ac:dyDescent="0.25">
      <c r="A3" s="73" t="str">
        <f t="shared" si="0"/>
        <v>262</v>
      </c>
      <c r="B3" t="s">
        <v>59</v>
      </c>
      <c r="C3" t="s">
        <v>34</v>
      </c>
      <c r="D3" t="s">
        <v>60</v>
      </c>
      <c r="E3">
        <v>8</v>
      </c>
      <c r="F3" t="s">
        <v>61</v>
      </c>
      <c r="G3" s="73" t="str">
        <f t="shared" si="1"/>
        <v>A</v>
      </c>
      <c r="H3" s="105"/>
      <c r="I3" s="106" t="s">
        <v>35</v>
      </c>
      <c r="J3" s="79" t="str">
        <f t="shared" si="2"/>
        <v/>
      </c>
      <c r="O3" t="s">
        <v>3</v>
      </c>
      <c r="P3">
        <f>+P11-Table924[[#This Row],[Blocked]]</f>
        <v>53</v>
      </c>
      <c r="Q3">
        <f>IF(ISERR(Q11),0,Q11)</f>
        <v>12</v>
      </c>
      <c r="R3">
        <f>IF(ISERR(R11),0,R11)</f>
        <v>0</v>
      </c>
      <c r="S3">
        <f>+IF(ISERR(S15),0,S15)</f>
        <v>59</v>
      </c>
      <c r="T3" s="83">
        <f>Table924[[#This Row],[Completed]]/Table924[[#This Row],[Committed]]</f>
        <v>1.1132075471698113</v>
      </c>
      <c r="U3" s="83">
        <f>Table924[[#This Row],[Completed]]/(Table924[[#This Row],[Added]]+Table924[[#This Row],[Committed]])</f>
        <v>0.90769230769230769</v>
      </c>
      <c r="W3" s="84" t="str">
        <f>IF(ISERR(P15),0,P15) &amp; "  (" &amp;TEXT(IF(ISERR(P15),0,P15)/Table924[[#This Row],[Committed]],"#%") &amp; ")"</f>
        <v>47  (89%)</v>
      </c>
      <c r="X3" s="85" t="str">
        <f>+IF(ISERR(Q15),0,Q15) &amp; " (" &amp; TEXT(S19, "#%") &amp; ")"</f>
        <v>12 (100%)</v>
      </c>
    </row>
    <row r="4" spans="1:24" x14ac:dyDescent="0.25">
      <c r="A4" s="73" t="str">
        <f t="shared" si="0"/>
        <v>399</v>
      </c>
      <c r="B4" s="73" t="s">
        <v>246</v>
      </c>
      <c r="C4" t="s">
        <v>32</v>
      </c>
      <c r="D4" t="s">
        <v>247</v>
      </c>
      <c r="E4">
        <v>3</v>
      </c>
      <c r="F4" t="s">
        <v>72</v>
      </c>
      <c r="G4" s="73" t="str">
        <f t="shared" si="1"/>
        <v>A</v>
      </c>
      <c r="H4" s="105"/>
      <c r="I4" s="106"/>
      <c r="J4" s="79" t="str">
        <f t="shared" si="2"/>
        <v/>
      </c>
      <c r="O4" t="s">
        <v>303</v>
      </c>
      <c r="P4" s="68">
        <f>SUM(P2:P3)</f>
        <v>94</v>
      </c>
      <c r="Q4">
        <f>SUM(Q2:Q3)</f>
        <v>25</v>
      </c>
      <c r="R4" s="68">
        <f>SUM(R2:R3)</f>
        <v>0</v>
      </c>
      <c r="S4" s="68">
        <f>SUM(S2:S3)</f>
        <v>110</v>
      </c>
      <c r="T4" s="83">
        <f>Table924[[#This Row],[Completed]]/Table924[[#This Row],[Committed]]</f>
        <v>1.1702127659574468</v>
      </c>
      <c r="U4" s="83">
        <f>Table924[[#This Row],[Completed]]/(Table924[[#This Row],[Added]]+Table924[[#This Row],[Committed]])</f>
        <v>0.92436974789915971</v>
      </c>
      <c r="W4" s="108" t="str">
        <f>IF(ISERR(SUM(P14:P15)),0,SUM(P14:P15)) &amp;"  ("&amp;TEXT(SUM(P14:P15)/P4,"#%") &amp;")"</f>
        <v>85  (90%)</v>
      </c>
      <c r="X4" s="85" t="str">
        <f>S4-SUM(P14:P15)&amp;" ("&amp;TEXT((S4-SUM(P14:P15))/IF(Q4=0,1,Q4),"#%")&amp;")"</f>
        <v>25 (100%)</v>
      </c>
    </row>
    <row r="5" spans="1:24" x14ac:dyDescent="0.25">
      <c r="A5" s="90" t="str">
        <f t="shared" si="0"/>
        <v>402</v>
      </c>
      <c r="B5" s="106" t="s">
        <v>71</v>
      </c>
      <c r="C5" s="106" t="s">
        <v>34</v>
      </c>
      <c r="D5" s="106" t="s">
        <v>308</v>
      </c>
      <c r="E5" s="106">
        <v>5</v>
      </c>
      <c r="F5" s="106" t="s">
        <v>72</v>
      </c>
      <c r="G5" s="90" t="str">
        <f t="shared" si="1"/>
        <v>A</v>
      </c>
      <c r="H5" s="105" t="s">
        <v>35</v>
      </c>
      <c r="I5" s="106" t="s">
        <v>35</v>
      </c>
      <c r="J5" s="91" t="str">
        <f t="shared" si="2"/>
        <v/>
      </c>
      <c r="P5" t="s">
        <v>140</v>
      </c>
      <c r="T5" t="s">
        <v>220</v>
      </c>
    </row>
    <row r="6" spans="1:24" x14ac:dyDescent="0.25">
      <c r="A6" s="73" t="str">
        <f t="shared" si="0"/>
        <v>434</v>
      </c>
      <c r="B6" t="s">
        <v>248</v>
      </c>
      <c r="C6" t="s">
        <v>34</v>
      </c>
      <c r="D6" t="s">
        <v>249</v>
      </c>
      <c r="E6">
        <v>1</v>
      </c>
      <c r="F6" t="s">
        <v>236</v>
      </c>
      <c r="G6" s="73" t="str">
        <f t="shared" si="1"/>
        <v>A</v>
      </c>
      <c r="H6" s="105"/>
      <c r="I6" s="106" t="s">
        <v>35</v>
      </c>
      <c r="J6" s="79" t="str">
        <f t="shared" si="2"/>
        <v/>
      </c>
    </row>
    <row r="7" spans="1:24" x14ac:dyDescent="0.25">
      <c r="A7" s="73" t="str">
        <f t="shared" si="0"/>
        <v>435</v>
      </c>
      <c r="B7" t="s">
        <v>250</v>
      </c>
      <c r="C7" t="s">
        <v>34</v>
      </c>
      <c r="D7" t="s">
        <v>251</v>
      </c>
      <c r="E7">
        <v>3</v>
      </c>
      <c r="F7" t="s">
        <v>236</v>
      </c>
      <c r="G7" s="73" t="str">
        <f t="shared" si="1"/>
        <v>A</v>
      </c>
      <c r="H7" s="105"/>
      <c r="I7" s="106" t="s">
        <v>35</v>
      </c>
      <c r="J7" s="79" t="str">
        <f t="shared" si="2"/>
        <v/>
      </c>
      <c r="L7" s="72" t="s">
        <v>119</v>
      </c>
      <c r="M7" t="s">
        <v>120</v>
      </c>
    </row>
    <row r="8" spans="1:24" x14ac:dyDescent="0.25">
      <c r="A8" s="73" t="str">
        <f t="shared" si="0"/>
        <v>436</v>
      </c>
      <c r="B8" t="s">
        <v>252</v>
      </c>
      <c r="C8" t="s">
        <v>34</v>
      </c>
      <c r="D8" t="s">
        <v>253</v>
      </c>
      <c r="E8">
        <v>3</v>
      </c>
      <c r="G8" s="73" t="str">
        <f t="shared" si="1"/>
        <v>A</v>
      </c>
      <c r="H8" s="105"/>
      <c r="I8" s="106" t="s">
        <v>35</v>
      </c>
      <c r="J8" s="79" t="str">
        <f t="shared" si="2"/>
        <v/>
      </c>
      <c r="L8" s="69" t="s">
        <v>37</v>
      </c>
      <c r="M8" s="68">
        <v>54</v>
      </c>
      <c r="N8" s="68"/>
      <c r="O8" t="s">
        <v>139</v>
      </c>
      <c r="S8" t="s">
        <v>138</v>
      </c>
    </row>
    <row r="9" spans="1:24" x14ac:dyDescent="0.25">
      <c r="A9" s="73" t="str">
        <f t="shared" si="0"/>
        <v>438</v>
      </c>
      <c r="B9" t="s">
        <v>254</v>
      </c>
      <c r="C9" t="s">
        <v>34</v>
      </c>
      <c r="D9" t="s">
        <v>255</v>
      </c>
      <c r="E9">
        <v>3</v>
      </c>
      <c r="F9" t="s">
        <v>64</v>
      </c>
      <c r="G9" s="73" t="str">
        <f t="shared" si="1"/>
        <v>A</v>
      </c>
      <c r="H9" s="105"/>
      <c r="I9" s="106" t="s">
        <v>35</v>
      </c>
      <c r="J9" s="79" t="str">
        <f t="shared" si="2"/>
        <v/>
      </c>
      <c r="L9" s="71" t="s">
        <v>32</v>
      </c>
      <c r="M9" s="68">
        <v>3</v>
      </c>
      <c r="N9" s="68"/>
      <c r="O9" t="s">
        <v>133</v>
      </c>
      <c r="P9" t="s">
        <v>42</v>
      </c>
      <c r="Q9" t="s">
        <v>41</v>
      </c>
      <c r="R9" s="82" t="s">
        <v>135</v>
      </c>
      <c r="S9" t="s">
        <v>128</v>
      </c>
    </row>
    <row r="10" spans="1:24" x14ac:dyDescent="0.25">
      <c r="A10" s="73" t="str">
        <f t="shared" si="0"/>
        <v>439</v>
      </c>
      <c r="B10" t="s">
        <v>256</v>
      </c>
      <c r="C10" t="s">
        <v>34</v>
      </c>
      <c r="D10" t="s">
        <v>257</v>
      </c>
      <c r="E10">
        <v>3</v>
      </c>
      <c r="F10" t="s">
        <v>72</v>
      </c>
      <c r="G10" s="73" t="str">
        <f t="shared" si="1"/>
        <v>A</v>
      </c>
      <c r="H10" s="105"/>
      <c r="I10" s="106" t="s">
        <v>35</v>
      </c>
      <c r="J10" s="79" t="str">
        <f t="shared" si="2"/>
        <v/>
      </c>
      <c r="L10" s="71" t="s">
        <v>34</v>
      </c>
      <c r="M10" s="68">
        <v>51</v>
      </c>
      <c r="N10" s="68"/>
      <c r="O10" t="s">
        <v>2</v>
      </c>
      <c r="P10">
        <f>+GETPIVOTDATA("Story Points2",$L$18,"Project","A","Added After",)</f>
        <v>41</v>
      </c>
      <c r="Q10">
        <f>+GETPIVOTDATA("Story Points2",$L$18,"Project","A","Added After","Y")</f>
        <v>13</v>
      </c>
      <c r="R10" s="81" t="e">
        <f>GETPIVOTDATA("Story Points2",$L$7,"Status","Blocked","Project","A")</f>
        <v>#REF!</v>
      </c>
      <c r="S10">
        <f t="shared" ref="S10:S11" si="3">+IF(ISERR(Q10),0,Q10)+IF(ISERR(P10),0,P10)</f>
        <v>54</v>
      </c>
    </row>
    <row r="11" spans="1:24" x14ac:dyDescent="0.25">
      <c r="A11" s="73" t="str">
        <f t="shared" si="0"/>
        <v>467</v>
      </c>
      <c r="B11" t="s">
        <v>259</v>
      </c>
      <c r="C11" t="s">
        <v>34</v>
      </c>
      <c r="D11" t="s">
        <v>260</v>
      </c>
      <c r="E11">
        <v>3</v>
      </c>
      <c r="F11" t="s">
        <v>58</v>
      </c>
      <c r="G11" s="73" t="str">
        <f t="shared" si="1"/>
        <v>A</v>
      </c>
      <c r="H11" s="105"/>
      <c r="I11" s="106" t="s">
        <v>35</v>
      </c>
      <c r="J11" s="79" t="str">
        <f t="shared" si="2"/>
        <v/>
      </c>
      <c r="L11" s="69" t="s">
        <v>36</v>
      </c>
      <c r="M11" s="68">
        <v>65</v>
      </c>
      <c r="N11" s="68"/>
      <c r="O11" t="s">
        <v>3</v>
      </c>
      <c r="P11">
        <f>+GETPIVOTDATA("Story Points2",$L$18,"Project","U","Added After",)</f>
        <v>53</v>
      </c>
      <c r="Q11">
        <f>+GETPIVOTDATA("Story Points2",$L$18,"Project","U","Added After","Y")</f>
        <v>12</v>
      </c>
      <c r="R11" s="81" t="e">
        <f>GETPIVOTDATA("Story Points2",$L$7,"Status","Blocked","Project","U")</f>
        <v>#REF!</v>
      </c>
      <c r="S11">
        <f t="shared" si="3"/>
        <v>65</v>
      </c>
    </row>
    <row r="12" spans="1:24" x14ac:dyDescent="0.25">
      <c r="A12" s="73" t="str">
        <f t="shared" si="0"/>
        <v>468</v>
      </c>
      <c r="B12" t="s">
        <v>261</v>
      </c>
      <c r="C12" t="s">
        <v>34</v>
      </c>
      <c r="D12" t="s">
        <v>262</v>
      </c>
      <c r="E12">
        <v>3</v>
      </c>
      <c r="F12" t="s">
        <v>58</v>
      </c>
      <c r="G12" s="73" t="str">
        <f t="shared" si="1"/>
        <v>A</v>
      </c>
      <c r="H12" s="105"/>
      <c r="I12" s="106" t="s">
        <v>35</v>
      </c>
      <c r="J12" s="79" t="str">
        <f t="shared" si="2"/>
        <v/>
      </c>
      <c r="L12" s="71" t="s">
        <v>32</v>
      </c>
      <c r="M12" s="68">
        <v>6</v>
      </c>
      <c r="N12" s="68"/>
    </row>
    <row r="13" spans="1:24" x14ac:dyDescent="0.25">
      <c r="A13" s="73" t="str">
        <f t="shared" si="0"/>
        <v>469</v>
      </c>
      <c r="B13" t="s">
        <v>263</v>
      </c>
      <c r="C13" t="s">
        <v>34</v>
      </c>
      <c r="D13" t="s">
        <v>264</v>
      </c>
      <c r="E13">
        <v>3</v>
      </c>
      <c r="F13" t="s">
        <v>58</v>
      </c>
      <c r="G13" s="73" t="str">
        <f t="shared" si="1"/>
        <v>A</v>
      </c>
      <c r="H13" s="105"/>
      <c r="I13" s="106" t="s">
        <v>35</v>
      </c>
      <c r="J13" s="79" t="str">
        <f t="shared" si="2"/>
        <v/>
      </c>
      <c r="L13" s="71" t="s">
        <v>34</v>
      </c>
      <c r="M13" s="68">
        <v>59</v>
      </c>
      <c r="N13" s="68"/>
      <c r="O13" t="s">
        <v>34</v>
      </c>
      <c r="P13" t="s">
        <v>126</v>
      </c>
      <c r="Q13" t="s">
        <v>125</v>
      </c>
      <c r="R13" s="80" t="s">
        <v>40</v>
      </c>
      <c r="S13" t="s">
        <v>127</v>
      </c>
    </row>
    <row r="14" spans="1:24" x14ac:dyDescent="0.25">
      <c r="A14" s="90" t="str">
        <f t="shared" si="0"/>
        <v>497</v>
      </c>
      <c r="B14" s="106" t="s">
        <v>305</v>
      </c>
      <c r="C14" s="106" t="s">
        <v>34</v>
      </c>
      <c r="D14" s="106" t="s">
        <v>306</v>
      </c>
      <c r="E14" s="106">
        <v>3</v>
      </c>
      <c r="F14" s="106" t="s">
        <v>61</v>
      </c>
      <c r="G14" s="90" t="str">
        <f t="shared" si="1"/>
        <v>A</v>
      </c>
      <c r="H14" s="105" t="s">
        <v>307</v>
      </c>
      <c r="I14" s="106" t="s">
        <v>307</v>
      </c>
      <c r="J14" s="91" t="str">
        <f t="shared" si="2"/>
        <v/>
      </c>
      <c r="L14" s="69" t="s">
        <v>31</v>
      </c>
      <c r="M14" s="68">
        <v>119</v>
      </c>
      <c r="N14" s="68"/>
      <c r="O14" t="s">
        <v>2</v>
      </c>
      <c r="P14">
        <f>+GETPIVOTDATA("Story Points2",$L$18,"Status","Done","Project","A","Added After",)</f>
        <v>38</v>
      </c>
      <c r="Q14">
        <f>+GETPIVOTDATA("Story Points2",$L$18,"Status","Done","Project","A","Added After","Y")</f>
        <v>13</v>
      </c>
      <c r="S14">
        <f t="shared" ref="S14:S15" si="4">+IF(ISERR(Q14),0,Q14)+IF(ISERR(P14),0,P14)</f>
        <v>51</v>
      </c>
    </row>
    <row r="15" spans="1:24" x14ac:dyDescent="0.25">
      <c r="A15" s="90" t="str">
        <f>MID(B15,8,3)</f>
        <v>505</v>
      </c>
      <c r="B15" s="105" t="s">
        <v>317</v>
      </c>
      <c r="C15" s="105" t="s">
        <v>34</v>
      </c>
      <c r="D15" s="105" t="s">
        <v>318</v>
      </c>
      <c r="E15" s="105">
        <v>5</v>
      </c>
      <c r="F15" s="105" t="s">
        <v>58</v>
      </c>
      <c r="G15" s="90" t="str">
        <f>MID(B15,4,1)</f>
        <v>A</v>
      </c>
      <c r="H15" s="105" t="s">
        <v>35</v>
      </c>
      <c r="I15" s="109" t="s">
        <v>307</v>
      </c>
      <c r="J15" s="91" t="str">
        <f>IF(C15="Done", IF(I15&lt;&gt;"Y", "ERR",""),"")</f>
        <v/>
      </c>
      <c r="O15" t="s">
        <v>3</v>
      </c>
      <c r="P15">
        <f>+GETPIVOTDATA("Story Points2",$L$18,"Status","Done","Project","U","Added After",)</f>
        <v>47</v>
      </c>
      <c r="Q15">
        <f>+GETPIVOTDATA("Story Points2",$L$18,"Status","Done","Project","U","Added After","Y")</f>
        <v>12</v>
      </c>
      <c r="S15">
        <f t="shared" si="4"/>
        <v>59</v>
      </c>
    </row>
    <row r="16" spans="1:24" x14ac:dyDescent="0.25">
      <c r="A16" s="73" t="str">
        <f t="shared" si="0"/>
        <v>97</v>
      </c>
      <c r="B16" t="s">
        <v>265</v>
      </c>
      <c r="C16" t="s">
        <v>34</v>
      </c>
      <c r="D16" t="s">
        <v>266</v>
      </c>
      <c r="E16">
        <v>2</v>
      </c>
      <c r="F16" t="s">
        <v>81</v>
      </c>
      <c r="G16" s="73" t="str">
        <f t="shared" si="1"/>
        <v>U</v>
      </c>
      <c r="H16" s="105"/>
      <c r="I16" s="106" t="s">
        <v>35</v>
      </c>
      <c r="J16" s="79" t="str">
        <f t="shared" si="2"/>
        <v/>
      </c>
    </row>
    <row r="17" spans="1:19" x14ac:dyDescent="0.25">
      <c r="A17" s="90" t="str">
        <f t="shared" si="0"/>
        <v>730</v>
      </c>
      <c r="B17" s="106" t="s">
        <v>97</v>
      </c>
      <c r="C17" s="106" t="s">
        <v>34</v>
      </c>
      <c r="D17" s="106" t="s">
        <v>304</v>
      </c>
      <c r="E17" s="106">
        <v>1</v>
      </c>
      <c r="F17" s="106" t="s">
        <v>92</v>
      </c>
      <c r="G17" s="90" t="str">
        <f t="shared" si="1"/>
        <v>U</v>
      </c>
      <c r="H17" s="105"/>
      <c r="I17" s="106" t="s">
        <v>35</v>
      </c>
      <c r="J17" s="91" t="str">
        <f t="shared" si="2"/>
        <v/>
      </c>
      <c r="O17" t="s">
        <v>34</v>
      </c>
      <c r="P17" t="s">
        <v>123</v>
      </c>
      <c r="Q17" t="s">
        <v>124</v>
      </c>
      <c r="R17" t="s">
        <v>126</v>
      </c>
      <c r="S17" t="s">
        <v>125</v>
      </c>
    </row>
    <row r="18" spans="1:19" x14ac:dyDescent="0.25">
      <c r="A18" s="73" t="str">
        <f t="shared" si="0"/>
        <v>738</v>
      </c>
      <c r="B18" t="s">
        <v>267</v>
      </c>
      <c r="C18" t="s">
        <v>34</v>
      </c>
      <c r="D18" t="s">
        <v>268</v>
      </c>
      <c r="E18">
        <v>3</v>
      </c>
      <c r="F18" t="s">
        <v>101</v>
      </c>
      <c r="G18" s="73" t="str">
        <f t="shared" si="1"/>
        <v>U</v>
      </c>
      <c r="H18" s="105"/>
      <c r="I18" s="106" t="s">
        <v>35</v>
      </c>
      <c r="J18" s="79" t="str">
        <f t="shared" si="2"/>
        <v/>
      </c>
      <c r="L18" s="72" t="s">
        <v>121</v>
      </c>
      <c r="M18" t="s">
        <v>120</v>
      </c>
      <c r="O18" t="s">
        <v>2</v>
      </c>
      <c r="P18" s="87">
        <f>+S14/P10</f>
        <v>1.2439024390243902</v>
      </c>
      <c r="Q18" s="64">
        <f t="shared" ref="Q18:Q19" si="5">+S14/S10</f>
        <v>0.94444444444444442</v>
      </c>
      <c r="R18" s="64">
        <f t="shared" ref="R18:S19" si="6">+IF(ISERR(P14),0,P14)/IF(ISERR(P10),1,P10)</f>
        <v>0.92682926829268297</v>
      </c>
      <c r="S18" s="64">
        <f t="shared" si="6"/>
        <v>1</v>
      </c>
    </row>
    <row r="19" spans="1:19" x14ac:dyDescent="0.25">
      <c r="A19" s="73" t="str">
        <f t="shared" si="0"/>
        <v>765</v>
      </c>
      <c r="B19" s="73" t="s">
        <v>269</v>
      </c>
      <c r="C19" t="s">
        <v>34</v>
      </c>
      <c r="D19" t="s">
        <v>270</v>
      </c>
      <c r="E19">
        <v>1</v>
      </c>
      <c r="F19" t="s">
        <v>84</v>
      </c>
      <c r="G19" s="73" t="str">
        <f t="shared" si="1"/>
        <v>U</v>
      </c>
      <c r="H19" s="105"/>
      <c r="I19" s="106" t="s">
        <v>35</v>
      </c>
      <c r="J19" s="79" t="str">
        <f t="shared" si="2"/>
        <v/>
      </c>
      <c r="L19" s="69" t="s">
        <v>122</v>
      </c>
      <c r="M19" s="68">
        <v>94</v>
      </c>
      <c r="N19" s="68"/>
      <c r="O19" t="s">
        <v>3</v>
      </c>
      <c r="P19" s="64">
        <f>+S15/P11</f>
        <v>1.1132075471698113</v>
      </c>
      <c r="Q19" s="64">
        <f t="shared" si="5"/>
        <v>0.90769230769230769</v>
      </c>
      <c r="R19" s="64">
        <f t="shared" si="6"/>
        <v>0.8867924528301887</v>
      </c>
      <c r="S19" s="64">
        <f t="shared" si="6"/>
        <v>1</v>
      </c>
    </row>
    <row r="20" spans="1:19" x14ac:dyDescent="0.25">
      <c r="A20" s="73" t="str">
        <f t="shared" si="0"/>
        <v>766</v>
      </c>
      <c r="B20" s="73" t="s">
        <v>271</v>
      </c>
      <c r="C20" t="s">
        <v>34</v>
      </c>
      <c r="D20" t="s">
        <v>272</v>
      </c>
      <c r="E20">
        <v>1</v>
      </c>
      <c r="F20" t="s">
        <v>84</v>
      </c>
      <c r="G20" s="73" t="str">
        <f t="shared" si="1"/>
        <v>U</v>
      </c>
      <c r="H20" s="105"/>
      <c r="I20" s="106" t="s">
        <v>35</v>
      </c>
      <c r="J20" s="79" t="str">
        <f t="shared" si="2"/>
        <v/>
      </c>
      <c r="L20" s="71" t="s">
        <v>37</v>
      </c>
      <c r="M20" s="68">
        <v>41</v>
      </c>
      <c r="N20" s="68"/>
    </row>
    <row r="21" spans="1:19" x14ac:dyDescent="0.25">
      <c r="A21" s="90" t="str">
        <f t="shared" si="0"/>
        <v>767</v>
      </c>
      <c r="B21" t="s">
        <v>273</v>
      </c>
      <c r="C21" t="s">
        <v>32</v>
      </c>
      <c r="D21" t="s">
        <v>274</v>
      </c>
      <c r="E21">
        <v>3</v>
      </c>
      <c r="F21" t="s">
        <v>89</v>
      </c>
      <c r="G21" s="90" t="str">
        <f t="shared" si="1"/>
        <v>U</v>
      </c>
      <c r="H21" s="105"/>
      <c r="I21" s="106"/>
      <c r="J21" s="91" t="str">
        <f t="shared" si="2"/>
        <v/>
      </c>
      <c r="L21" s="70" t="s">
        <v>32</v>
      </c>
      <c r="M21" s="68">
        <v>3</v>
      </c>
      <c r="N21" s="68"/>
      <c r="O21" t="s">
        <v>49</v>
      </c>
      <c r="P21" t="s">
        <v>126</v>
      </c>
      <c r="Q21" t="s">
        <v>125</v>
      </c>
      <c r="R21" s="80" t="s">
        <v>239</v>
      </c>
      <c r="S21" t="s">
        <v>129</v>
      </c>
    </row>
    <row r="22" spans="1:19" x14ac:dyDescent="0.25">
      <c r="A22" s="73" t="str">
        <f t="shared" si="0"/>
        <v>768</v>
      </c>
      <c r="B22" t="s">
        <v>275</v>
      </c>
      <c r="C22" t="s">
        <v>34</v>
      </c>
      <c r="D22" t="s">
        <v>276</v>
      </c>
      <c r="E22">
        <v>1</v>
      </c>
      <c r="F22" t="s">
        <v>92</v>
      </c>
      <c r="G22" s="73" t="str">
        <f t="shared" si="1"/>
        <v>U</v>
      </c>
      <c r="H22" s="105"/>
      <c r="I22" s="106" t="s">
        <v>35</v>
      </c>
      <c r="J22" s="79" t="str">
        <f t="shared" si="2"/>
        <v/>
      </c>
      <c r="L22" s="70" t="s">
        <v>34</v>
      </c>
      <c r="M22" s="68">
        <v>38</v>
      </c>
      <c r="N22" s="68"/>
      <c r="O22" t="s">
        <v>2</v>
      </c>
      <c r="P22">
        <f>+GETPIVOTDATA("Story Points",$L$38,"Project","A","Added After",)</f>
        <v>38</v>
      </c>
      <c r="Q22">
        <f>+GETPIVOTDATA("Story Points",$L$38,"Project","A","Added After","Y")</f>
        <v>13</v>
      </c>
      <c r="R22">
        <f>+IF(ISERR(GETPIVOTDATA("Story Points2",$L$18,"Status","To Do","Project","A","Added After",)),0,GETPIVOTDATA("Story Points2",$L$18,"Status","To Do","Project","A","Added After",))+IF(ISERR(GETPIVOTDATA("Story Points2",$L$18,"Status","In Progress","Project","A","Added After",)),0,GETPIVOTDATA("Story Points2",$L$18,"Status","In Progress","Project","A","Added After",))</f>
        <v>3</v>
      </c>
      <c r="S22">
        <f>+IF(ISERR(Q22),0,Q22)+IF(ISERR(P22),0,P22)</f>
        <v>51</v>
      </c>
    </row>
    <row r="23" spans="1:19" x14ac:dyDescent="0.25">
      <c r="A23" s="73" t="str">
        <f t="shared" si="0"/>
        <v>769</v>
      </c>
      <c r="B23" t="s">
        <v>277</v>
      </c>
      <c r="C23" t="s">
        <v>34</v>
      </c>
      <c r="D23" t="s">
        <v>278</v>
      </c>
      <c r="E23">
        <v>1</v>
      </c>
      <c r="F23" t="s">
        <v>92</v>
      </c>
      <c r="G23" s="73" t="str">
        <f t="shared" si="1"/>
        <v>U</v>
      </c>
      <c r="H23" s="105"/>
      <c r="I23" s="106" t="s">
        <v>35</v>
      </c>
      <c r="J23" s="79" t="str">
        <f t="shared" si="2"/>
        <v/>
      </c>
      <c r="L23" s="71" t="s">
        <v>36</v>
      </c>
      <c r="M23" s="68">
        <v>53</v>
      </c>
      <c r="N23" s="68"/>
      <c r="O23" t="s">
        <v>3</v>
      </c>
      <c r="P23">
        <f>+GETPIVOTDATA("Story Points",$L$38,"Project","U","Added After",)</f>
        <v>47</v>
      </c>
      <c r="Q23">
        <f>+GETPIVOTDATA("Story Points",$L$38,"Project","U","Added After","Y")</f>
        <v>12</v>
      </c>
      <c r="R23">
        <f>+IF(ISERR(GETPIVOTDATA("Story Points2",$L$18,"Status","To Do","Project","U","Added After",)),0,GETPIVOTDATA("Story Points2",$L$18,"Status","To Do","Project","U","Added After",))+IF(ISERR(GETPIVOTDATA("Story Points2",$L$18,"Status","In Progress","Project","U","Added After",)),0,GETPIVOTDATA("Story Points2",$L$18,"Status","In Progress","Project","U","Added After",))</f>
        <v>6</v>
      </c>
      <c r="S23">
        <f>+IF(ISERR(Q23),0,Q23)+IF(ISERR(P23),0,P23)</f>
        <v>59</v>
      </c>
    </row>
    <row r="24" spans="1:19" x14ac:dyDescent="0.25">
      <c r="A24" s="73" t="str">
        <f t="shared" si="0"/>
        <v>771</v>
      </c>
      <c r="B24" t="s">
        <v>279</v>
      </c>
      <c r="C24" t="s">
        <v>34</v>
      </c>
      <c r="D24" t="s">
        <v>280</v>
      </c>
      <c r="E24">
        <v>3</v>
      </c>
      <c r="F24" t="s">
        <v>92</v>
      </c>
      <c r="G24" s="73" t="str">
        <f t="shared" si="1"/>
        <v>U</v>
      </c>
      <c r="H24" s="107"/>
      <c r="I24" s="106" t="s">
        <v>35</v>
      </c>
      <c r="J24" s="79" t="str">
        <f t="shared" si="2"/>
        <v/>
      </c>
      <c r="L24" s="70" t="s">
        <v>32</v>
      </c>
      <c r="M24" s="68">
        <v>6</v>
      </c>
      <c r="N24" s="68"/>
    </row>
    <row r="25" spans="1:19" x14ac:dyDescent="0.25">
      <c r="A25" s="73" t="str">
        <f t="shared" si="0"/>
        <v>773</v>
      </c>
      <c r="B25" t="s">
        <v>281</v>
      </c>
      <c r="C25" t="s">
        <v>34</v>
      </c>
      <c r="D25" t="s">
        <v>282</v>
      </c>
      <c r="E25">
        <v>3</v>
      </c>
      <c r="G25" s="73" t="str">
        <f t="shared" si="1"/>
        <v>U</v>
      </c>
      <c r="H25" s="105"/>
      <c r="I25" s="106" t="s">
        <v>35</v>
      </c>
      <c r="J25" s="79" t="str">
        <f t="shared" si="2"/>
        <v/>
      </c>
      <c r="L25" s="70" t="s">
        <v>34</v>
      </c>
      <c r="M25" s="68">
        <v>47</v>
      </c>
      <c r="N25" s="68"/>
      <c r="O25" t="s">
        <v>49</v>
      </c>
      <c r="P25" t="s">
        <v>123</v>
      </c>
      <c r="Q25" t="s">
        <v>124</v>
      </c>
      <c r="R25" t="s">
        <v>126</v>
      </c>
      <c r="S25" t="s">
        <v>130</v>
      </c>
    </row>
    <row r="26" spans="1:19" x14ac:dyDescent="0.25">
      <c r="A26" s="73" t="str">
        <f t="shared" si="0"/>
        <v>774</v>
      </c>
      <c r="B26" t="s">
        <v>283</v>
      </c>
      <c r="C26" t="s">
        <v>34</v>
      </c>
      <c r="D26" t="s">
        <v>284</v>
      </c>
      <c r="E26">
        <v>2</v>
      </c>
      <c r="F26" t="s">
        <v>81</v>
      </c>
      <c r="G26" s="73" t="str">
        <f t="shared" si="1"/>
        <v>U</v>
      </c>
      <c r="H26" s="105"/>
      <c r="I26" s="106" t="s">
        <v>35</v>
      </c>
      <c r="J26" s="79" t="str">
        <f t="shared" si="2"/>
        <v/>
      </c>
      <c r="L26" s="69" t="s">
        <v>35</v>
      </c>
      <c r="M26" s="68">
        <v>25</v>
      </c>
      <c r="N26" s="68"/>
      <c r="O26" t="s">
        <v>2</v>
      </c>
      <c r="P26" s="64">
        <f t="shared" ref="P26:P27" si="7">IF(ISERR(S22),0,S22)/IF(ISERR(P10), 1,P10)</f>
        <v>1.2439024390243902</v>
      </c>
      <c r="Q26" s="64">
        <f t="shared" ref="Q26:Q27" si="8">IF(ISERR(S22),0,S22)/IF(ISERR(S10),1,S10)</f>
        <v>0.94444444444444442</v>
      </c>
      <c r="R26" s="64">
        <f t="shared" ref="R26:S27" si="9">+IF(ISERR(P22),0,P22)/IF(ISERR(P10),1,P10)</f>
        <v>0.92682926829268297</v>
      </c>
      <c r="S26" s="64">
        <f t="shared" si="9"/>
        <v>1</v>
      </c>
    </row>
    <row r="27" spans="1:19" x14ac:dyDescent="0.25">
      <c r="A27" s="73" t="str">
        <f t="shared" si="0"/>
        <v>776</v>
      </c>
      <c r="B27" t="s">
        <v>285</v>
      </c>
      <c r="C27" t="s">
        <v>32</v>
      </c>
      <c r="D27" t="s">
        <v>286</v>
      </c>
      <c r="E27">
        <v>3</v>
      </c>
      <c r="F27" t="s">
        <v>81</v>
      </c>
      <c r="G27" s="73" t="str">
        <f t="shared" si="1"/>
        <v>U</v>
      </c>
      <c r="H27" s="105"/>
      <c r="I27" s="106"/>
      <c r="J27" s="79" t="str">
        <f t="shared" si="2"/>
        <v/>
      </c>
      <c r="L27" s="71" t="s">
        <v>37</v>
      </c>
      <c r="M27" s="68">
        <v>13</v>
      </c>
      <c r="N27" s="68"/>
      <c r="O27" t="s">
        <v>3</v>
      </c>
      <c r="P27" s="64">
        <f t="shared" si="7"/>
        <v>1.1132075471698113</v>
      </c>
      <c r="Q27" s="64">
        <f t="shared" si="8"/>
        <v>0.90769230769230769</v>
      </c>
      <c r="R27" s="64">
        <f t="shared" si="9"/>
        <v>0.8867924528301887</v>
      </c>
      <c r="S27" s="64">
        <f t="shared" si="9"/>
        <v>1</v>
      </c>
    </row>
    <row r="28" spans="1:19" x14ac:dyDescent="0.25">
      <c r="A28" s="73" t="str">
        <f t="shared" si="0"/>
        <v>778</v>
      </c>
      <c r="B28" t="s">
        <v>287</v>
      </c>
      <c r="C28" t="s">
        <v>34</v>
      </c>
      <c r="D28" t="s">
        <v>288</v>
      </c>
      <c r="E28">
        <v>5</v>
      </c>
      <c r="F28" t="s">
        <v>101</v>
      </c>
      <c r="G28" s="73" t="str">
        <f t="shared" si="1"/>
        <v>U</v>
      </c>
      <c r="H28" s="105"/>
      <c r="I28" s="106" t="s">
        <v>35</v>
      </c>
      <c r="J28" s="79" t="str">
        <f t="shared" si="2"/>
        <v/>
      </c>
      <c r="L28" s="70" t="s">
        <v>34</v>
      </c>
      <c r="M28" s="68">
        <v>13</v>
      </c>
      <c r="N28" s="68"/>
    </row>
    <row r="29" spans="1:19" x14ac:dyDescent="0.25">
      <c r="A29" s="73" t="str">
        <f t="shared" si="0"/>
        <v>779</v>
      </c>
      <c r="B29" t="s">
        <v>289</v>
      </c>
      <c r="C29" t="s">
        <v>34</v>
      </c>
      <c r="D29" t="s">
        <v>290</v>
      </c>
      <c r="E29">
        <v>3</v>
      </c>
      <c r="F29" t="s">
        <v>101</v>
      </c>
      <c r="G29" s="73" t="str">
        <f t="shared" si="1"/>
        <v>U</v>
      </c>
      <c r="H29" s="105"/>
      <c r="I29" s="106" t="s">
        <v>35</v>
      </c>
      <c r="J29" s="79" t="str">
        <f t="shared" si="2"/>
        <v/>
      </c>
      <c r="L29" s="71" t="s">
        <v>36</v>
      </c>
      <c r="M29" s="68">
        <v>12</v>
      </c>
      <c r="N29" s="68"/>
    </row>
    <row r="30" spans="1:19" x14ac:dyDescent="0.25">
      <c r="A30" s="73" t="str">
        <f t="shared" si="0"/>
        <v>781</v>
      </c>
      <c r="B30" t="s">
        <v>291</v>
      </c>
      <c r="C30" t="s">
        <v>34</v>
      </c>
      <c r="D30" t="s">
        <v>292</v>
      </c>
      <c r="E30">
        <v>3</v>
      </c>
      <c r="F30" t="s">
        <v>101</v>
      </c>
      <c r="G30" s="73" t="str">
        <f t="shared" si="1"/>
        <v>U</v>
      </c>
      <c r="H30" s="105"/>
      <c r="I30" s="106" t="s">
        <v>35</v>
      </c>
      <c r="J30" s="79" t="str">
        <f t="shared" si="2"/>
        <v/>
      </c>
      <c r="L30" s="70" t="s">
        <v>34</v>
      </c>
      <c r="M30" s="68">
        <v>12</v>
      </c>
      <c r="N30" s="68"/>
    </row>
    <row r="31" spans="1:19" x14ac:dyDescent="0.25">
      <c r="A31" s="73" t="str">
        <f t="shared" si="0"/>
        <v>782</v>
      </c>
      <c r="B31" t="s">
        <v>293</v>
      </c>
      <c r="C31" t="s">
        <v>34</v>
      </c>
      <c r="D31" t="s">
        <v>294</v>
      </c>
      <c r="E31">
        <v>2</v>
      </c>
      <c r="F31" t="s">
        <v>101</v>
      </c>
      <c r="G31" s="73" t="str">
        <f t="shared" si="1"/>
        <v>U</v>
      </c>
      <c r="H31" s="105"/>
      <c r="I31" s="106" t="s">
        <v>35</v>
      </c>
      <c r="J31" s="79" t="str">
        <f t="shared" si="2"/>
        <v/>
      </c>
      <c r="L31" s="69" t="s">
        <v>31</v>
      </c>
      <c r="M31" s="68">
        <v>119</v>
      </c>
      <c r="N31" s="68"/>
    </row>
    <row r="32" spans="1:19" x14ac:dyDescent="0.25">
      <c r="A32" s="73" t="str">
        <f t="shared" si="0"/>
        <v>783</v>
      </c>
      <c r="B32" t="s">
        <v>295</v>
      </c>
      <c r="C32" t="s">
        <v>34</v>
      </c>
      <c r="D32" t="s">
        <v>296</v>
      </c>
      <c r="E32">
        <v>3</v>
      </c>
      <c r="F32" t="s">
        <v>235</v>
      </c>
      <c r="G32" s="73" t="str">
        <f t="shared" si="1"/>
        <v>U</v>
      </c>
      <c r="H32" s="105"/>
      <c r="I32" s="106" t="s">
        <v>35</v>
      </c>
      <c r="J32" s="79" t="str">
        <f t="shared" si="2"/>
        <v/>
      </c>
    </row>
    <row r="33" spans="1:14" x14ac:dyDescent="0.25">
      <c r="A33" s="73" t="str">
        <f t="shared" si="0"/>
        <v>784</v>
      </c>
      <c r="B33" t="s">
        <v>297</v>
      </c>
      <c r="C33" t="s">
        <v>34</v>
      </c>
      <c r="D33" t="s">
        <v>298</v>
      </c>
      <c r="E33">
        <v>1</v>
      </c>
      <c r="F33" t="s">
        <v>235</v>
      </c>
      <c r="G33" s="73" t="str">
        <f t="shared" si="1"/>
        <v>U</v>
      </c>
      <c r="H33" s="105"/>
      <c r="I33" s="106" t="s">
        <v>35</v>
      </c>
      <c r="J33" s="79" t="str">
        <f t="shared" si="2"/>
        <v/>
      </c>
    </row>
    <row r="34" spans="1:14" x14ac:dyDescent="0.25">
      <c r="A34" s="73" t="str">
        <f t="shared" si="0"/>
        <v>785</v>
      </c>
      <c r="B34" t="s">
        <v>299</v>
      </c>
      <c r="C34" t="s">
        <v>34</v>
      </c>
      <c r="D34" t="s">
        <v>300</v>
      </c>
      <c r="E34">
        <v>5</v>
      </c>
      <c r="F34" t="s">
        <v>235</v>
      </c>
      <c r="G34" s="73" t="str">
        <f t="shared" si="1"/>
        <v>U</v>
      </c>
      <c r="H34" s="105"/>
      <c r="I34" s="106" t="s">
        <v>35</v>
      </c>
      <c r="J34" s="79" t="str">
        <f t="shared" si="2"/>
        <v/>
      </c>
    </row>
    <row r="35" spans="1:14" x14ac:dyDescent="0.25">
      <c r="A35" s="73" t="str">
        <f t="shared" si="0"/>
        <v>786</v>
      </c>
      <c r="B35" t="s">
        <v>301</v>
      </c>
      <c r="C35" t="s">
        <v>34</v>
      </c>
      <c r="D35" t="s">
        <v>302</v>
      </c>
      <c r="E35">
        <v>5</v>
      </c>
      <c r="F35" t="s">
        <v>92</v>
      </c>
      <c r="G35" s="73" t="str">
        <f t="shared" si="1"/>
        <v>U</v>
      </c>
      <c r="H35" s="105"/>
      <c r="I35" s="106" t="s">
        <v>35</v>
      </c>
      <c r="J35" s="79" t="str">
        <f t="shared" si="2"/>
        <v/>
      </c>
    </row>
    <row r="36" spans="1:14" x14ac:dyDescent="0.25">
      <c r="A36" s="90" t="str">
        <f t="shared" si="0"/>
        <v>789</v>
      </c>
      <c r="B36" s="105" t="s">
        <v>309</v>
      </c>
      <c r="C36" s="105" t="s">
        <v>34</v>
      </c>
      <c r="D36" s="105" t="s">
        <v>310</v>
      </c>
      <c r="E36" s="105">
        <v>3</v>
      </c>
      <c r="F36" s="105" t="s">
        <v>81</v>
      </c>
      <c r="G36" s="90" t="str">
        <f t="shared" si="1"/>
        <v>U</v>
      </c>
      <c r="H36" s="105" t="s">
        <v>35</v>
      </c>
      <c r="I36" s="109" t="s">
        <v>35</v>
      </c>
      <c r="J36" s="91" t="str">
        <f t="shared" si="2"/>
        <v/>
      </c>
      <c r="L36" s="72" t="s">
        <v>144</v>
      </c>
      <c r="M36" s="160" t="s">
        <v>35</v>
      </c>
    </row>
    <row r="37" spans="1:14" x14ac:dyDescent="0.25">
      <c r="A37" s="90" t="str">
        <f t="shared" si="0"/>
        <v>796</v>
      </c>
      <c r="B37" s="73" t="s">
        <v>311</v>
      </c>
      <c r="C37" t="s">
        <v>34</v>
      </c>
      <c r="D37" t="s">
        <v>258</v>
      </c>
      <c r="E37">
        <v>2</v>
      </c>
      <c r="F37" t="s">
        <v>81</v>
      </c>
      <c r="G37" s="90" t="str">
        <f t="shared" si="1"/>
        <v>U</v>
      </c>
      <c r="H37" s="105"/>
      <c r="I37" s="106" t="s">
        <v>35</v>
      </c>
      <c r="J37" s="91" t="str">
        <f t="shared" si="2"/>
        <v/>
      </c>
    </row>
    <row r="38" spans="1:14" x14ac:dyDescent="0.25">
      <c r="A38" s="90" t="str">
        <f>MID(B38,8,3)</f>
        <v>830</v>
      </c>
      <c r="B38" s="105" t="s">
        <v>313</v>
      </c>
      <c r="C38" s="105" t="s">
        <v>34</v>
      </c>
      <c r="D38" s="105" t="s">
        <v>314</v>
      </c>
      <c r="E38" s="105">
        <v>3</v>
      </c>
      <c r="F38" s="105" t="s">
        <v>92</v>
      </c>
      <c r="G38" s="90" t="str">
        <f>MID(B38,4,1)</f>
        <v>U</v>
      </c>
      <c r="H38" s="105" t="s">
        <v>35</v>
      </c>
      <c r="I38" s="109" t="s">
        <v>35</v>
      </c>
      <c r="J38" s="91"/>
      <c r="L38" s="72" t="s">
        <v>39</v>
      </c>
      <c r="M38" t="s">
        <v>50</v>
      </c>
    </row>
    <row r="39" spans="1:14" x14ac:dyDescent="0.25">
      <c r="A39" s="90" t="str">
        <f>MID(B39,8,3)</f>
        <v>834</v>
      </c>
      <c r="B39" s="105" t="s">
        <v>319</v>
      </c>
      <c r="C39" s="105" t="s">
        <v>34</v>
      </c>
      <c r="D39" s="105" t="s">
        <v>320</v>
      </c>
      <c r="E39" s="105">
        <v>5</v>
      </c>
      <c r="F39" s="105" t="s">
        <v>92</v>
      </c>
      <c r="G39" s="90" t="str">
        <f>MID(B39,4,1)</f>
        <v>U</v>
      </c>
      <c r="H39" s="105" t="s">
        <v>35</v>
      </c>
      <c r="I39" s="109" t="s">
        <v>35</v>
      </c>
      <c r="J39" s="91" t="str">
        <f>IF(C39="Done", IF(I39&lt;&gt;"Y", "ERR",""),"")</f>
        <v/>
      </c>
      <c r="L39" s="69" t="s">
        <v>37</v>
      </c>
      <c r="M39" s="68"/>
      <c r="N39" s="68"/>
    </row>
    <row r="40" spans="1:14" x14ac:dyDescent="0.25">
      <c r="A40" s="90" t="str">
        <f>MID(B40,8,3)</f>
        <v>837</v>
      </c>
      <c r="B40" s="105" t="s">
        <v>315</v>
      </c>
      <c r="C40" s="105" t="s">
        <v>34</v>
      </c>
      <c r="D40" s="105" t="s">
        <v>316</v>
      </c>
      <c r="E40" s="105">
        <v>1</v>
      </c>
      <c r="F40" s="105" t="s">
        <v>72</v>
      </c>
      <c r="G40" s="90" t="str">
        <f>MID(B40,4,1)</f>
        <v>U</v>
      </c>
      <c r="H40" s="105" t="s">
        <v>307</v>
      </c>
      <c r="I40" s="109" t="s">
        <v>307</v>
      </c>
      <c r="J40" s="91" t="str">
        <f>IF(C40="Done", IF(I40&lt;&gt;"Y", "ERR",""),"")</f>
        <v/>
      </c>
      <c r="L40" s="71" t="s">
        <v>122</v>
      </c>
      <c r="M40" s="68">
        <v>38</v>
      </c>
      <c r="N40" s="68"/>
    </row>
    <row r="41" spans="1:14" x14ac:dyDescent="0.25">
      <c r="L41" s="71" t="s">
        <v>35</v>
      </c>
      <c r="M41" s="68">
        <v>13</v>
      </c>
      <c r="N41" s="68"/>
    </row>
    <row r="42" spans="1:14" x14ac:dyDescent="0.25">
      <c r="L42" s="69" t="s">
        <v>131</v>
      </c>
      <c r="M42" s="68">
        <v>51</v>
      </c>
      <c r="N42" s="68"/>
    </row>
    <row r="43" spans="1:14" x14ac:dyDescent="0.25">
      <c r="L43" s="69" t="s">
        <v>36</v>
      </c>
      <c r="M43" s="68"/>
      <c r="N43" s="68"/>
    </row>
    <row r="44" spans="1:14" x14ac:dyDescent="0.25">
      <c r="L44" s="71" t="s">
        <v>122</v>
      </c>
      <c r="M44" s="68">
        <v>47</v>
      </c>
      <c r="N44" s="68"/>
    </row>
    <row r="45" spans="1:14" x14ac:dyDescent="0.25">
      <c r="L45" s="71" t="s">
        <v>35</v>
      </c>
      <c r="M45" s="68">
        <v>12</v>
      </c>
      <c r="N45" s="68"/>
    </row>
    <row r="46" spans="1:14" x14ac:dyDescent="0.25">
      <c r="L46" s="69" t="s">
        <v>132</v>
      </c>
      <c r="M46" s="68">
        <v>59</v>
      </c>
      <c r="N46" s="68"/>
    </row>
    <row r="47" spans="1:14" x14ac:dyDescent="0.25">
      <c r="L47" s="69" t="s">
        <v>31</v>
      </c>
      <c r="M47" s="68">
        <v>110</v>
      </c>
      <c r="N47" s="68"/>
    </row>
    <row r="54" spans="12:14" x14ac:dyDescent="0.25">
      <c r="L54" s="71"/>
      <c r="M54" s="68"/>
      <c r="N54" s="68"/>
    </row>
    <row r="55" spans="12:14" x14ac:dyDescent="0.25">
      <c r="L55" s="69"/>
      <c r="M55" s="68"/>
      <c r="N55" s="68"/>
    </row>
    <row r="56" spans="12:14" x14ac:dyDescent="0.25">
      <c r="L56" s="69"/>
      <c r="M56" s="68"/>
      <c r="N56" s="68"/>
    </row>
  </sheetData>
  <sheetProtection sort="0" autoFilter="0" pivotTables="0"/>
  <conditionalFormatting sqref="I2:I40">
    <cfRule type="expression" dxfId="159" priority="2">
      <formula>$C2="Done"</formula>
    </cfRule>
  </conditionalFormatting>
  <conditionalFormatting sqref="C2:C40">
    <cfRule type="expression" dxfId="158" priority="1">
      <formula>C2="Done"</formula>
    </cfRule>
  </conditionalFormatting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7" name="Button 1">
              <controlPr defaultSize="0" print="0" autoFill="0" autoPict="0" macro="[0]!ResetSprintData">
                <anchor moveWithCells="1" sizeWithCells="1">
                  <from>
                    <xdr:col>19</xdr:col>
                    <xdr:colOff>952500</xdr:colOff>
                    <xdr:row>8</xdr:row>
                    <xdr:rowOff>9525</xdr:rowOff>
                  </from>
                  <to>
                    <xdr:col>24</xdr:col>
                    <xdr:colOff>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7">
    <tablePart r:id="rId8"/>
    <tablePart r:id="rId9"/>
    <tablePart r:id="rId10"/>
    <tablePart r:id="rId11"/>
    <tablePart r:id="rId12"/>
    <tablePart r:id="rId13"/>
    <tablePart r:id="rId14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"/>
  <dimension ref="A1:X56"/>
  <sheetViews>
    <sheetView topLeftCell="G1" workbookViewId="0">
      <selection activeCell="R22" sqref="R22"/>
    </sheetView>
  </sheetViews>
  <sheetFormatPr defaultRowHeight="15" x14ac:dyDescent="0.25"/>
  <cols>
    <col min="2" max="2" width="12.28515625" customWidth="1"/>
    <col min="3" max="3" width="11" customWidth="1"/>
    <col min="4" max="4" width="89.42578125" bestFit="1" customWidth="1"/>
    <col min="5" max="5" width="8.85546875" customWidth="1"/>
    <col min="6" max="6" width="12.28515625" customWidth="1"/>
    <col min="7" max="7" width="14.42578125" customWidth="1"/>
    <col min="8" max="8" width="11.5703125" customWidth="1"/>
    <col min="9" max="9" width="4.5703125" customWidth="1"/>
    <col min="10" max="10" width="12" customWidth="1"/>
    <col min="11" max="11" width="10.85546875" customWidth="1"/>
    <col min="12" max="12" width="13.140625" bestFit="1" customWidth="1"/>
    <col min="13" max="13" width="18.42578125" bestFit="1" customWidth="1"/>
    <col min="14" max="14" width="4.28515625" customWidth="1"/>
    <col min="15" max="15" width="16.5703125" customWidth="1"/>
    <col min="16" max="16" width="22.7109375" customWidth="1"/>
    <col min="17" max="17" width="19" customWidth="1"/>
    <col min="18" max="18" width="16.28515625" customWidth="1"/>
    <col min="19" max="19" width="16.5703125" customWidth="1"/>
    <col min="20" max="20" width="14.5703125" customWidth="1"/>
    <col min="21" max="21" width="13.42578125" customWidth="1"/>
    <col min="22" max="22" width="9.140625" customWidth="1"/>
    <col min="23" max="23" width="11" bestFit="1" customWidth="1"/>
    <col min="24" max="24" width="9.140625" customWidth="1"/>
    <col min="26" max="26" width="11.5703125" bestFit="1" customWidth="1"/>
  </cols>
  <sheetData>
    <row r="1" spans="1:24" ht="30.75" customHeight="1" x14ac:dyDescent="0.25">
      <c r="A1" t="s">
        <v>231</v>
      </c>
      <c r="B1" t="s">
        <v>48</v>
      </c>
      <c r="C1" t="s">
        <v>47</v>
      </c>
      <c r="D1" t="s">
        <v>46</v>
      </c>
      <c r="E1" t="s">
        <v>38</v>
      </c>
      <c r="F1" t="s">
        <v>45</v>
      </c>
      <c r="G1" t="s">
        <v>44</v>
      </c>
      <c r="H1" t="s">
        <v>43</v>
      </c>
      <c r="I1" t="s">
        <v>144</v>
      </c>
      <c r="J1" t="s">
        <v>40</v>
      </c>
      <c r="O1" t="s">
        <v>133</v>
      </c>
      <c r="P1" t="s">
        <v>134</v>
      </c>
      <c r="Q1" t="s">
        <v>41</v>
      </c>
      <c r="R1" t="s">
        <v>135</v>
      </c>
      <c r="S1" t="s">
        <v>136</v>
      </c>
      <c r="T1" s="86" t="s">
        <v>143</v>
      </c>
      <c r="U1" s="86" t="s">
        <v>141</v>
      </c>
      <c r="V1" s="80" t="s">
        <v>40</v>
      </c>
      <c r="W1" s="86" t="s">
        <v>142</v>
      </c>
      <c r="X1" s="86" t="s">
        <v>145</v>
      </c>
    </row>
    <row r="2" spans="1:24" x14ac:dyDescent="0.25">
      <c r="A2" s="73" t="str">
        <f t="shared" ref="A2:A34" si="0">MID(B2,8,3)</f>
        <v>9</v>
      </c>
      <c r="B2" t="s">
        <v>56</v>
      </c>
      <c r="C2" t="s">
        <v>33</v>
      </c>
      <c r="D2" s="95" t="s">
        <v>57</v>
      </c>
      <c r="E2" s="95">
        <v>8</v>
      </c>
      <c r="F2" s="95" t="s">
        <v>58</v>
      </c>
      <c r="G2" s="73" t="str">
        <f t="shared" ref="G2:G34" si="1">MID(B2,4,1)</f>
        <v>A</v>
      </c>
      <c r="H2" s="73"/>
      <c r="I2" s="97" t="s">
        <v>234</v>
      </c>
      <c r="J2" s="79" t="str">
        <f t="shared" ref="J2:J34" si="2">IF(C2="Done", IF(I2&lt;&gt;"Y", "ERR",""),"")</f>
        <v/>
      </c>
      <c r="O2" t="s">
        <v>2</v>
      </c>
      <c r="P2">
        <f>+P9-Table9[[#This Row],[Blocked]]</f>
        <v>42</v>
      </c>
      <c r="Q2">
        <f>IF(ISERR(Q9),0,Q9)</f>
        <v>13</v>
      </c>
      <c r="R2">
        <f>IF(ISERR(R9),0,R9)</f>
        <v>0</v>
      </c>
      <c r="S2">
        <f>+IF(ISERR(S13),0,S13)</f>
        <v>34</v>
      </c>
      <c r="T2" s="88">
        <f>Table9[[#This Row],[Completed]]/Table9[[#This Row],[Committed]]</f>
        <v>0.80952380952380953</v>
      </c>
      <c r="U2" s="83">
        <f>Table9[[#This Row],[Completed]]/(Table9[[#This Row],[Added]]+Table9[[#This Row],[Committed]])</f>
        <v>0.61818181818181817</v>
      </c>
      <c r="W2" s="84" t="str">
        <f>IF(ISERR(P13),0,P13) &amp; "  (" &amp;TEXT(IF(ISERR(P13),0,P13)/Table9[[#This Row],[Committed]],"#%") &amp; ")"</f>
        <v>21  (50%)</v>
      </c>
      <c r="X2" s="85" t="str">
        <f>+IF(ISERR(Q13),0,Q13) &amp; " (" &amp; TEXT(S17, "#%") &amp; ")"</f>
        <v>13 (100%)</v>
      </c>
    </row>
    <row r="3" spans="1:24" x14ac:dyDescent="0.25">
      <c r="A3" s="73" t="str">
        <f t="shared" si="0"/>
        <v>262</v>
      </c>
      <c r="B3" t="s">
        <v>59</v>
      </c>
      <c r="C3" t="s">
        <v>33</v>
      </c>
      <c r="D3" s="95" t="s">
        <v>60</v>
      </c>
      <c r="E3" s="95">
        <v>8</v>
      </c>
      <c r="F3" s="95" t="s">
        <v>61</v>
      </c>
      <c r="G3" s="73" t="str">
        <f t="shared" si="1"/>
        <v>A</v>
      </c>
      <c r="H3" s="73"/>
      <c r="I3" s="97" t="s">
        <v>234</v>
      </c>
      <c r="J3" s="79" t="str">
        <f t="shared" si="2"/>
        <v/>
      </c>
      <c r="O3" t="s">
        <v>137</v>
      </c>
      <c r="P3">
        <f>+P10-Table9[[#This Row],[Blocked]]</f>
        <v>41</v>
      </c>
      <c r="Q3">
        <f>IF(ISERR(Q10),0,Q10)</f>
        <v>9</v>
      </c>
      <c r="R3">
        <f>IF(ISERR(R10),0,R10)</f>
        <v>0</v>
      </c>
      <c r="S3">
        <f>+IF(ISERR(S14),0,S14)</f>
        <v>44</v>
      </c>
      <c r="T3" s="83">
        <f>Table9[[#This Row],[Completed]]/Table9[[#This Row],[Committed]]</f>
        <v>1.0731707317073171</v>
      </c>
      <c r="U3" s="83">
        <f>Table9[[#This Row],[Completed]]/(Table9[[#This Row],[Added]]+Table9[[#This Row],[Committed]])</f>
        <v>0.88</v>
      </c>
      <c r="W3" s="84" t="str">
        <f>IF(ISERR(P14),0,P14) &amp; "  (" &amp;TEXT(IF(ISERR(P14),0,P14)/Table9[[#This Row],[Committed]],"#%") &amp; ")"</f>
        <v>35  (85%)</v>
      </c>
      <c r="X3" s="85" t="str">
        <f>+IF(ISERR(Q14),0,Q14) &amp; " (" &amp; TEXT(S18, "#%") &amp; ")"</f>
        <v>9 (100%)</v>
      </c>
    </row>
    <row r="4" spans="1:24" x14ac:dyDescent="0.25">
      <c r="A4" s="73" t="str">
        <f t="shared" si="0"/>
        <v>322</v>
      </c>
      <c r="B4" t="s">
        <v>117</v>
      </c>
      <c r="C4" t="s">
        <v>34</v>
      </c>
      <c r="D4" t="s">
        <v>114</v>
      </c>
      <c r="E4">
        <v>1</v>
      </c>
      <c r="F4" t="s">
        <v>64</v>
      </c>
      <c r="G4" s="73" t="str">
        <f t="shared" si="1"/>
        <v>A</v>
      </c>
      <c r="H4" s="73" t="s">
        <v>35</v>
      </c>
      <c r="I4" s="73" t="s">
        <v>35</v>
      </c>
      <c r="J4" s="79" t="str">
        <f t="shared" si="2"/>
        <v/>
      </c>
      <c r="P4" t="s">
        <v>140</v>
      </c>
      <c r="T4" t="s">
        <v>220</v>
      </c>
    </row>
    <row r="5" spans="1:24" x14ac:dyDescent="0.25">
      <c r="A5" s="73" t="str">
        <f t="shared" si="0"/>
        <v>323</v>
      </c>
      <c r="B5" t="s">
        <v>62</v>
      </c>
      <c r="C5" t="s">
        <v>34</v>
      </c>
      <c r="D5" t="s">
        <v>63</v>
      </c>
      <c r="E5">
        <v>3</v>
      </c>
      <c r="F5" t="s">
        <v>64</v>
      </c>
      <c r="G5" s="73" t="str">
        <f t="shared" si="1"/>
        <v>A</v>
      </c>
      <c r="H5" s="73"/>
      <c r="I5" s="73" t="s">
        <v>35</v>
      </c>
      <c r="J5" s="79" t="str">
        <f t="shared" si="2"/>
        <v/>
      </c>
    </row>
    <row r="6" spans="1:24" x14ac:dyDescent="0.25">
      <c r="A6" s="73" t="str">
        <f t="shared" si="0"/>
        <v>324</v>
      </c>
      <c r="B6" t="s">
        <v>118</v>
      </c>
      <c r="C6" t="s">
        <v>34</v>
      </c>
      <c r="D6" t="s">
        <v>115</v>
      </c>
      <c r="E6">
        <v>1</v>
      </c>
      <c r="F6" t="s">
        <v>58</v>
      </c>
      <c r="G6" s="73" t="str">
        <f t="shared" si="1"/>
        <v>A</v>
      </c>
      <c r="H6" s="73" t="s">
        <v>35</v>
      </c>
      <c r="I6" s="73" t="s">
        <v>35</v>
      </c>
      <c r="J6" s="79" t="str">
        <f t="shared" si="2"/>
        <v/>
      </c>
    </row>
    <row r="7" spans="1:24" x14ac:dyDescent="0.25">
      <c r="A7" s="73" t="str">
        <f t="shared" si="0"/>
        <v>387</v>
      </c>
      <c r="B7" t="s">
        <v>65</v>
      </c>
      <c r="C7" t="s">
        <v>34</v>
      </c>
      <c r="D7" s="94" t="s">
        <v>66</v>
      </c>
      <c r="E7" s="94">
        <v>3</v>
      </c>
      <c r="F7" s="94" t="s">
        <v>236</v>
      </c>
      <c r="G7" s="73" t="str">
        <f t="shared" si="1"/>
        <v>A</v>
      </c>
      <c r="H7" s="73"/>
      <c r="I7" s="73" t="s">
        <v>35</v>
      </c>
      <c r="J7" s="79" t="str">
        <f t="shared" si="2"/>
        <v/>
      </c>
      <c r="L7" s="72" t="s">
        <v>119</v>
      </c>
      <c r="M7" t="s">
        <v>120</v>
      </c>
      <c r="O7" t="s">
        <v>139</v>
      </c>
      <c r="S7" t="s">
        <v>138</v>
      </c>
    </row>
    <row r="8" spans="1:24" x14ac:dyDescent="0.25">
      <c r="A8" s="73" t="str">
        <f t="shared" si="0"/>
        <v>388</v>
      </c>
      <c r="B8" t="s">
        <v>67</v>
      </c>
      <c r="C8" t="s">
        <v>34</v>
      </c>
      <c r="D8" s="94" t="s">
        <v>68</v>
      </c>
      <c r="E8" s="94">
        <v>1</v>
      </c>
      <c r="F8" s="94" t="s">
        <v>236</v>
      </c>
      <c r="G8" s="73" t="str">
        <f t="shared" si="1"/>
        <v>A</v>
      </c>
      <c r="H8" s="73"/>
      <c r="I8" s="73" t="s">
        <v>35</v>
      </c>
      <c r="J8" s="79" t="str">
        <f t="shared" si="2"/>
        <v/>
      </c>
      <c r="L8" s="69" t="s">
        <v>37</v>
      </c>
      <c r="M8" s="68">
        <v>55</v>
      </c>
      <c r="O8" t="s">
        <v>133</v>
      </c>
      <c r="P8" t="s">
        <v>42</v>
      </c>
      <c r="Q8" t="s">
        <v>41</v>
      </c>
      <c r="R8" s="82" t="s">
        <v>135</v>
      </c>
      <c r="S8" t="s">
        <v>128</v>
      </c>
    </row>
    <row r="9" spans="1:24" x14ac:dyDescent="0.25">
      <c r="A9" s="73" t="str">
        <f t="shared" si="0"/>
        <v>392</v>
      </c>
      <c r="B9" t="s">
        <v>69</v>
      </c>
      <c r="C9" t="s">
        <v>34</v>
      </c>
      <c r="D9" t="s">
        <v>70</v>
      </c>
      <c r="E9">
        <v>3</v>
      </c>
      <c r="F9" t="s">
        <v>61</v>
      </c>
      <c r="G9" s="73" t="str">
        <f t="shared" si="1"/>
        <v>A</v>
      </c>
      <c r="H9" s="73"/>
      <c r="I9" s="73" t="s">
        <v>35</v>
      </c>
      <c r="J9" s="79" t="str">
        <f t="shared" si="2"/>
        <v/>
      </c>
      <c r="L9" s="71" t="s">
        <v>34</v>
      </c>
      <c r="M9" s="68">
        <v>34</v>
      </c>
      <c r="O9" t="s">
        <v>2</v>
      </c>
      <c r="P9">
        <f>+GETPIVOTDATA("Story Points2",$L$18,"Project","A","Added After",)</f>
        <v>42</v>
      </c>
      <c r="Q9">
        <f>+GETPIVOTDATA("Story Points2",$L$18,"Project","A","Added After","Y")</f>
        <v>13</v>
      </c>
      <c r="R9" s="81" t="e">
        <f>GETPIVOTDATA("Story Points2",$L$7,"Status","Blocked","Project","A")</f>
        <v>#REF!</v>
      </c>
      <c r="S9">
        <f t="shared" ref="S9:S10" si="3">+IF(ISERR(Q9),0,Q9)+IF(ISERR(P9),0,P9)</f>
        <v>55</v>
      </c>
    </row>
    <row r="10" spans="1:24" x14ac:dyDescent="0.25">
      <c r="A10" s="90" t="str">
        <f t="shared" si="0"/>
        <v>395</v>
      </c>
      <c r="B10" s="73" t="s">
        <v>232</v>
      </c>
      <c r="C10" s="73" t="s">
        <v>34</v>
      </c>
      <c r="D10" s="73" t="s">
        <v>233</v>
      </c>
      <c r="E10" s="73">
        <v>3</v>
      </c>
      <c r="F10" s="73" t="s">
        <v>58</v>
      </c>
      <c r="G10" s="90" t="str">
        <f t="shared" si="1"/>
        <v>A</v>
      </c>
      <c r="H10" s="73" t="s">
        <v>35</v>
      </c>
      <c r="I10" s="73" t="s">
        <v>35</v>
      </c>
      <c r="J10" s="91" t="str">
        <f t="shared" si="2"/>
        <v/>
      </c>
      <c r="L10" s="71" t="s">
        <v>33</v>
      </c>
      <c r="M10" s="68">
        <v>21</v>
      </c>
      <c r="O10" t="s">
        <v>3</v>
      </c>
      <c r="P10">
        <f>+GETPIVOTDATA("Story Points2",$L$18,"Project","U","Added After",)</f>
        <v>41</v>
      </c>
      <c r="Q10">
        <f>+GETPIVOTDATA("Story Points2",$L$18,"Project","U","Added After","Y")</f>
        <v>9</v>
      </c>
      <c r="R10" s="81" t="e">
        <f>GETPIVOTDATA("Story Points2",$L$7,"Status","Blocked","Project","U")</f>
        <v>#REF!</v>
      </c>
      <c r="S10">
        <f t="shared" si="3"/>
        <v>50</v>
      </c>
    </row>
    <row r="11" spans="1:24" x14ac:dyDescent="0.25">
      <c r="A11" s="73" t="str">
        <f t="shared" si="0"/>
        <v>401</v>
      </c>
      <c r="B11" t="s">
        <v>116</v>
      </c>
      <c r="C11" t="s">
        <v>34</v>
      </c>
      <c r="D11" t="s">
        <v>113</v>
      </c>
      <c r="E11">
        <v>3</v>
      </c>
      <c r="F11" t="s">
        <v>112</v>
      </c>
      <c r="G11" s="73" t="str">
        <f t="shared" si="1"/>
        <v>A</v>
      </c>
      <c r="H11" s="73" t="s">
        <v>35</v>
      </c>
      <c r="I11" s="73" t="s">
        <v>35</v>
      </c>
      <c r="J11" s="79" t="str">
        <f t="shared" si="2"/>
        <v/>
      </c>
      <c r="L11" s="69" t="s">
        <v>36</v>
      </c>
      <c r="M11" s="68">
        <v>50</v>
      </c>
    </row>
    <row r="12" spans="1:24" x14ac:dyDescent="0.25">
      <c r="A12" s="73" t="str">
        <f t="shared" si="0"/>
        <v>402</v>
      </c>
      <c r="B12" t="s">
        <v>71</v>
      </c>
      <c r="C12" t="s">
        <v>33</v>
      </c>
      <c r="D12" s="96" t="s">
        <v>237</v>
      </c>
      <c r="E12" s="96">
        <v>5</v>
      </c>
      <c r="F12" s="96" t="s">
        <v>72</v>
      </c>
      <c r="G12" s="73" t="str">
        <f t="shared" si="1"/>
        <v>A</v>
      </c>
      <c r="H12" s="73"/>
      <c r="I12" s="73" t="s">
        <v>35</v>
      </c>
      <c r="J12" s="79" t="str">
        <f t="shared" si="2"/>
        <v/>
      </c>
      <c r="L12" s="71" t="s">
        <v>34</v>
      </c>
      <c r="M12" s="68">
        <v>44</v>
      </c>
      <c r="O12" t="s">
        <v>34</v>
      </c>
      <c r="P12" t="s">
        <v>126</v>
      </c>
      <c r="Q12" t="s">
        <v>125</v>
      </c>
      <c r="R12" s="80" t="s">
        <v>40</v>
      </c>
      <c r="S12" t="s">
        <v>127</v>
      </c>
    </row>
    <row r="13" spans="1:24" x14ac:dyDescent="0.25">
      <c r="A13" s="73" t="str">
        <f t="shared" si="0"/>
        <v>404</v>
      </c>
      <c r="B13" t="s">
        <v>73</v>
      </c>
      <c r="C13" t="s">
        <v>34</v>
      </c>
      <c r="D13" t="s">
        <v>74</v>
      </c>
      <c r="E13">
        <v>3</v>
      </c>
      <c r="F13" t="s">
        <v>236</v>
      </c>
      <c r="G13" s="73" t="str">
        <f t="shared" si="1"/>
        <v>A</v>
      </c>
      <c r="H13" s="73"/>
      <c r="I13" s="73" t="s">
        <v>35</v>
      </c>
      <c r="J13" s="79" t="str">
        <f t="shared" si="2"/>
        <v/>
      </c>
      <c r="L13" s="71" t="s">
        <v>32</v>
      </c>
      <c r="M13" s="68">
        <v>6</v>
      </c>
      <c r="O13" t="s">
        <v>2</v>
      </c>
      <c r="P13">
        <f>+GETPIVOTDATA("Story Points2",$L$18,"Status","Done","Project","A","Added After",)</f>
        <v>21</v>
      </c>
      <c r="Q13">
        <f>+GETPIVOTDATA("Story Points2",$L$18,"Status","Done","Project","A","Added After","Y")</f>
        <v>13</v>
      </c>
      <c r="S13">
        <f t="shared" ref="S13:S14" si="4">+IF(ISERR(Q13),0,Q13)+IF(ISERR(P13),0,P13)</f>
        <v>34</v>
      </c>
    </row>
    <row r="14" spans="1:24" x14ac:dyDescent="0.25">
      <c r="A14" s="73" t="str">
        <f t="shared" si="0"/>
        <v>413</v>
      </c>
      <c r="B14" t="s">
        <v>75</v>
      </c>
      <c r="C14" t="s">
        <v>34</v>
      </c>
      <c r="D14" s="96" t="s">
        <v>76</v>
      </c>
      <c r="E14" s="96">
        <v>5</v>
      </c>
      <c r="F14" s="96" t="s">
        <v>72</v>
      </c>
      <c r="G14" s="73" t="str">
        <f t="shared" si="1"/>
        <v>A</v>
      </c>
      <c r="H14" s="73"/>
      <c r="I14" s="73" t="s">
        <v>35</v>
      </c>
      <c r="J14" s="79" t="str">
        <f t="shared" si="2"/>
        <v/>
      </c>
      <c r="L14" s="69" t="s">
        <v>31</v>
      </c>
      <c r="M14" s="68">
        <v>105</v>
      </c>
      <c r="O14" t="s">
        <v>3</v>
      </c>
      <c r="P14">
        <f>+GETPIVOTDATA("Story Points2",$L$18,"Status","Done","Project","U","Added After",)</f>
        <v>35</v>
      </c>
      <c r="Q14">
        <f>+GETPIVOTDATA("Story Points2",$L$18,"Status","Done","Project","U","Added After","Y")</f>
        <v>9</v>
      </c>
      <c r="S14">
        <f t="shared" si="4"/>
        <v>44</v>
      </c>
    </row>
    <row r="15" spans="1:24" x14ac:dyDescent="0.25">
      <c r="A15" s="73" t="str">
        <f t="shared" si="0"/>
        <v>414</v>
      </c>
      <c r="B15" t="s">
        <v>77</v>
      </c>
      <c r="C15" t="s">
        <v>34</v>
      </c>
      <c r="D15" s="94" t="s">
        <v>78</v>
      </c>
      <c r="E15" s="94">
        <v>3</v>
      </c>
      <c r="F15" s="94"/>
      <c r="G15" s="73" t="str">
        <f t="shared" si="1"/>
        <v>A</v>
      </c>
      <c r="H15" s="73"/>
      <c r="I15" s="73" t="s">
        <v>35</v>
      </c>
      <c r="J15" s="79" t="str">
        <f t="shared" si="2"/>
        <v/>
      </c>
    </row>
    <row r="16" spans="1:24" x14ac:dyDescent="0.25">
      <c r="A16" s="73" t="str">
        <f t="shared" si="0"/>
        <v>421</v>
      </c>
      <c r="B16" t="s">
        <v>221</v>
      </c>
      <c r="C16" t="s">
        <v>34</v>
      </c>
      <c r="D16" t="s">
        <v>222</v>
      </c>
      <c r="E16">
        <v>3</v>
      </c>
      <c r="F16" t="s">
        <v>61</v>
      </c>
      <c r="G16" s="73" t="str">
        <f t="shared" si="1"/>
        <v>A</v>
      </c>
      <c r="H16" s="73" t="s">
        <v>35</v>
      </c>
      <c r="I16" s="73" t="s">
        <v>35</v>
      </c>
      <c r="J16" s="79" t="str">
        <f t="shared" si="2"/>
        <v/>
      </c>
      <c r="O16" t="s">
        <v>34</v>
      </c>
      <c r="P16" t="s">
        <v>123</v>
      </c>
      <c r="Q16" t="s">
        <v>124</v>
      </c>
      <c r="R16" t="s">
        <v>126</v>
      </c>
      <c r="S16" t="s">
        <v>125</v>
      </c>
    </row>
    <row r="17" spans="1:19" x14ac:dyDescent="0.25">
      <c r="A17" s="73" t="str">
        <f t="shared" si="0"/>
        <v>425</v>
      </c>
      <c r="B17" t="s">
        <v>223</v>
      </c>
      <c r="C17" t="s">
        <v>34</v>
      </c>
      <c r="D17" t="s">
        <v>224</v>
      </c>
      <c r="E17">
        <v>1</v>
      </c>
      <c r="F17" t="s">
        <v>72</v>
      </c>
      <c r="G17" s="73" t="str">
        <f t="shared" si="1"/>
        <v>A</v>
      </c>
      <c r="H17" s="73" t="s">
        <v>35</v>
      </c>
      <c r="I17" s="73" t="s">
        <v>35</v>
      </c>
      <c r="J17" s="79" t="str">
        <f t="shared" si="2"/>
        <v/>
      </c>
      <c r="O17" t="s">
        <v>2</v>
      </c>
      <c r="P17" s="87">
        <f>+S13/P9</f>
        <v>0.80952380952380953</v>
      </c>
      <c r="Q17" s="64">
        <f t="shared" ref="Q17:Q18" si="5">+S13/S9</f>
        <v>0.61818181818181817</v>
      </c>
      <c r="R17" s="64">
        <f t="shared" ref="R17:R18" si="6">+IF(ISERR(P13),0,P13)/IF(ISERR(P9),1,P9)</f>
        <v>0.5</v>
      </c>
      <c r="S17" s="64">
        <f t="shared" ref="S17:S18" si="7">+IF(ISERR(Q13),0,Q13)/IF(ISERR(Q9),1,Q9)</f>
        <v>1</v>
      </c>
    </row>
    <row r="18" spans="1:19" x14ac:dyDescent="0.25">
      <c r="A18" s="90" t="str">
        <f t="shared" si="0"/>
        <v>430</v>
      </c>
      <c r="B18" t="s">
        <v>225</v>
      </c>
      <c r="C18" t="s">
        <v>34</v>
      </c>
      <c r="D18" t="s">
        <v>226</v>
      </c>
      <c r="E18">
        <v>1</v>
      </c>
      <c r="F18" t="s">
        <v>72</v>
      </c>
      <c r="G18" s="90" t="str">
        <f t="shared" si="1"/>
        <v>A</v>
      </c>
      <c r="H18" s="73" t="s">
        <v>35</v>
      </c>
      <c r="I18" s="73" t="s">
        <v>35</v>
      </c>
      <c r="J18" s="91" t="str">
        <f t="shared" si="2"/>
        <v/>
      </c>
      <c r="L18" s="72" t="s">
        <v>121</v>
      </c>
      <c r="M18" t="s">
        <v>120</v>
      </c>
      <c r="O18" t="s">
        <v>3</v>
      </c>
      <c r="P18" s="64">
        <f>+S14/P10</f>
        <v>1.0731707317073171</v>
      </c>
      <c r="Q18" s="64">
        <f t="shared" si="5"/>
        <v>0.88</v>
      </c>
      <c r="R18" s="64">
        <f t="shared" si="6"/>
        <v>0.85365853658536583</v>
      </c>
      <c r="S18" s="64">
        <f t="shared" si="7"/>
        <v>1</v>
      </c>
    </row>
    <row r="19" spans="1:19" x14ac:dyDescent="0.25">
      <c r="A19" s="73" t="str">
        <f t="shared" si="0"/>
        <v>579</v>
      </c>
      <c r="B19" t="s">
        <v>79</v>
      </c>
      <c r="C19" t="s">
        <v>32</v>
      </c>
      <c r="D19" s="95" t="s">
        <v>80</v>
      </c>
      <c r="E19" s="95">
        <v>3</v>
      </c>
      <c r="F19" s="95" t="s">
        <v>81</v>
      </c>
      <c r="G19" s="73" t="str">
        <f t="shared" si="1"/>
        <v>U</v>
      </c>
      <c r="H19" s="73"/>
      <c r="I19" s="97" t="s">
        <v>234</v>
      </c>
      <c r="J19" s="79" t="str">
        <f t="shared" si="2"/>
        <v/>
      </c>
      <c r="L19" s="69" t="s">
        <v>35</v>
      </c>
      <c r="M19" s="68">
        <v>22</v>
      </c>
    </row>
    <row r="20" spans="1:19" x14ac:dyDescent="0.25">
      <c r="A20" s="73" t="str">
        <f t="shared" si="0"/>
        <v>638</v>
      </c>
      <c r="B20" t="s">
        <v>82</v>
      </c>
      <c r="C20" t="s">
        <v>34</v>
      </c>
      <c r="D20" s="94" t="s">
        <v>83</v>
      </c>
      <c r="E20" s="94">
        <v>3</v>
      </c>
      <c r="F20" s="94" t="s">
        <v>84</v>
      </c>
      <c r="G20" s="73" t="str">
        <f t="shared" si="1"/>
        <v>U</v>
      </c>
      <c r="H20" s="73"/>
      <c r="I20" s="73" t="s">
        <v>35</v>
      </c>
      <c r="J20" s="79" t="str">
        <f t="shared" si="2"/>
        <v/>
      </c>
      <c r="L20" s="71" t="s">
        <v>37</v>
      </c>
      <c r="M20" s="68">
        <v>13</v>
      </c>
      <c r="O20" t="s">
        <v>49</v>
      </c>
      <c r="P20" t="s">
        <v>126</v>
      </c>
      <c r="Q20" t="s">
        <v>125</v>
      </c>
      <c r="R20" s="80" t="s">
        <v>239</v>
      </c>
      <c r="S20" t="s">
        <v>129</v>
      </c>
    </row>
    <row r="21" spans="1:19" x14ac:dyDescent="0.25">
      <c r="A21" s="73" t="str">
        <f t="shared" si="0"/>
        <v>693</v>
      </c>
      <c r="B21" t="s">
        <v>85</v>
      </c>
      <c r="C21" t="s">
        <v>34</v>
      </c>
      <c r="D21" s="94" t="s">
        <v>86</v>
      </c>
      <c r="E21" s="94">
        <v>1</v>
      </c>
      <c r="F21" s="94" t="s">
        <v>84</v>
      </c>
      <c r="G21" s="73" t="str">
        <f t="shared" si="1"/>
        <v>U</v>
      </c>
      <c r="H21" s="92"/>
      <c r="I21" s="73" t="s">
        <v>35</v>
      </c>
      <c r="J21" s="79" t="str">
        <f t="shared" si="2"/>
        <v/>
      </c>
      <c r="L21" s="70" t="s">
        <v>34</v>
      </c>
      <c r="M21" s="68">
        <v>13</v>
      </c>
      <c r="O21" t="s">
        <v>2</v>
      </c>
      <c r="P21">
        <f>+GETPIVOTDATA("Story Points",$L$38,"Project","A","Added After",)</f>
        <v>26</v>
      </c>
      <c r="Q21">
        <f>+GETPIVOTDATA("Story Points",$L$38,"Project","A","Added After","Y")</f>
        <v>13</v>
      </c>
      <c r="R21">
        <f>+IF(ISERR(GETPIVOTDATA("Story Points2",$L$18,"Status","To Do","Project","A","Added After",)),0,GETPIVOTDATA("Story Points2",$L$18,"Status","To Do","Project","A","Added After",))+IF(ISERR(GETPIVOTDATA("Story Points2",$L$18,"Status","In Progress","Project","A","Added After",)),0,GETPIVOTDATA("Story Points2",$L$18,"Status","In Progress","Project","A","Added After",))</f>
        <v>21</v>
      </c>
      <c r="S21">
        <f>+IF(ISERR(Q21),0,Q21)+IF(ISERR(P21),0,P21)</f>
        <v>39</v>
      </c>
    </row>
    <row r="22" spans="1:19" x14ac:dyDescent="0.25">
      <c r="A22" s="73" t="str">
        <f t="shared" si="0"/>
        <v>725</v>
      </c>
      <c r="B22" t="s">
        <v>87</v>
      </c>
      <c r="C22" t="s">
        <v>34</v>
      </c>
      <c r="D22" t="s">
        <v>88</v>
      </c>
      <c r="E22">
        <v>3</v>
      </c>
      <c r="F22" t="s">
        <v>89</v>
      </c>
      <c r="G22" s="73" t="str">
        <f t="shared" si="1"/>
        <v>U</v>
      </c>
      <c r="H22" s="73"/>
      <c r="I22" s="73" t="s">
        <v>35</v>
      </c>
      <c r="J22" s="79" t="str">
        <f t="shared" si="2"/>
        <v/>
      </c>
      <c r="L22" s="71" t="s">
        <v>36</v>
      </c>
      <c r="M22" s="68">
        <v>9</v>
      </c>
      <c r="O22" t="s">
        <v>3</v>
      </c>
      <c r="P22">
        <f>+GETPIVOTDATA("Story Points",$L$38,"Project","U","Added After",)</f>
        <v>35</v>
      </c>
      <c r="Q22">
        <f>+GETPIVOTDATA("Story Points",$L$38,"Project","U","Added After","Y")</f>
        <v>9</v>
      </c>
      <c r="R22">
        <f>+IF(ISERR(GETPIVOTDATA("Story Points2",$L$18,"Status","To Do","Project","U","Added After",)),0,GETPIVOTDATA("Story Points2",$L$18,"Status","To Do","Project","U","Added After",))+IF(ISERR(GETPIVOTDATA("Story Points2",$L$18,"Status","In Progress","Project","U","Added After",)),0,GETPIVOTDATA("Story Points2",$L$18,"Status","In Progress","Project","U","Added After",))</f>
        <v>6</v>
      </c>
      <c r="S22">
        <f>+IF(ISERR(Q22),0,Q22)+IF(ISERR(P22),0,P22)</f>
        <v>44</v>
      </c>
    </row>
    <row r="23" spans="1:19" x14ac:dyDescent="0.25">
      <c r="A23" s="73" t="str">
        <f t="shared" si="0"/>
        <v>727</v>
      </c>
      <c r="B23" t="s">
        <v>90</v>
      </c>
      <c r="C23" t="s">
        <v>34</v>
      </c>
      <c r="D23" s="94" t="s">
        <v>91</v>
      </c>
      <c r="E23" s="94">
        <v>3</v>
      </c>
      <c r="F23" s="94" t="s">
        <v>92</v>
      </c>
      <c r="G23" s="73" t="str">
        <f t="shared" si="1"/>
        <v>U</v>
      </c>
      <c r="H23" s="73"/>
      <c r="I23" s="73" t="s">
        <v>35</v>
      </c>
      <c r="J23" s="79" t="str">
        <f t="shared" si="2"/>
        <v/>
      </c>
      <c r="L23" s="70" t="s">
        <v>34</v>
      </c>
      <c r="M23" s="68">
        <v>9</v>
      </c>
    </row>
    <row r="24" spans="1:19" x14ac:dyDescent="0.25">
      <c r="A24" s="73" t="str">
        <f t="shared" si="0"/>
        <v>728</v>
      </c>
      <c r="B24" t="s">
        <v>93</v>
      </c>
      <c r="C24" t="s">
        <v>34</v>
      </c>
      <c r="D24" s="94" t="s">
        <v>94</v>
      </c>
      <c r="E24" s="94">
        <v>3</v>
      </c>
      <c r="F24" s="94" t="s">
        <v>92</v>
      </c>
      <c r="G24" s="73" t="str">
        <f t="shared" si="1"/>
        <v>U</v>
      </c>
      <c r="H24" s="73"/>
      <c r="I24" s="73" t="s">
        <v>35</v>
      </c>
      <c r="J24" s="79" t="str">
        <f t="shared" si="2"/>
        <v/>
      </c>
      <c r="L24" s="69" t="s">
        <v>122</v>
      </c>
      <c r="M24" s="68">
        <v>83</v>
      </c>
      <c r="O24" t="s">
        <v>49</v>
      </c>
      <c r="P24" t="s">
        <v>123</v>
      </c>
      <c r="Q24" t="s">
        <v>124</v>
      </c>
      <c r="R24" t="s">
        <v>126</v>
      </c>
      <c r="S24" t="s">
        <v>130</v>
      </c>
    </row>
    <row r="25" spans="1:19" x14ac:dyDescent="0.25">
      <c r="A25" s="73" t="str">
        <f t="shared" si="0"/>
        <v>729</v>
      </c>
      <c r="B25" t="s">
        <v>95</v>
      </c>
      <c r="C25" t="s">
        <v>34</v>
      </c>
      <c r="D25" s="94" t="s">
        <v>96</v>
      </c>
      <c r="E25" s="94">
        <v>2</v>
      </c>
      <c r="F25" s="94" t="s">
        <v>92</v>
      </c>
      <c r="G25" s="73" t="str">
        <f t="shared" si="1"/>
        <v>U</v>
      </c>
      <c r="H25" s="73"/>
      <c r="I25" s="73" t="s">
        <v>35</v>
      </c>
      <c r="J25" s="79" t="str">
        <f t="shared" si="2"/>
        <v/>
      </c>
      <c r="L25" s="71" t="s">
        <v>37</v>
      </c>
      <c r="M25" s="68">
        <v>42</v>
      </c>
      <c r="O25" t="s">
        <v>2</v>
      </c>
      <c r="P25" s="64">
        <f t="shared" ref="P25:P26" si="8">IF(ISERR(S21),0,S21)/IF(ISERR(P9), 1,P9)</f>
        <v>0.9285714285714286</v>
      </c>
      <c r="Q25" s="64">
        <f t="shared" ref="Q25:Q26" si="9">IF(ISERR(S21),0,S21)/IF(ISERR(S9),1,S9)</f>
        <v>0.70909090909090911</v>
      </c>
      <c r="R25" s="64">
        <f t="shared" ref="R25:R26" si="10">+IF(ISERR(P21),0,P21)/IF(ISERR(P9),1,P9)</f>
        <v>0.61904761904761907</v>
      </c>
      <c r="S25" s="64">
        <f t="shared" ref="S25:S26" si="11">+IF(ISERR(Q21),0,Q21)/IF(ISERR(Q9),1,Q9)</f>
        <v>1</v>
      </c>
    </row>
    <row r="26" spans="1:19" x14ac:dyDescent="0.25">
      <c r="A26" s="73" t="str">
        <f t="shared" si="0"/>
        <v>730</v>
      </c>
      <c r="B26" t="s">
        <v>97</v>
      </c>
      <c r="C26" t="s">
        <v>32</v>
      </c>
      <c r="D26" s="95" t="s">
        <v>98</v>
      </c>
      <c r="E26" s="95">
        <v>3</v>
      </c>
      <c r="F26" s="95" t="s">
        <v>92</v>
      </c>
      <c r="G26" s="73" t="str">
        <f t="shared" si="1"/>
        <v>U</v>
      </c>
      <c r="H26" s="73"/>
      <c r="I26" s="97" t="s">
        <v>234</v>
      </c>
      <c r="J26" s="79" t="str">
        <f t="shared" si="2"/>
        <v/>
      </c>
      <c r="L26" s="70" t="s">
        <v>34</v>
      </c>
      <c r="M26" s="68">
        <v>21</v>
      </c>
      <c r="O26" t="s">
        <v>3</v>
      </c>
      <c r="P26" s="64">
        <f t="shared" si="8"/>
        <v>1.0731707317073171</v>
      </c>
      <c r="Q26" s="64">
        <f t="shared" si="9"/>
        <v>0.88</v>
      </c>
      <c r="R26" s="64">
        <f t="shared" si="10"/>
        <v>0.85365853658536583</v>
      </c>
      <c r="S26" s="64">
        <f t="shared" si="11"/>
        <v>1</v>
      </c>
    </row>
    <row r="27" spans="1:19" x14ac:dyDescent="0.25">
      <c r="A27" s="73" t="str">
        <f t="shared" si="0"/>
        <v>732</v>
      </c>
      <c r="B27" t="s">
        <v>99</v>
      </c>
      <c r="C27" t="s">
        <v>34</v>
      </c>
      <c r="D27" s="96" t="s">
        <v>100</v>
      </c>
      <c r="E27" s="96">
        <v>3</v>
      </c>
      <c r="F27" s="96" t="s">
        <v>101</v>
      </c>
      <c r="G27" s="73" t="str">
        <f t="shared" si="1"/>
        <v>U</v>
      </c>
      <c r="H27" s="73"/>
      <c r="I27" s="73" t="s">
        <v>35</v>
      </c>
      <c r="J27" s="79" t="str">
        <f t="shared" si="2"/>
        <v/>
      </c>
      <c r="L27" s="70" t="s">
        <v>33</v>
      </c>
      <c r="M27" s="68">
        <v>21</v>
      </c>
    </row>
    <row r="28" spans="1:19" x14ac:dyDescent="0.25">
      <c r="A28" s="73" t="str">
        <f t="shared" si="0"/>
        <v>733</v>
      </c>
      <c r="B28" t="s">
        <v>102</v>
      </c>
      <c r="C28" t="s">
        <v>34</v>
      </c>
      <c r="D28" t="s">
        <v>103</v>
      </c>
      <c r="E28">
        <v>5</v>
      </c>
      <c r="F28" t="s">
        <v>101</v>
      </c>
      <c r="G28" s="73" t="str">
        <f t="shared" si="1"/>
        <v>U</v>
      </c>
      <c r="H28" s="73"/>
      <c r="I28" s="73" t="s">
        <v>35</v>
      </c>
      <c r="J28" s="79" t="str">
        <f t="shared" si="2"/>
        <v/>
      </c>
      <c r="L28" s="71" t="s">
        <v>36</v>
      </c>
      <c r="M28" s="68">
        <v>41</v>
      </c>
    </row>
    <row r="29" spans="1:19" x14ac:dyDescent="0.25">
      <c r="A29" s="73" t="str">
        <f t="shared" si="0"/>
        <v>734</v>
      </c>
      <c r="B29" t="s">
        <v>104</v>
      </c>
      <c r="C29" t="s">
        <v>34</v>
      </c>
      <c r="D29" s="96" t="s">
        <v>105</v>
      </c>
      <c r="E29" s="96">
        <v>3</v>
      </c>
      <c r="F29" s="96" t="s">
        <v>101</v>
      </c>
      <c r="G29" s="73" t="str">
        <f t="shared" si="1"/>
        <v>U</v>
      </c>
      <c r="H29" s="73"/>
      <c r="I29" s="73" t="s">
        <v>35</v>
      </c>
      <c r="J29" s="79" t="str">
        <f t="shared" si="2"/>
        <v/>
      </c>
      <c r="L29" s="70" t="s">
        <v>34</v>
      </c>
      <c r="M29" s="68">
        <v>35</v>
      </c>
    </row>
    <row r="30" spans="1:19" x14ac:dyDescent="0.25">
      <c r="A30" s="73" t="str">
        <f t="shared" si="0"/>
        <v>735</v>
      </c>
      <c r="B30" t="s">
        <v>106</v>
      </c>
      <c r="C30" t="s">
        <v>34</v>
      </c>
      <c r="D30" t="s">
        <v>107</v>
      </c>
      <c r="E30">
        <v>1</v>
      </c>
      <c r="F30" t="s">
        <v>235</v>
      </c>
      <c r="G30" s="73" t="str">
        <f t="shared" si="1"/>
        <v>U</v>
      </c>
      <c r="H30" s="73"/>
      <c r="I30" s="73" t="s">
        <v>35</v>
      </c>
      <c r="J30" s="79" t="str">
        <f t="shared" si="2"/>
        <v/>
      </c>
      <c r="L30" s="70" t="s">
        <v>32</v>
      </c>
      <c r="M30" s="68">
        <v>6</v>
      </c>
    </row>
    <row r="31" spans="1:19" x14ac:dyDescent="0.25">
      <c r="A31" s="73" t="str">
        <f t="shared" si="0"/>
        <v>736</v>
      </c>
      <c r="B31" t="s">
        <v>109</v>
      </c>
      <c r="C31" t="s">
        <v>34</v>
      </c>
      <c r="D31" t="s">
        <v>110</v>
      </c>
      <c r="E31">
        <v>5</v>
      </c>
      <c r="F31" t="s">
        <v>101</v>
      </c>
      <c r="G31" s="73" t="str">
        <f t="shared" si="1"/>
        <v>U</v>
      </c>
      <c r="H31" s="73"/>
      <c r="I31" s="73" t="s">
        <v>35</v>
      </c>
      <c r="J31" s="79" t="str">
        <f t="shared" si="2"/>
        <v/>
      </c>
      <c r="L31" s="69" t="s">
        <v>31</v>
      </c>
      <c r="M31" s="68">
        <v>105</v>
      </c>
    </row>
    <row r="32" spans="1:19" x14ac:dyDescent="0.25">
      <c r="A32" s="73" t="str">
        <f t="shared" si="0"/>
        <v>739</v>
      </c>
      <c r="B32" t="s">
        <v>111</v>
      </c>
      <c r="C32" t="s">
        <v>34</v>
      </c>
      <c r="D32" t="s">
        <v>78</v>
      </c>
      <c r="E32">
        <v>3</v>
      </c>
      <c r="G32" s="73" t="str">
        <f t="shared" si="1"/>
        <v>U</v>
      </c>
      <c r="H32" s="73"/>
      <c r="I32" s="73" t="s">
        <v>35</v>
      </c>
      <c r="J32" s="79" t="str">
        <f t="shared" si="2"/>
        <v/>
      </c>
    </row>
    <row r="33" spans="1:13" x14ac:dyDescent="0.25">
      <c r="A33" s="90" t="str">
        <f t="shared" si="0"/>
        <v>747</v>
      </c>
      <c r="B33" t="s">
        <v>227</v>
      </c>
      <c r="C33" t="s">
        <v>34</v>
      </c>
      <c r="D33" t="s">
        <v>228</v>
      </c>
      <c r="E33">
        <v>3</v>
      </c>
      <c r="F33" t="s">
        <v>89</v>
      </c>
      <c r="G33" s="90" t="str">
        <f t="shared" si="1"/>
        <v>U</v>
      </c>
      <c r="H33" s="73" t="s">
        <v>35</v>
      </c>
      <c r="I33" s="73" t="s">
        <v>35</v>
      </c>
      <c r="J33" s="91" t="str">
        <f t="shared" si="2"/>
        <v/>
      </c>
    </row>
    <row r="34" spans="1:13" x14ac:dyDescent="0.25">
      <c r="A34" s="90" t="str">
        <f t="shared" si="0"/>
        <v>748</v>
      </c>
      <c r="B34" t="s">
        <v>229</v>
      </c>
      <c r="C34" t="s">
        <v>34</v>
      </c>
      <c r="D34" t="s">
        <v>230</v>
      </c>
      <c r="E34">
        <v>3</v>
      </c>
      <c r="F34" t="s">
        <v>89</v>
      </c>
      <c r="G34" s="90" t="str">
        <f t="shared" si="1"/>
        <v>U</v>
      </c>
      <c r="H34" s="73" t="s">
        <v>35</v>
      </c>
      <c r="I34" s="73" t="s">
        <v>35</v>
      </c>
      <c r="J34" s="91" t="str">
        <f t="shared" si="2"/>
        <v/>
      </c>
    </row>
    <row r="35" spans="1:13" x14ac:dyDescent="0.25">
      <c r="A35" s="90" t="str">
        <f>MID(B35,8,3)</f>
        <v>770</v>
      </c>
      <c r="B35" t="s">
        <v>240</v>
      </c>
      <c r="C35" t="s">
        <v>34</v>
      </c>
      <c r="D35" t="s">
        <v>241</v>
      </c>
      <c r="E35">
        <v>3</v>
      </c>
      <c r="F35" t="s">
        <v>158</v>
      </c>
      <c r="G35" s="90" t="str">
        <f>MID(B35,4,1)</f>
        <v>U</v>
      </c>
      <c r="H35" s="73" t="s">
        <v>35</v>
      </c>
      <c r="I35" s="73" t="s">
        <v>35</v>
      </c>
      <c r="J35" s="91" t="str">
        <f>IF(C35="Done", IF(I35&lt;&gt;"Y", "ERR",""),"")</f>
        <v/>
      </c>
    </row>
    <row r="36" spans="1:13" x14ac:dyDescent="0.25">
      <c r="L36" s="72" t="s">
        <v>144</v>
      </c>
      <c r="M36" s="160" t="s">
        <v>35</v>
      </c>
    </row>
    <row r="38" spans="1:13" x14ac:dyDescent="0.25">
      <c r="L38" s="72" t="s">
        <v>39</v>
      </c>
      <c r="M38" t="s">
        <v>50</v>
      </c>
    </row>
    <row r="39" spans="1:13" x14ac:dyDescent="0.25">
      <c r="L39" s="69" t="s">
        <v>37</v>
      </c>
      <c r="M39" s="68"/>
    </row>
    <row r="40" spans="1:13" x14ac:dyDescent="0.25">
      <c r="L40" s="71" t="s">
        <v>35</v>
      </c>
      <c r="M40" s="68">
        <v>13</v>
      </c>
    </row>
    <row r="41" spans="1:13" x14ac:dyDescent="0.25">
      <c r="L41" s="71" t="s">
        <v>122</v>
      </c>
      <c r="M41" s="68">
        <v>26</v>
      </c>
    </row>
    <row r="42" spans="1:13" x14ac:dyDescent="0.25">
      <c r="L42" s="69" t="s">
        <v>131</v>
      </c>
      <c r="M42" s="68">
        <v>39</v>
      </c>
    </row>
    <row r="43" spans="1:13" x14ac:dyDescent="0.25">
      <c r="L43" s="69" t="s">
        <v>36</v>
      </c>
      <c r="M43" s="68"/>
    </row>
    <row r="44" spans="1:13" x14ac:dyDescent="0.25">
      <c r="L44" s="71" t="s">
        <v>35</v>
      </c>
      <c r="M44" s="68">
        <v>9</v>
      </c>
    </row>
    <row r="45" spans="1:13" x14ac:dyDescent="0.25">
      <c r="L45" s="71" t="s">
        <v>122</v>
      </c>
      <c r="M45" s="68">
        <v>35</v>
      </c>
    </row>
    <row r="46" spans="1:13" x14ac:dyDescent="0.25">
      <c r="L46" s="69" t="s">
        <v>132</v>
      </c>
      <c r="M46" s="68">
        <v>44</v>
      </c>
    </row>
    <row r="47" spans="1:13" x14ac:dyDescent="0.25">
      <c r="L47" s="69" t="s">
        <v>31</v>
      </c>
      <c r="M47" s="68">
        <v>83</v>
      </c>
    </row>
    <row r="54" spans="12:13" x14ac:dyDescent="0.25">
      <c r="L54" s="71"/>
      <c r="M54" s="68"/>
    </row>
    <row r="55" spans="12:13" x14ac:dyDescent="0.25">
      <c r="L55" s="69"/>
      <c r="M55" s="68"/>
    </row>
    <row r="56" spans="12:13" x14ac:dyDescent="0.25">
      <c r="L56" s="69"/>
      <c r="M56" s="68"/>
    </row>
  </sheetData>
  <conditionalFormatting sqref="I2:I35">
    <cfRule type="expression" dxfId="124" priority="3">
      <formula>$C2="Done"</formula>
    </cfRule>
  </conditionalFormatting>
  <conditionalFormatting sqref="C2:C35">
    <cfRule type="expression" dxfId="123" priority="1">
      <formula>C2="Done"</formula>
    </cfRule>
  </conditionalFormatting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7" name="Button 3">
              <controlPr defaultSize="0" print="0" autoFill="0" autoPict="0" macro="[0]!ResetSprintData">
                <anchor moveWithCells="1" sizeWithCells="1">
                  <from>
                    <xdr:col>19</xdr:col>
                    <xdr:colOff>952500</xdr:colOff>
                    <xdr:row>7</xdr:row>
                    <xdr:rowOff>9525</xdr:rowOff>
                  </from>
                  <to>
                    <xdr:col>24</xdr:col>
                    <xdr:colOff>0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7">
    <tablePart r:id="rId8"/>
    <tablePart r:id="rId9"/>
    <tablePart r:id="rId10"/>
    <tablePart r:id="rId11"/>
    <tablePart r:id="rId12"/>
    <tablePart r:id="rId13"/>
    <tablePart r:id="rId14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5"/>
  <dimension ref="A1:W60"/>
  <sheetViews>
    <sheetView workbookViewId="0">
      <selection activeCell="T11" sqref="T11"/>
    </sheetView>
  </sheetViews>
  <sheetFormatPr defaultRowHeight="15" x14ac:dyDescent="0.25"/>
  <cols>
    <col min="1" max="1" width="12.28515625" customWidth="1"/>
    <col min="2" max="2" width="11" customWidth="1"/>
    <col min="3" max="3" width="10.7109375" customWidth="1"/>
    <col min="4" max="4" width="8.85546875" customWidth="1"/>
    <col min="5" max="5" width="12.28515625" customWidth="1"/>
    <col min="6" max="6" width="14.42578125" customWidth="1"/>
    <col min="7" max="7" width="11.5703125" customWidth="1"/>
    <col min="8" max="8" width="4.5703125" customWidth="1"/>
    <col min="9" max="9" width="12" customWidth="1"/>
    <col min="10" max="10" width="10.85546875" hidden="1" customWidth="1"/>
    <col min="11" max="11" width="13.140625" hidden="1" customWidth="1"/>
    <col min="12" max="12" width="18.42578125" hidden="1" customWidth="1"/>
    <col min="13" max="13" width="4.28515625" customWidth="1"/>
    <col min="14" max="14" width="16.5703125" customWidth="1"/>
    <col min="15" max="15" width="22.7109375" customWidth="1"/>
    <col min="16" max="16" width="19" customWidth="1"/>
    <col min="17" max="17" width="16.28515625" customWidth="1"/>
    <col min="18" max="18" width="16.5703125" customWidth="1"/>
    <col min="19" max="19" width="16.140625" customWidth="1"/>
    <col min="20" max="20" width="13.140625" customWidth="1"/>
    <col min="21" max="21" width="4.140625" customWidth="1"/>
    <col min="22" max="23" width="15.42578125" customWidth="1"/>
  </cols>
  <sheetData>
    <row r="1" spans="1:23" ht="30" x14ac:dyDescent="0.25">
      <c r="A1" t="s">
        <v>48</v>
      </c>
      <c r="B1" t="s">
        <v>47</v>
      </c>
      <c r="C1" t="s">
        <v>46</v>
      </c>
      <c r="D1" t="s">
        <v>38</v>
      </c>
      <c r="E1" t="s">
        <v>45</v>
      </c>
      <c r="F1" t="s">
        <v>44</v>
      </c>
      <c r="G1" t="s">
        <v>43</v>
      </c>
      <c r="H1" t="s">
        <v>144</v>
      </c>
      <c r="I1" t="s">
        <v>40</v>
      </c>
      <c r="N1" t="s">
        <v>133</v>
      </c>
      <c r="O1" t="s">
        <v>134</v>
      </c>
      <c r="P1" t="s">
        <v>41</v>
      </c>
      <c r="Q1" t="s">
        <v>135</v>
      </c>
      <c r="R1" t="s">
        <v>136</v>
      </c>
      <c r="S1" s="86" t="s">
        <v>143</v>
      </c>
      <c r="T1" s="86" t="s">
        <v>141</v>
      </c>
      <c r="U1" s="80" t="s">
        <v>40</v>
      </c>
      <c r="V1" s="86" t="s">
        <v>142</v>
      </c>
      <c r="W1" s="86" t="s">
        <v>145</v>
      </c>
    </row>
    <row r="2" spans="1:23" x14ac:dyDescent="0.25">
      <c r="A2" t="s">
        <v>215</v>
      </c>
      <c r="B2" t="s">
        <v>34</v>
      </c>
      <c r="C2" t="s">
        <v>216</v>
      </c>
      <c r="D2">
        <v>5</v>
      </c>
      <c r="E2" t="s">
        <v>217</v>
      </c>
      <c r="F2" s="90" t="str">
        <f t="shared" ref="F2:F34" si="0">MID(A2,4,1)</f>
        <v>A</v>
      </c>
      <c r="G2" s="73"/>
      <c r="H2" s="73" t="s">
        <v>35</v>
      </c>
      <c r="I2" s="91" t="str">
        <f t="shared" ref="I2:I34" si="1">IF(B2="Done", IF(H2&lt;&gt;"Y", "ERR",""),"")</f>
        <v/>
      </c>
      <c r="N2" t="s">
        <v>2</v>
      </c>
      <c r="O2">
        <f>+O13-Table917[[#This Row],[Blocked]]</f>
        <v>55</v>
      </c>
      <c r="P2">
        <f>IF(ISERR(P13),0,P13)</f>
        <v>1</v>
      </c>
      <c r="Q2">
        <f>IF(ISERR(Q13),0,Q13)</f>
        <v>0</v>
      </c>
      <c r="R2">
        <f>+IF(ISERR(R17),0,R17)</f>
        <v>48</v>
      </c>
      <c r="S2" s="88">
        <f>Table917[[#This Row],[Completed]]/Table917[[#This Row],[Committed]]</f>
        <v>0.87272727272727268</v>
      </c>
      <c r="T2" s="83">
        <f>Table917[[#This Row],[Completed]]/(Table917[[#This Row],[Added]]+Table917[[#This Row],[Committed]])</f>
        <v>0.8571428571428571</v>
      </c>
      <c r="V2" s="84" t="str">
        <f>IF(ISERR(O17),0,O17) &amp; "  (" &amp;TEXT(IF(ISERR(O17),0,O17)/Table917[[#This Row],[Committed]],"#%") &amp; ")"</f>
        <v>47  (85%)</v>
      </c>
      <c r="W2" s="85" t="str">
        <f>+IF(ISERR(P17),0,P17) &amp; " (" &amp; TEXT(R21, "#%") &amp; ")"</f>
        <v>1 (100%)</v>
      </c>
    </row>
    <row r="3" spans="1:23" x14ac:dyDescent="0.25">
      <c r="A3" t="s">
        <v>213</v>
      </c>
      <c r="B3" t="s">
        <v>34</v>
      </c>
      <c r="C3" t="s">
        <v>214</v>
      </c>
      <c r="D3">
        <v>5</v>
      </c>
      <c r="E3" t="s">
        <v>152</v>
      </c>
      <c r="F3" s="90" t="str">
        <f t="shared" si="0"/>
        <v>A</v>
      </c>
      <c r="G3" s="73"/>
      <c r="H3" s="73" t="s">
        <v>35</v>
      </c>
      <c r="I3" s="91" t="str">
        <f t="shared" si="1"/>
        <v/>
      </c>
      <c r="N3" t="s">
        <v>137</v>
      </c>
      <c r="O3">
        <f>+O14-Table917[[#This Row],[Blocked]]</f>
        <v>60</v>
      </c>
      <c r="P3">
        <f>IF(ISERR(P14),0,P14)</f>
        <v>15</v>
      </c>
      <c r="Q3">
        <f>IF(ISERR(Q14),0,Q14)</f>
        <v>0</v>
      </c>
      <c r="R3">
        <f>+IF(ISERR(R18),0,R18)</f>
        <v>72</v>
      </c>
      <c r="S3" s="83">
        <f>Table917[[#This Row],[Completed]]/Table917[[#This Row],[Committed]]</f>
        <v>1.2</v>
      </c>
      <c r="T3" s="83">
        <f>Table917[[#This Row],[Completed]]/(Table917[[#This Row],[Added]]+Table917[[#This Row],[Committed]])</f>
        <v>0.96</v>
      </c>
      <c r="V3" s="84" t="str">
        <f>IF(ISERR(O18),0,O18) &amp; "  (" &amp;TEXT(IF(ISERR(O18),0,O18)/Table917[[#This Row],[Committed]],"#%") &amp; ")"</f>
        <v>57  (95%)</v>
      </c>
      <c r="W3" s="85" t="str">
        <f>+IF(ISERR(P18),0,P18) &amp; " (" &amp; TEXT(R22, "#%") &amp; ")"</f>
        <v>15 (100%)</v>
      </c>
    </row>
    <row r="4" spans="1:23" x14ac:dyDescent="0.25">
      <c r="A4" t="s">
        <v>211</v>
      </c>
      <c r="B4" t="s">
        <v>34</v>
      </c>
      <c r="C4" t="s">
        <v>212</v>
      </c>
      <c r="D4">
        <v>3</v>
      </c>
      <c r="E4" t="s">
        <v>210</v>
      </c>
      <c r="F4" s="73" t="str">
        <f t="shared" si="0"/>
        <v>A</v>
      </c>
      <c r="G4" s="73"/>
      <c r="H4" s="73" t="s">
        <v>35</v>
      </c>
      <c r="I4" s="79" t="str">
        <f t="shared" si="1"/>
        <v/>
      </c>
      <c r="Q4" t="s">
        <v>140</v>
      </c>
    </row>
    <row r="5" spans="1:23" x14ac:dyDescent="0.25">
      <c r="A5" t="s">
        <v>208</v>
      </c>
      <c r="B5" t="s">
        <v>34</v>
      </c>
      <c r="C5" t="s">
        <v>209</v>
      </c>
      <c r="D5">
        <v>5</v>
      </c>
      <c r="E5" t="s">
        <v>210</v>
      </c>
      <c r="F5" s="73" t="str">
        <f t="shared" si="0"/>
        <v>A</v>
      </c>
      <c r="G5" s="73"/>
      <c r="H5" s="73" t="s">
        <v>35</v>
      </c>
      <c r="I5" s="79" t="str">
        <f t="shared" si="1"/>
        <v/>
      </c>
    </row>
    <row r="6" spans="1:23" x14ac:dyDescent="0.25">
      <c r="A6" t="s">
        <v>206</v>
      </c>
      <c r="B6" t="s">
        <v>34</v>
      </c>
      <c r="C6" t="s">
        <v>207</v>
      </c>
      <c r="D6">
        <v>5</v>
      </c>
      <c r="E6" t="s">
        <v>203</v>
      </c>
      <c r="F6" s="73" t="str">
        <f t="shared" si="0"/>
        <v>A</v>
      </c>
      <c r="G6" s="73"/>
      <c r="H6" s="73" t="s">
        <v>35</v>
      </c>
      <c r="I6" s="79" t="str">
        <f t="shared" si="1"/>
        <v/>
      </c>
    </row>
    <row r="7" spans="1:23" x14ac:dyDescent="0.25">
      <c r="A7" t="s">
        <v>204</v>
      </c>
      <c r="B7" t="s">
        <v>34</v>
      </c>
      <c r="C7" t="s">
        <v>205</v>
      </c>
      <c r="D7">
        <v>5</v>
      </c>
      <c r="E7" t="s">
        <v>203</v>
      </c>
      <c r="F7" s="73" t="str">
        <f t="shared" si="0"/>
        <v>A</v>
      </c>
      <c r="G7" s="73"/>
      <c r="H7" s="73" t="s">
        <v>35</v>
      </c>
      <c r="I7" s="79" t="str">
        <f t="shared" si="1"/>
        <v/>
      </c>
    </row>
    <row r="8" spans="1:23" x14ac:dyDescent="0.25">
      <c r="A8" t="s">
        <v>201</v>
      </c>
      <c r="B8" t="s">
        <v>34</v>
      </c>
      <c r="C8" t="s">
        <v>202</v>
      </c>
      <c r="D8">
        <v>5</v>
      </c>
      <c r="E8" t="s">
        <v>203</v>
      </c>
      <c r="F8" s="73" t="str">
        <f t="shared" si="0"/>
        <v>A</v>
      </c>
      <c r="G8" s="73"/>
      <c r="H8" s="73" t="s">
        <v>35</v>
      </c>
      <c r="I8" s="79" t="str">
        <f t="shared" si="1"/>
        <v/>
      </c>
    </row>
    <row r="9" spans="1:23" x14ac:dyDescent="0.25">
      <c r="A9" t="s">
        <v>199</v>
      </c>
      <c r="B9" t="s">
        <v>34</v>
      </c>
      <c r="C9" t="s">
        <v>200</v>
      </c>
      <c r="D9">
        <v>1</v>
      </c>
      <c r="E9" t="s">
        <v>196</v>
      </c>
      <c r="F9" s="73" t="str">
        <f t="shared" si="0"/>
        <v>A</v>
      </c>
      <c r="G9" s="73"/>
      <c r="H9" s="73" t="s">
        <v>35</v>
      </c>
      <c r="I9" s="79" t="str">
        <f t="shared" si="1"/>
        <v/>
      </c>
    </row>
    <row r="10" spans="1:23" x14ac:dyDescent="0.25">
      <c r="A10" t="s">
        <v>197</v>
      </c>
      <c r="B10" t="s">
        <v>34</v>
      </c>
      <c r="C10" t="s">
        <v>198</v>
      </c>
      <c r="D10">
        <v>5</v>
      </c>
      <c r="E10" t="s">
        <v>196</v>
      </c>
      <c r="F10" s="73" t="str">
        <f t="shared" si="0"/>
        <v>A</v>
      </c>
      <c r="G10" s="73"/>
      <c r="H10" s="73" t="s">
        <v>35</v>
      </c>
      <c r="I10" s="79" t="str">
        <f t="shared" si="1"/>
        <v/>
      </c>
    </row>
    <row r="11" spans="1:23" x14ac:dyDescent="0.25">
      <c r="A11" t="s">
        <v>194</v>
      </c>
      <c r="B11" t="s">
        <v>34</v>
      </c>
      <c r="C11" t="s">
        <v>195</v>
      </c>
      <c r="D11">
        <v>3</v>
      </c>
      <c r="E11" t="s">
        <v>196</v>
      </c>
      <c r="F11" s="73" t="str">
        <f t="shared" si="0"/>
        <v>A</v>
      </c>
      <c r="G11" s="73"/>
      <c r="H11" s="73" t="s">
        <v>35</v>
      </c>
      <c r="I11" s="79" t="str">
        <f t="shared" si="1"/>
        <v/>
      </c>
      <c r="K11" s="72" t="s">
        <v>119</v>
      </c>
      <c r="L11" t="s">
        <v>120</v>
      </c>
      <c r="N11" t="s">
        <v>139</v>
      </c>
      <c r="R11" t="s">
        <v>138</v>
      </c>
    </row>
    <row r="12" spans="1:23" x14ac:dyDescent="0.25">
      <c r="A12" t="s">
        <v>192</v>
      </c>
      <c r="B12" t="s">
        <v>34</v>
      </c>
      <c r="C12" t="s">
        <v>193</v>
      </c>
      <c r="D12">
        <v>1</v>
      </c>
      <c r="E12" t="s">
        <v>152</v>
      </c>
      <c r="F12" s="73" t="str">
        <f t="shared" si="0"/>
        <v>A</v>
      </c>
      <c r="G12" s="73" t="s">
        <v>35</v>
      </c>
      <c r="H12" s="73" t="s">
        <v>35</v>
      </c>
      <c r="I12" s="79" t="str">
        <f t="shared" si="1"/>
        <v/>
      </c>
      <c r="K12" s="69" t="s">
        <v>37</v>
      </c>
      <c r="L12" s="68">
        <v>56</v>
      </c>
      <c r="N12" t="s">
        <v>133</v>
      </c>
      <c r="O12" t="s">
        <v>42</v>
      </c>
      <c r="P12" t="s">
        <v>41</v>
      </c>
      <c r="Q12" s="82" t="s">
        <v>135</v>
      </c>
      <c r="R12" t="s">
        <v>128</v>
      </c>
    </row>
    <row r="13" spans="1:23" x14ac:dyDescent="0.25">
      <c r="A13" t="s">
        <v>218</v>
      </c>
      <c r="B13" t="s">
        <v>34</v>
      </c>
      <c r="C13" t="s">
        <v>219</v>
      </c>
      <c r="D13">
        <v>5</v>
      </c>
      <c r="E13" t="s">
        <v>217</v>
      </c>
      <c r="F13" s="90" t="str">
        <f t="shared" si="0"/>
        <v>A</v>
      </c>
      <c r="G13" s="73"/>
      <c r="H13" s="73" t="s">
        <v>35</v>
      </c>
      <c r="I13" s="91" t="str">
        <f t="shared" si="1"/>
        <v/>
      </c>
      <c r="K13" s="71" t="s">
        <v>34</v>
      </c>
      <c r="L13" s="68">
        <v>48</v>
      </c>
      <c r="N13" t="s">
        <v>2</v>
      </c>
      <c r="O13">
        <f>+GETPIVOTDATA("Story Points2",$K$22,"Project","A","Added After",)</f>
        <v>55</v>
      </c>
      <c r="P13">
        <f>+GETPIVOTDATA("Story Points2",$K$22,"Project","A","Added After","Y")</f>
        <v>1</v>
      </c>
      <c r="Q13" s="81" t="e">
        <f>GETPIVOTDATA("Story Points2",$K$11,"Status","Blocked","Project","A")</f>
        <v>#REF!</v>
      </c>
      <c r="R13">
        <f t="shared" ref="R13:R14" si="2">+IF(ISERR(P13),0,P13)+IF(ISERR(O13),0,O13)</f>
        <v>56</v>
      </c>
    </row>
    <row r="14" spans="1:23" x14ac:dyDescent="0.25">
      <c r="A14" t="s">
        <v>56</v>
      </c>
      <c r="B14" t="s">
        <v>33</v>
      </c>
      <c r="C14" t="s">
        <v>57</v>
      </c>
      <c r="D14">
        <v>8</v>
      </c>
      <c r="E14" t="s">
        <v>210</v>
      </c>
      <c r="F14" s="90" t="str">
        <f t="shared" si="0"/>
        <v>A</v>
      </c>
      <c r="G14" s="73"/>
      <c r="H14" s="73"/>
      <c r="I14" s="91" t="str">
        <f t="shared" si="1"/>
        <v/>
      </c>
      <c r="K14" s="71" t="s">
        <v>33</v>
      </c>
      <c r="L14" s="68">
        <v>8</v>
      </c>
      <c r="N14" t="s">
        <v>3</v>
      </c>
      <c r="O14">
        <f>+GETPIVOTDATA("Story Points2",$K$22,"Project","U","Added After",)</f>
        <v>60</v>
      </c>
      <c r="P14">
        <f>+GETPIVOTDATA("Story Points2",$K$22,"Project","U","Added After","Y")</f>
        <v>15</v>
      </c>
      <c r="Q14" s="81" t="e">
        <f>GETPIVOTDATA("Story Points2",$K$11,"Status","Blocked","Project","U")</f>
        <v>#REF!</v>
      </c>
      <c r="R14">
        <f t="shared" si="2"/>
        <v>75</v>
      </c>
    </row>
    <row r="15" spans="1:23" x14ac:dyDescent="0.25">
      <c r="A15" t="s">
        <v>190</v>
      </c>
      <c r="B15" t="s">
        <v>34</v>
      </c>
      <c r="C15" t="s">
        <v>191</v>
      </c>
      <c r="D15">
        <v>3</v>
      </c>
      <c r="E15" t="s">
        <v>184</v>
      </c>
      <c r="F15" s="73" t="str">
        <f t="shared" si="0"/>
        <v>U</v>
      </c>
      <c r="G15" s="73"/>
      <c r="H15" s="73" t="s">
        <v>35</v>
      </c>
      <c r="I15" s="79" t="str">
        <f t="shared" si="1"/>
        <v/>
      </c>
      <c r="K15" s="69" t="s">
        <v>36</v>
      </c>
      <c r="L15" s="68">
        <v>75</v>
      </c>
    </row>
    <row r="16" spans="1:23" x14ac:dyDescent="0.25">
      <c r="A16" t="s">
        <v>82</v>
      </c>
      <c r="B16" t="s">
        <v>33</v>
      </c>
      <c r="C16" t="s">
        <v>83</v>
      </c>
      <c r="D16">
        <v>3</v>
      </c>
      <c r="E16" t="s">
        <v>158</v>
      </c>
      <c r="F16" s="73" t="str">
        <f t="shared" si="0"/>
        <v>U</v>
      </c>
      <c r="G16" s="73"/>
      <c r="H16" s="73"/>
      <c r="I16" s="79" t="str">
        <f t="shared" si="1"/>
        <v/>
      </c>
      <c r="K16" s="71" t="s">
        <v>34</v>
      </c>
      <c r="L16" s="68">
        <v>72</v>
      </c>
      <c r="N16" t="s">
        <v>34</v>
      </c>
      <c r="O16" t="s">
        <v>126</v>
      </c>
      <c r="P16" t="s">
        <v>125</v>
      </c>
      <c r="Q16" s="80" t="s">
        <v>40</v>
      </c>
      <c r="R16" t="s">
        <v>127</v>
      </c>
    </row>
    <row r="17" spans="1:18" x14ac:dyDescent="0.25">
      <c r="A17" t="s">
        <v>187</v>
      </c>
      <c r="B17" t="s">
        <v>34</v>
      </c>
      <c r="C17" t="s">
        <v>188</v>
      </c>
      <c r="D17">
        <v>3</v>
      </c>
      <c r="E17" t="s">
        <v>189</v>
      </c>
      <c r="F17" s="73" t="str">
        <f t="shared" si="0"/>
        <v>U</v>
      </c>
      <c r="G17" s="73"/>
      <c r="H17" s="73" t="s">
        <v>35</v>
      </c>
      <c r="I17" s="79" t="str">
        <f t="shared" si="1"/>
        <v/>
      </c>
      <c r="K17" s="71" t="s">
        <v>33</v>
      </c>
      <c r="L17" s="68">
        <v>3</v>
      </c>
      <c r="N17" t="s">
        <v>2</v>
      </c>
      <c r="O17">
        <f>+GETPIVOTDATA("Story Points2",$K$22,"Status","Done","Project","A","Added After",)</f>
        <v>47</v>
      </c>
      <c r="P17">
        <f>+GETPIVOTDATA("Story Points2",$K$22,"Status","Done","Project","A","Added After","Y")</f>
        <v>1</v>
      </c>
      <c r="R17">
        <f t="shared" ref="R17:R18" si="3">+IF(ISERR(P17),0,P17)+IF(ISERR(O17),0,O17)</f>
        <v>48</v>
      </c>
    </row>
    <row r="18" spans="1:18" x14ac:dyDescent="0.25">
      <c r="A18" t="s">
        <v>185</v>
      </c>
      <c r="B18" t="s">
        <v>34</v>
      </c>
      <c r="C18" t="s">
        <v>186</v>
      </c>
      <c r="D18">
        <v>2</v>
      </c>
      <c r="E18" t="s">
        <v>184</v>
      </c>
      <c r="F18" s="73" t="str">
        <f t="shared" si="0"/>
        <v>U</v>
      </c>
      <c r="G18" s="73"/>
      <c r="H18" s="73" t="s">
        <v>35</v>
      </c>
      <c r="I18" s="79" t="str">
        <f t="shared" si="1"/>
        <v/>
      </c>
      <c r="K18" s="69" t="s">
        <v>31</v>
      </c>
      <c r="L18" s="68">
        <v>131</v>
      </c>
      <c r="N18" t="s">
        <v>3</v>
      </c>
      <c r="O18">
        <f>+GETPIVOTDATA("Story Points2",$K$22,"Status","Done","Project","U","Added After",)</f>
        <v>57</v>
      </c>
      <c r="P18">
        <f>+GETPIVOTDATA("Story Points2",$K$22,"Status","Done","Project","U","Added After","Y")</f>
        <v>15</v>
      </c>
      <c r="R18">
        <f t="shared" si="3"/>
        <v>72</v>
      </c>
    </row>
    <row r="19" spans="1:18" x14ac:dyDescent="0.25">
      <c r="A19" t="s">
        <v>182</v>
      </c>
      <c r="B19" t="s">
        <v>34</v>
      </c>
      <c r="C19" t="s">
        <v>183</v>
      </c>
      <c r="D19">
        <v>2</v>
      </c>
      <c r="E19" t="s">
        <v>184</v>
      </c>
      <c r="F19" s="73" t="str">
        <f t="shared" si="0"/>
        <v>U</v>
      </c>
      <c r="G19" s="73"/>
      <c r="H19" s="73" t="s">
        <v>35</v>
      </c>
      <c r="I19" s="79" t="str">
        <f t="shared" si="1"/>
        <v/>
      </c>
    </row>
    <row r="20" spans="1:18" x14ac:dyDescent="0.25">
      <c r="A20" t="s">
        <v>180</v>
      </c>
      <c r="B20" t="s">
        <v>34</v>
      </c>
      <c r="C20" t="s">
        <v>181</v>
      </c>
      <c r="D20">
        <v>5</v>
      </c>
      <c r="F20" s="73" t="str">
        <f t="shared" si="0"/>
        <v>U</v>
      </c>
      <c r="G20" s="73"/>
      <c r="H20" s="73" t="s">
        <v>35</v>
      </c>
      <c r="I20" s="79" t="str">
        <f t="shared" si="1"/>
        <v/>
      </c>
      <c r="N20" t="s">
        <v>34</v>
      </c>
      <c r="O20" t="s">
        <v>123</v>
      </c>
      <c r="P20" t="s">
        <v>124</v>
      </c>
      <c r="Q20" t="s">
        <v>126</v>
      </c>
      <c r="R20" t="s">
        <v>125</v>
      </c>
    </row>
    <row r="21" spans="1:18" x14ac:dyDescent="0.25">
      <c r="A21" t="s">
        <v>177</v>
      </c>
      <c r="B21" t="s">
        <v>34</v>
      </c>
      <c r="C21" t="s">
        <v>178</v>
      </c>
      <c r="D21">
        <v>5</v>
      </c>
      <c r="E21" t="s">
        <v>179</v>
      </c>
      <c r="F21" s="73" t="str">
        <f t="shared" si="0"/>
        <v>U</v>
      </c>
      <c r="G21" s="73"/>
      <c r="H21" s="73" t="s">
        <v>35</v>
      </c>
      <c r="I21" s="79" t="str">
        <f t="shared" si="1"/>
        <v/>
      </c>
      <c r="N21" t="s">
        <v>2</v>
      </c>
      <c r="O21" s="87">
        <f>+R17/O13</f>
        <v>0.87272727272727268</v>
      </c>
      <c r="P21" s="64">
        <f t="shared" ref="P21:P22" si="4">+IF(ISERR(R17),0,R17)/IF(ISERR(R13),1,R13)</f>
        <v>0.8571428571428571</v>
      </c>
      <c r="Q21" s="64">
        <f t="shared" ref="Q21:R22" si="5">+IF(ISERR(O17),0,O17)/IF(ISERR(O13),1,O13)</f>
        <v>0.8545454545454545</v>
      </c>
      <c r="R21" s="64">
        <f t="shared" si="5"/>
        <v>1</v>
      </c>
    </row>
    <row r="22" spans="1:18" x14ac:dyDescent="0.25">
      <c r="A22" t="s">
        <v>175</v>
      </c>
      <c r="B22" t="s">
        <v>34</v>
      </c>
      <c r="C22" t="s">
        <v>176</v>
      </c>
      <c r="D22">
        <v>5</v>
      </c>
      <c r="E22" t="s">
        <v>155</v>
      </c>
      <c r="F22" s="73" t="str">
        <f t="shared" si="0"/>
        <v>U</v>
      </c>
      <c r="G22" s="73"/>
      <c r="H22" s="73" t="s">
        <v>35</v>
      </c>
      <c r="I22" s="79" t="str">
        <f t="shared" si="1"/>
        <v/>
      </c>
      <c r="K22" s="72" t="s">
        <v>121</v>
      </c>
      <c r="L22" t="s">
        <v>120</v>
      </c>
      <c r="N22" t="s">
        <v>3</v>
      </c>
      <c r="O22" s="64">
        <f>+R18/O14</f>
        <v>1.2</v>
      </c>
      <c r="P22" s="64">
        <f t="shared" si="4"/>
        <v>0.96</v>
      </c>
      <c r="Q22" s="64">
        <f t="shared" si="5"/>
        <v>0.95</v>
      </c>
      <c r="R22" s="64">
        <f t="shared" si="5"/>
        <v>1</v>
      </c>
    </row>
    <row r="23" spans="1:18" x14ac:dyDescent="0.25">
      <c r="A23" t="s">
        <v>173</v>
      </c>
      <c r="B23" t="s">
        <v>34</v>
      </c>
      <c r="C23" t="s">
        <v>174</v>
      </c>
      <c r="D23">
        <v>5</v>
      </c>
      <c r="E23" t="s">
        <v>155</v>
      </c>
      <c r="F23" s="73" t="str">
        <f t="shared" si="0"/>
        <v>U</v>
      </c>
      <c r="G23" s="73"/>
      <c r="H23" s="73" t="s">
        <v>35</v>
      </c>
      <c r="I23" s="79" t="str">
        <f t="shared" si="1"/>
        <v/>
      </c>
      <c r="K23" s="69" t="s">
        <v>35</v>
      </c>
      <c r="L23" s="68">
        <v>16</v>
      </c>
    </row>
    <row r="24" spans="1:18" x14ac:dyDescent="0.25">
      <c r="A24" t="s">
        <v>171</v>
      </c>
      <c r="B24" t="s">
        <v>34</v>
      </c>
      <c r="C24" t="s">
        <v>172</v>
      </c>
      <c r="D24">
        <v>3</v>
      </c>
      <c r="E24" t="s">
        <v>155</v>
      </c>
      <c r="F24" s="73" t="str">
        <f t="shared" si="0"/>
        <v>U</v>
      </c>
      <c r="G24" s="73"/>
      <c r="H24" s="73" t="s">
        <v>35</v>
      </c>
      <c r="I24" s="79" t="str">
        <f t="shared" si="1"/>
        <v/>
      </c>
      <c r="K24" s="71" t="s">
        <v>37</v>
      </c>
      <c r="L24" s="68">
        <v>1</v>
      </c>
      <c r="N24" t="s">
        <v>49</v>
      </c>
      <c r="O24" t="s">
        <v>126</v>
      </c>
      <c r="P24" t="s">
        <v>125</v>
      </c>
      <c r="Q24" s="80" t="s">
        <v>40</v>
      </c>
      <c r="R24" t="s">
        <v>129</v>
      </c>
    </row>
    <row r="25" spans="1:18" x14ac:dyDescent="0.25">
      <c r="A25" t="s">
        <v>169</v>
      </c>
      <c r="B25" t="s">
        <v>34</v>
      </c>
      <c r="C25" t="s">
        <v>170</v>
      </c>
      <c r="D25">
        <v>3</v>
      </c>
      <c r="E25" t="s">
        <v>155</v>
      </c>
      <c r="F25" s="73" t="str">
        <f t="shared" si="0"/>
        <v>U</v>
      </c>
      <c r="G25" s="73"/>
      <c r="H25" s="73" t="s">
        <v>35</v>
      </c>
      <c r="I25" s="79" t="str">
        <f t="shared" si="1"/>
        <v/>
      </c>
      <c r="K25" s="70" t="s">
        <v>34</v>
      </c>
      <c r="L25" s="68">
        <v>1</v>
      </c>
      <c r="N25" t="s">
        <v>2</v>
      </c>
      <c r="O25">
        <f>+GETPIVOTDATA("Story Points",$K$42,"Project","A","Added After",)</f>
        <v>47</v>
      </c>
      <c r="P25">
        <f>+GETPIVOTDATA("Story Points",$K$42,"Project","A","Added After","Y")</f>
        <v>1</v>
      </c>
      <c r="R25">
        <f>+IF(ISERR(P25),0,P25)+IF(ISERR(O25),0,O25)</f>
        <v>48</v>
      </c>
    </row>
    <row r="26" spans="1:18" x14ac:dyDescent="0.25">
      <c r="A26" t="s">
        <v>167</v>
      </c>
      <c r="B26" t="s">
        <v>34</v>
      </c>
      <c r="C26" t="s">
        <v>168</v>
      </c>
      <c r="D26">
        <v>3</v>
      </c>
      <c r="E26" t="s">
        <v>108</v>
      </c>
      <c r="F26" s="73" t="str">
        <f t="shared" si="0"/>
        <v>U</v>
      </c>
      <c r="G26" s="73"/>
      <c r="H26" s="73" t="s">
        <v>35</v>
      </c>
      <c r="I26" s="79" t="str">
        <f t="shared" si="1"/>
        <v/>
      </c>
      <c r="K26" s="71" t="s">
        <v>36</v>
      </c>
      <c r="L26" s="68">
        <v>15</v>
      </c>
      <c r="N26" t="s">
        <v>3</v>
      </c>
      <c r="O26">
        <f>+GETPIVOTDATA("Story Points",$K$42,"Project","U","Added After",)</f>
        <v>57</v>
      </c>
      <c r="P26">
        <f>+GETPIVOTDATA("Story Points",$K$42,"Project","U","Added After","Y")</f>
        <v>15</v>
      </c>
      <c r="R26">
        <f>+IF(ISERR(P26),0,P26)+IF(ISERR(O26),0,O26)</f>
        <v>72</v>
      </c>
    </row>
    <row r="27" spans="1:18" x14ac:dyDescent="0.25">
      <c r="A27" t="s">
        <v>165</v>
      </c>
      <c r="B27" t="s">
        <v>34</v>
      </c>
      <c r="C27" t="s">
        <v>166</v>
      </c>
      <c r="D27">
        <v>5</v>
      </c>
      <c r="E27" t="s">
        <v>108</v>
      </c>
      <c r="F27" s="73" t="str">
        <f t="shared" si="0"/>
        <v>U</v>
      </c>
      <c r="G27" s="73"/>
      <c r="H27" s="73" t="s">
        <v>35</v>
      </c>
      <c r="I27" s="79" t="str">
        <f t="shared" si="1"/>
        <v/>
      </c>
      <c r="K27" s="70" t="s">
        <v>34</v>
      </c>
      <c r="L27" s="68">
        <v>15</v>
      </c>
    </row>
    <row r="28" spans="1:18" x14ac:dyDescent="0.25">
      <c r="A28" t="s">
        <v>163</v>
      </c>
      <c r="B28" t="s">
        <v>34</v>
      </c>
      <c r="C28" t="s">
        <v>164</v>
      </c>
      <c r="D28">
        <v>5</v>
      </c>
      <c r="E28" t="s">
        <v>108</v>
      </c>
      <c r="F28" s="73" t="str">
        <f t="shared" si="0"/>
        <v>U</v>
      </c>
      <c r="G28" s="73"/>
      <c r="H28" s="73" t="s">
        <v>35</v>
      </c>
      <c r="I28" s="79" t="str">
        <f t="shared" si="1"/>
        <v/>
      </c>
      <c r="K28" s="69" t="s">
        <v>122</v>
      </c>
      <c r="L28" s="68">
        <v>115</v>
      </c>
      <c r="N28" t="s">
        <v>49</v>
      </c>
      <c r="O28" t="s">
        <v>123</v>
      </c>
      <c r="P28" t="s">
        <v>124</v>
      </c>
      <c r="Q28" t="s">
        <v>126</v>
      </c>
      <c r="R28" t="s">
        <v>130</v>
      </c>
    </row>
    <row r="29" spans="1:18" x14ac:dyDescent="0.25">
      <c r="A29" t="s">
        <v>161</v>
      </c>
      <c r="B29" t="s">
        <v>34</v>
      </c>
      <c r="C29" t="s">
        <v>162</v>
      </c>
      <c r="D29">
        <v>8</v>
      </c>
      <c r="E29" t="s">
        <v>108</v>
      </c>
      <c r="F29" s="73" t="str">
        <f t="shared" si="0"/>
        <v>U</v>
      </c>
      <c r="G29" s="73"/>
      <c r="H29" s="73" t="s">
        <v>35</v>
      </c>
      <c r="I29" s="79" t="str">
        <f t="shared" si="1"/>
        <v/>
      </c>
      <c r="K29" s="71" t="s">
        <v>37</v>
      </c>
      <c r="L29" s="68">
        <v>55</v>
      </c>
      <c r="N29" t="s">
        <v>2</v>
      </c>
      <c r="O29" s="64">
        <f t="shared" ref="O29:O30" si="6">IF(ISERR(R25),0,R25)/IF(ISERR(O13), 1,O13)</f>
        <v>0.87272727272727268</v>
      </c>
      <c r="P29" s="64">
        <f t="shared" ref="P29:P30" si="7">IF(ISERR(R25),0,R25)/IF(ISERR(R13),1,R13)</f>
        <v>0.8571428571428571</v>
      </c>
      <c r="Q29" s="64">
        <f t="shared" ref="Q29:R30" si="8">+IF(ISERR(O25),0,O25)/IF(ISERR(O13),1,O13)</f>
        <v>0.8545454545454545</v>
      </c>
      <c r="R29" s="64">
        <f t="shared" si="8"/>
        <v>1</v>
      </c>
    </row>
    <row r="30" spans="1:18" x14ac:dyDescent="0.25">
      <c r="A30" t="s">
        <v>159</v>
      </c>
      <c r="B30" t="s">
        <v>34</v>
      </c>
      <c r="C30" t="s">
        <v>160</v>
      </c>
      <c r="D30">
        <v>5</v>
      </c>
      <c r="E30" t="s">
        <v>152</v>
      </c>
      <c r="F30" s="73" t="str">
        <f t="shared" si="0"/>
        <v>U</v>
      </c>
      <c r="G30" s="73" t="s">
        <v>35</v>
      </c>
      <c r="H30" s="73" t="s">
        <v>35</v>
      </c>
      <c r="I30" s="79" t="str">
        <f t="shared" si="1"/>
        <v/>
      </c>
      <c r="K30" s="70" t="s">
        <v>34</v>
      </c>
      <c r="L30" s="68">
        <v>47</v>
      </c>
      <c r="N30" t="s">
        <v>3</v>
      </c>
      <c r="O30" s="64">
        <f t="shared" si="6"/>
        <v>1.2</v>
      </c>
      <c r="P30" s="64">
        <f t="shared" si="7"/>
        <v>0.96</v>
      </c>
      <c r="Q30" s="64">
        <f t="shared" si="8"/>
        <v>0.95</v>
      </c>
      <c r="R30" s="64">
        <f t="shared" si="8"/>
        <v>1</v>
      </c>
    </row>
    <row r="31" spans="1:18" x14ac:dyDescent="0.25">
      <c r="A31" t="s">
        <v>156</v>
      </c>
      <c r="B31" t="s">
        <v>34</v>
      </c>
      <c r="C31" t="s">
        <v>157</v>
      </c>
      <c r="D31">
        <v>1</v>
      </c>
      <c r="E31" t="s">
        <v>158</v>
      </c>
      <c r="F31" s="73" t="str">
        <f t="shared" si="0"/>
        <v>U</v>
      </c>
      <c r="G31" s="73" t="s">
        <v>35</v>
      </c>
      <c r="H31" s="73" t="s">
        <v>35</v>
      </c>
      <c r="I31" s="79" t="str">
        <f t="shared" si="1"/>
        <v/>
      </c>
      <c r="K31" s="70" t="s">
        <v>33</v>
      </c>
      <c r="L31" s="68">
        <v>8</v>
      </c>
    </row>
    <row r="32" spans="1:18" x14ac:dyDescent="0.25">
      <c r="A32" t="s">
        <v>153</v>
      </c>
      <c r="B32" t="s">
        <v>34</v>
      </c>
      <c r="C32" t="s">
        <v>154</v>
      </c>
      <c r="D32">
        <v>3</v>
      </c>
      <c r="E32" t="s">
        <v>155</v>
      </c>
      <c r="F32" s="73" t="str">
        <f t="shared" si="0"/>
        <v>U</v>
      </c>
      <c r="G32" s="73" t="s">
        <v>35</v>
      </c>
      <c r="H32" s="73" t="s">
        <v>35</v>
      </c>
      <c r="I32" s="79" t="str">
        <f t="shared" si="1"/>
        <v/>
      </c>
      <c r="K32" s="71" t="s">
        <v>36</v>
      </c>
      <c r="L32" s="68">
        <v>60</v>
      </c>
    </row>
    <row r="33" spans="1:12" x14ac:dyDescent="0.25">
      <c r="A33" t="s">
        <v>150</v>
      </c>
      <c r="B33" t="s">
        <v>34</v>
      </c>
      <c r="C33" t="s">
        <v>151</v>
      </c>
      <c r="D33">
        <v>5</v>
      </c>
      <c r="E33" t="s">
        <v>152</v>
      </c>
      <c r="F33" s="73" t="str">
        <f t="shared" si="0"/>
        <v>U</v>
      </c>
      <c r="G33" s="73" t="s">
        <v>35</v>
      </c>
      <c r="H33" s="73" t="s">
        <v>35</v>
      </c>
      <c r="I33" s="79" t="str">
        <f t="shared" si="1"/>
        <v/>
      </c>
      <c r="K33" s="70" t="s">
        <v>34</v>
      </c>
      <c r="L33" s="68">
        <v>57</v>
      </c>
    </row>
    <row r="34" spans="1:12" x14ac:dyDescent="0.25">
      <c r="A34" t="s">
        <v>148</v>
      </c>
      <c r="B34" t="s">
        <v>34</v>
      </c>
      <c r="C34" t="s">
        <v>149</v>
      </c>
      <c r="D34">
        <v>1</v>
      </c>
      <c r="E34" t="s">
        <v>108</v>
      </c>
      <c r="F34" s="73" t="str">
        <f t="shared" si="0"/>
        <v>U</v>
      </c>
      <c r="G34" s="73" t="s">
        <v>35</v>
      </c>
      <c r="H34" s="73" t="s">
        <v>35</v>
      </c>
      <c r="I34" s="79" t="str">
        <f t="shared" si="1"/>
        <v/>
      </c>
      <c r="K34" s="70" t="s">
        <v>33</v>
      </c>
      <c r="L34" s="68">
        <v>3</v>
      </c>
    </row>
    <row r="35" spans="1:12" x14ac:dyDescent="0.25">
      <c r="K35" s="69" t="s">
        <v>31</v>
      </c>
      <c r="L35" s="68">
        <v>131</v>
      </c>
    </row>
    <row r="40" spans="1:12" x14ac:dyDescent="0.25">
      <c r="K40" s="72" t="s">
        <v>144</v>
      </c>
      <c r="L40" s="160" t="s">
        <v>35</v>
      </c>
    </row>
    <row r="42" spans="1:12" x14ac:dyDescent="0.25">
      <c r="K42" s="72" t="s">
        <v>39</v>
      </c>
      <c r="L42" t="s">
        <v>50</v>
      </c>
    </row>
    <row r="43" spans="1:12" x14ac:dyDescent="0.25">
      <c r="K43" s="69" t="s">
        <v>37</v>
      </c>
      <c r="L43" s="68"/>
    </row>
    <row r="44" spans="1:12" x14ac:dyDescent="0.25">
      <c r="K44" s="71" t="s">
        <v>35</v>
      </c>
      <c r="L44" s="68">
        <v>1</v>
      </c>
    </row>
    <row r="45" spans="1:12" x14ac:dyDescent="0.25">
      <c r="K45" s="71" t="s">
        <v>122</v>
      </c>
      <c r="L45" s="68">
        <v>47</v>
      </c>
    </row>
    <row r="46" spans="1:12" x14ac:dyDescent="0.25">
      <c r="K46" s="69" t="s">
        <v>131</v>
      </c>
      <c r="L46" s="68">
        <v>48</v>
      </c>
    </row>
    <row r="47" spans="1:12" x14ac:dyDescent="0.25">
      <c r="K47" s="69" t="s">
        <v>36</v>
      </c>
      <c r="L47" s="68"/>
    </row>
    <row r="48" spans="1:12" x14ac:dyDescent="0.25">
      <c r="K48" s="71" t="s">
        <v>35</v>
      </c>
      <c r="L48" s="68">
        <v>15</v>
      </c>
    </row>
    <row r="49" spans="11:12" x14ac:dyDescent="0.25">
      <c r="K49" s="71" t="s">
        <v>122</v>
      </c>
      <c r="L49" s="68">
        <v>57</v>
      </c>
    </row>
    <row r="50" spans="11:12" x14ac:dyDescent="0.25">
      <c r="K50" s="69" t="s">
        <v>132</v>
      </c>
      <c r="L50" s="68">
        <v>72</v>
      </c>
    </row>
    <row r="51" spans="11:12" x14ac:dyDescent="0.25">
      <c r="K51" s="69" t="s">
        <v>31</v>
      </c>
      <c r="L51" s="68">
        <v>120</v>
      </c>
    </row>
    <row r="58" spans="11:12" x14ac:dyDescent="0.25">
      <c r="K58" s="71"/>
      <c r="L58" s="68"/>
    </row>
    <row r="59" spans="11:12" x14ac:dyDescent="0.25">
      <c r="K59" s="69"/>
      <c r="L59" s="68"/>
    </row>
    <row r="60" spans="11:12" x14ac:dyDescent="0.25">
      <c r="K60" s="69"/>
      <c r="L60" s="68"/>
    </row>
  </sheetData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7" name="Button 1">
              <controlPr defaultSize="0" print="0" autoFill="0" autoPict="0" macro="[0]!ResetSprintData">
                <anchor moveWithCells="1" sizeWithCells="1">
                  <from>
                    <xdr:col>13</xdr:col>
                    <xdr:colOff>9525</xdr:colOff>
                    <xdr:row>5</xdr:row>
                    <xdr:rowOff>0</xdr:rowOff>
                  </from>
                  <to>
                    <xdr:col>18</xdr:col>
                    <xdr:colOff>28575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7">
    <tablePart r:id="rId8"/>
    <tablePart r:id="rId9"/>
    <tablePart r:id="rId10"/>
    <tablePart r:id="rId11"/>
    <tablePart r:id="rId12"/>
    <tablePart r:id="rId13"/>
    <tablePart r:id="rId1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28</vt:i4>
      </vt:variant>
    </vt:vector>
  </HeadingPairs>
  <TitlesOfParts>
    <vt:vector size="50" baseType="lpstr">
      <vt:lpstr>Scope Changes</vt:lpstr>
      <vt:lpstr>Velocity</vt:lpstr>
      <vt:lpstr>Committed_Velocity</vt:lpstr>
      <vt:lpstr>Sprint 2018-09-25</vt:lpstr>
      <vt:lpstr>Sprint 2018-09-11</vt:lpstr>
      <vt:lpstr>Sprint 2018-08-28</vt:lpstr>
      <vt:lpstr>Sprint 2018-08-14</vt:lpstr>
      <vt:lpstr>Sprint 2018-07-31</vt:lpstr>
      <vt:lpstr>Sprint 2018-07-17</vt:lpstr>
      <vt:lpstr>Sprint 2018-07-03</vt:lpstr>
      <vt:lpstr>Sprint 2018-06-19</vt:lpstr>
      <vt:lpstr>Sprint 2018-06-05</vt:lpstr>
      <vt:lpstr>Sprint 2018-05-22</vt:lpstr>
      <vt:lpstr>Sprint 2018-05-08</vt:lpstr>
      <vt:lpstr>Sprint 2018-04-24</vt:lpstr>
      <vt:lpstr>Sprint 2018-04-10</vt:lpstr>
      <vt:lpstr>Sprint 2018-03-27</vt:lpstr>
      <vt:lpstr>Sprint 2018-03-13</vt:lpstr>
      <vt:lpstr>Sprint 2018-02-26</vt:lpstr>
      <vt:lpstr>Sprint 2018-02-12</vt:lpstr>
      <vt:lpstr>Sprint_2018-01-29</vt:lpstr>
      <vt:lpstr>Sprint_2018-01-15</vt:lpstr>
      <vt:lpstr>Committed_Velocity!CV_Entirety_Label</vt:lpstr>
      <vt:lpstr>Committed_Velocity!CV_EntiretyLabel</vt:lpstr>
      <vt:lpstr>Committed_Velocity!CV_Last3Period_Label</vt:lpstr>
      <vt:lpstr>Committed_Velocity!CV_Last3Periods</vt:lpstr>
      <vt:lpstr>Committed_Velocity!CV_Last6Period_Label</vt:lpstr>
      <vt:lpstr>Committed_Velocity!CV_Overall_AIX</vt:lpstr>
      <vt:lpstr>Committed_Velocity!CV_Overall_LINUX</vt:lpstr>
      <vt:lpstr>Committed_Velocity!CV_Overall_Overall</vt:lpstr>
      <vt:lpstr>Committed_Velocity!CV_Period_3_AIX</vt:lpstr>
      <vt:lpstr>Committed_Velocity!CV_Period_3_LINUX</vt:lpstr>
      <vt:lpstr>Committed_Velocity!CV_Period_3_Overall</vt:lpstr>
      <vt:lpstr>Committed_Velocity!CV_Period_6_AIX</vt:lpstr>
      <vt:lpstr>Committed_Velocity!CV_Period_6_LINUX</vt:lpstr>
      <vt:lpstr>Committed_Velocity!CV_Period_6_OverAll</vt:lpstr>
      <vt:lpstr>Entirety_Label</vt:lpstr>
      <vt:lpstr>EntiretyLabel</vt:lpstr>
      <vt:lpstr>Last3Period_Label</vt:lpstr>
      <vt:lpstr>Last3Periods</vt:lpstr>
      <vt:lpstr>Last6Period_Label</vt:lpstr>
      <vt:lpstr>Overall_AIX</vt:lpstr>
      <vt:lpstr>Overall_LINUX</vt:lpstr>
      <vt:lpstr>Overall_Overall</vt:lpstr>
      <vt:lpstr>Period_3_AIX</vt:lpstr>
      <vt:lpstr>Period_3_LINUX</vt:lpstr>
      <vt:lpstr>Period_3_Overall</vt:lpstr>
      <vt:lpstr>Period_6_AIX</vt:lpstr>
      <vt:lpstr>Period_6_LINUX</vt:lpstr>
      <vt:lpstr>Period_6_OverAll</vt:lpstr>
    </vt:vector>
  </TitlesOfParts>
  <Company>SmartSource Rentals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Costanzo, Stephen</dc:creator>
  <cp:lastModifiedBy>Costanzo, Stephen</cp:lastModifiedBy>
  <dcterms:created xsi:type="dcterms:W3CDTF">2017-12-18T17:16:08Z</dcterms:created>
  <dcterms:modified xsi:type="dcterms:W3CDTF">2018-10-10T17:10:53Z</dcterms:modified>
</cp:coreProperties>
</file>